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點名用" sheetId="2" r:id="rId5"/>
  </sheets>
  <definedNames/>
  <calcPr/>
</workbook>
</file>

<file path=xl/sharedStrings.xml><?xml version="1.0" encoding="utf-8"?>
<sst xmlns="http://schemas.openxmlformats.org/spreadsheetml/2006/main" count="15227" uniqueCount="422">
  <si>
    <t>Timestamp</t>
  </si>
  <si>
    <t>編號</t>
  </si>
  <si>
    <t>姓名</t>
  </si>
  <si>
    <t>註</t>
  </si>
  <si>
    <t>馮幸之</t>
  </si>
  <si>
    <t>兒童</t>
  </si>
  <si>
    <t>譚本宏</t>
  </si>
  <si>
    <t>吳蔓琪</t>
  </si>
  <si>
    <t>杜嘉盈</t>
  </si>
  <si>
    <t>017</t>
  </si>
  <si>
    <t>何頴雯</t>
  </si>
  <si>
    <t>020</t>
  </si>
  <si>
    <t>何頴詩</t>
  </si>
  <si>
    <t>033</t>
  </si>
  <si>
    <t>馬文修</t>
  </si>
  <si>
    <t>馮志豐</t>
  </si>
  <si>
    <t>Peggy</t>
  </si>
  <si>
    <t>梁嘉安</t>
  </si>
  <si>
    <t>林  明</t>
  </si>
  <si>
    <t>楊寶瑜</t>
  </si>
  <si>
    <t>馮令之</t>
  </si>
  <si>
    <t>馮倩之</t>
  </si>
  <si>
    <t>011</t>
  </si>
  <si>
    <t>周瑪利</t>
  </si>
  <si>
    <t>梁曾月笑</t>
  </si>
  <si>
    <t>周銳淇</t>
  </si>
  <si>
    <t>周張月貞</t>
  </si>
  <si>
    <t>金秋霞</t>
  </si>
  <si>
    <t>李軒宇</t>
  </si>
  <si>
    <t>何潤萍</t>
  </si>
  <si>
    <t>馮鳳卿</t>
  </si>
  <si>
    <t>王淑賢</t>
  </si>
  <si>
    <t>093</t>
  </si>
  <si>
    <t>梁燕柳</t>
  </si>
  <si>
    <t>任駿涎</t>
  </si>
  <si>
    <t>何港新</t>
  </si>
  <si>
    <t>吳海晴</t>
  </si>
  <si>
    <t>馬卓禧</t>
  </si>
  <si>
    <t>馬國儀</t>
  </si>
  <si>
    <t>朱秀英</t>
  </si>
  <si>
    <t>何若琳</t>
  </si>
  <si>
    <t>胡翠珊</t>
  </si>
  <si>
    <t>089</t>
  </si>
  <si>
    <t>張玉瑩</t>
  </si>
  <si>
    <t>041</t>
  </si>
  <si>
    <t>蘇綺珊</t>
  </si>
  <si>
    <t>童日進</t>
  </si>
  <si>
    <t>呂冠根</t>
  </si>
  <si>
    <t>080</t>
  </si>
  <si>
    <t>葉玉英</t>
  </si>
  <si>
    <t>蔡玉燕</t>
  </si>
  <si>
    <t>072</t>
  </si>
  <si>
    <t>李敏儀</t>
  </si>
  <si>
    <t>陳佩玲</t>
  </si>
  <si>
    <t>梁以蕎</t>
  </si>
  <si>
    <t>088</t>
  </si>
  <si>
    <t>梁敦琦</t>
  </si>
  <si>
    <t>梁可蕎</t>
  </si>
  <si>
    <t>伍家強</t>
  </si>
  <si>
    <t>026</t>
  </si>
  <si>
    <t>傅頌恩</t>
  </si>
  <si>
    <t>吳慧盈</t>
  </si>
  <si>
    <t>黃麗英</t>
  </si>
  <si>
    <t>黃  容</t>
  </si>
  <si>
    <t>李少林</t>
  </si>
  <si>
    <t>李梁鳳霞</t>
  </si>
  <si>
    <t>黃信才</t>
  </si>
  <si>
    <t>黃李楚翹</t>
  </si>
  <si>
    <t>李彥樺</t>
  </si>
  <si>
    <t>余翠雲</t>
  </si>
  <si>
    <t>曾炳培</t>
  </si>
  <si>
    <t>陳勝豪</t>
  </si>
  <si>
    <t>王淑琴</t>
  </si>
  <si>
    <t>楊璟熙</t>
  </si>
  <si>
    <t>035</t>
  </si>
  <si>
    <t>楊育坡</t>
  </si>
  <si>
    <t>曾樂婷</t>
  </si>
  <si>
    <t>陳燕菁</t>
  </si>
  <si>
    <t>059</t>
  </si>
  <si>
    <t>謝葉詠恩</t>
  </si>
  <si>
    <t>071</t>
  </si>
  <si>
    <t>馮峰慶</t>
  </si>
  <si>
    <t>049</t>
  </si>
  <si>
    <t>謝家曦</t>
  </si>
  <si>
    <t>謝  信</t>
  </si>
  <si>
    <t>劉金堂</t>
  </si>
  <si>
    <t>孫家興</t>
  </si>
  <si>
    <t>林偉雄</t>
  </si>
  <si>
    <t>012</t>
  </si>
  <si>
    <t>傅國泉</t>
  </si>
  <si>
    <t>梁珏琛</t>
  </si>
  <si>
    <t>張清越</t>
  </si>
  <si>
    <t>張清朗</t>
  </si>
  <si>
    <t>林祉溢</t>
  </si>
  <si>
    <t>077</t>
  </si>
  <si>
    <t>梁敦瑜</t>
  </si>
  <si>
    <t>林祉悅</t>
  </si>
  <si>
    <t>梁譚金元</t>
  </si>
  <si>
    <t>082</t>
  </si>
  <si>
    <t>施嘉怡</t>
  </si>
  <si>
    <t>林康龍</t>
  </si>
  <si>
    <t>林恩琦</t>
  </si>
  <si>
    <t>林恩知</t>
  </si>
  <si>
    <t>053</t>
  </si>
  <si>
    <t>鍾連意</t>
  </si>
  <si>
    <t>鍾  晴</t>
  </si>
  <si>
    <t>鍾  昕</t>
  </si>
  <si>
    <t>馬思琪</t>
  </si>
  <si>
    <t>馬婉瑩</t>
  </si>
  <si>
    <t>葉秀英</t>
  </si>
  <si>
    <t>梁凱婷</t>
  </si>
  <si>
    <t>067</t>
  </si>
  <si>
    <t>周淑媚</t>
  </si>
  <si>
    <t>096</t>
  </si>
  <si>
    <t>鍾偉基</t>
  </si>
  <si>
    <t>林曉儀</t>
  </si>
  <si>
    <t>林天佑</t>
  </si>
  <si>
    <t>018</t>
  </si>
  <si>
    <t>謝永廉</t>
  </si>
  <si>
    <t>019</t>
  </si>
  <si>
    <t>何頴聰</t>
  </si>
  <si>
    <t>謝知行</t>
  </si>
  <si>
    <t>謝知恬</t>
  </si>
  <si>
    <t>黃嫣妤</t>
  </si>
  <si>
    <t>梁永安</t>
  </si>
  <si>
    <t>石穎賢</t>
  </si>
  <si>
    <t>021</t>
  </si>
  <si>
    <t>黃炎華</t>
  </si>
  <si>
    <t>梁舜怡</t>
  </si>
  <si>
    <t>黃周秀蘭</t>
  </si>
  <si>
    <t>康　恩</t>
  </si>
  <si>
    <t>江穎藍</t>
  </si>
  <si>
    <t>郭旻霑</t>
  </si>
  <si>
    <t>張敏龍</t>
  </si>
  <si>
    <t>吳家睿</t>
  </si>
  <si>
    <t>龔　梅</t>
  </si>
  <si>
    <t>林婉儀</t>
  </si>
  <si>
    <t>顏素芳</t>
  </si>
  <si>
    <t>郭嘉濠</t>
  </si>
  <si>
    <t>黃國強</t>
  </si>
  <si>
    <t>黃健財</t>
  </si>
  <si>
    <t>王思惠</t>
  </si>
  <si>
    <t>許畯森</t>
  </si>
  <si>
    <t>黃啟通</t>
  </si>
  <si>
    <t>石秀雲</t>
  </si>
  <si>
    <t>陳詩欣</t>
  </si>
  <si>
    <t>陳玉琼</t>
  </si>
  <si>
    <t>童日勤</t>
  </si>
  <si>
    <t>朱　渙</t>
  </si>
  <si>
    <t>楊璟柏</t>
  </si>
  <si>
    <t>048</t>
  </si>
  <si>
    <t>李家儀</t>
  </si>
  <si>
    <t>顏卓恆</t>
  </si>
  <si>
    <t>顏志雄</t>
  </si>
  <si>
    <t>梁桂香</t>
  </si>
  <si>
    <t>潘淳喆</t>
  </si>
  <si>
    <t>潘芷寧</t>
  </si>
  <si>
    <t>馬睿鋒</t>
  </si>
  <si>
    <t>周偉麟</t>
  </si>
  <si>
    <t>054</t>
  </si>
  <si>
    <t>傅詠恩</t>
  </si>
  <si>
    <t>周銳風</t>
  </si>
  <si>
    <t>051</t>
  </si>
  <si>
    <t>潘翼輝</t>
  </si>
  <si>
    <t>區焯言</t>
  </si>
  <si>
    <t>朱少英</t>
  </si>
  <si>
    <t>朱俊彤</t>
  </si>
  <si>
    <t>石苡晴</t>
  </si>
  <si>
    <t>黃若師</t>
  </si>
  <si>
    <t>075</t>
  </si>
  <si>
    <t>劉永基</t>
  </si>
  <si>
    <t>許嘉欣</t>
  </si>
  <si>
    <t>陳博熙</t>
  </si>
  <si>
    <t>盧凱晴</t>
  </si>
  <si>
    <t>鄒采賢</t>
  </si>
  <si>
    <t>鄧宇恩</t>
  </si>
  <si>
    <t>鄧宇壹</t>
  </si>
  <si>
    <t>鄧劉開琼</t>
  </si>
  <si>
    <t>周鄧慧玲</t>
  </si>
  <si>
    <t>陳志成</t>
  </si>
  <si>
    <t>057</t>
  </si>
  <si>
    <t>吳聲海</t>
  </si>
  <si>
    <t>馮卓僑</t>
  </si>
  <si>
    <t>符惠芳</t>
  </si>
  <si>
    <t>007</t>
  </si>
  <si>
    <t>周淑芳</t>
  </si>
  <si>
    <t>010</t>
  </si>
  <si>
    <t>謝志堅</t>
  </si>
  <si>
    <t>其他</t>
  </si>
  <si>
    <t>姜  敬</t>
  </si>
  <si>
    <t>林耀光</t>
  </si>
  <si>
    <t>林冠琼</t>
  </si>
  <si>
    <t>馬曉晴</t>
  </si>
  <si>
    <t>何小玲</t>
  </si>
  <si>
    <t>張振杰</t>
  </si>
  <si>
    <t>葉建呈</t>
  </si>
  <si>
    <t>謝永康</t>
  </si>
  <si>
    <t>田妙君</t>
  </si>
  <si>
    <t>陳樂樂</t>
  </si>
  <si>
    <t>莊棨陽</t>
  </si>
  <si>
    <t>温梓軒</t>
  </si>
  <si>
    <t>張秀明</t>
  </si>
  <si>
    <t>戴國明</t>
  </si>
  <si>
    <t>陳穎怡</t>
  </si>
  <si>
    <t>徐蓉葶</t>
  </si>
  <si>
    <t>林明</t>
  </si>
  <si>
    <t>呂林碧玉</t>
  </si>
  <si>
    <t>鄧立新</t>
  </si>
  <si>
    <t>狄俊賢</t>
  </si>
  <si>
    <t>李  彥</t>
  </si>
  <si>
    <t>梁頌安</t>
  </si>
  <si>
    <t>馮綺雯</t>
  </si>
  <si>
    <t>顏卓恒</t>
  </si>
  <si>
    <t>方約拿單</t>
  </si>
  <si>
    <t>馬馮安禔</t>
  </si>
  <si>
    <t>孫王世軒</t>
  </si>
  <si>
    <t>何瑞欣</t>
  </si>
  <si>
    <t>李振成</t>
  </si>
  <si>
    <t>陳玉儀</t>
  </si>
  <si>
    <t>周俊傑</t>
  </si>
  <si>
    <t>馬國恒</t>
  </si>
  <si>
    <t>李國鋒</t>
  </si>
  <si>
    <t>黃銘豪</t>
  </si>
  <si>
    <t>曹海嘉</t>
  </si>
  <si>
    <t>余瑋豪</t>
  </si>
  <si>
    <t>陳沅彤</t>
  </si>
  <si>
    <t>陳懿雅</t>
  </si>
  <si>
    <t>倪劍平</t>
  </si>
  <si>
    <t>陳樂芯</t>
  </si>
  <si>
    <t>鄭成堡</t>
  </si>
  <si>
    <t>馬凱鴻</t>
  </si>
  <si>
    <t>羅嘉齊</t>
  </si>
  <si>
    <t>葉凱盈</t>
  </si>
  <si>
    <t>許家瑜</t>
  </si>
  <si>
    <t>盧志聰</t>
  </si>
  <si>
    <t>楊路英</t>
  </si>
  <si>
    <t>張文伴卿</t>
  </si>
  <si>
    <t>黃麗如</t>
  </si>
  <si>
    <t>何天珩</t>
  </si>
  <si>
    <t>梁穎林</t>
  </si>
  <si>
    <t>葉唐建</t>
  </si>
  <si>
    <t>李健聰</t>
  </si>
  <si>
    <t>Option 1</t>
  </si>
  <si>
    <t>兒童, 新來賓, 其他</t>
  </si>
  <si>
    <t>a</t>
  </si>
  <si>
    <t>新來賓</t>
  </si>
  <si>
    <t>501</t>
  </si>
  <si>
    <t>曾偉健</t>
  </si>
  <si>
    <t>Dennis</t>
  </si>
  <si>
    <t>532</t>
  </si>
  <si>
    <t>林國彬</t>
  </si>
  <si>
    <t>牧師</t>
  </si>
  <si>
    <t>Mary</t>
  </si>
  <si>
    <t>533</t>
  </si>
  <si>
    <t>廖雪韻</t>
  </si>
  <si>
    <t>Ben</t>
  </si>
  <si>
    <t>538</t>
  </si>
  <si>
    <t>畢生</t>
  </si>
  <si>
    <t>Leah</t>
  </si>
  <si>
    <t>541</t>
  </si>
  <si>
    <t>麥豔卿</t>
  </si>
  <si>
    <t>Wendell</t>
  </si>
  <si>
    <t>546</t>
  </si>
  <si>
    <t>梁浩澤</t>
  </si>
  <si>
    <t>557</t>
  </si>
  <si>
    <t>陳欣欣</t>
  </si>
  <si>
    <t>Kate</t>
  </si>
  <si>
    <t>566</t>
  </si>
  <si>
    <t>路美莉</t>
  </si>
  <si>
    <t>Money</t>
  </si>
  <si>
    <t>Stanley Shek</t>
  </si>
  <si>
    <t>Jackie</t>
  </si>
  <si>
    <t>江穎藍_old</t>
  </si>
  <si>
    <t>Chris</t>
  </si>
  <si>
    <t>Emily</t>
  </si>
  <si>
    <t>呂太 wife of 214</t>
  </si>
  <si>
    <t>042</t>
  </si>
  <si>
    <t>譚淑英</t>
  </si>
  <si>
    <t>Isabella</t>
  </si>
  <si>
    <t>Bertha</t>
  </si>
  <si>
    <t>Benedict</t>
  </si>
  <si>
    <t>Rebecca</t>
  </si>
  <si>
    <t>Daphne</t>
  </si>
  <si>
    <t>Winnie</t>
  </si>
  <si>
    <t>Leo Leung</t>
  </si>
  <si>
    <t>Cherry</t>
  </si>
  <si>
    <t>Nancy</t>
  </si>
  <si>
    <t>Ted</t>
  </si>
  <si>
    <t>Emile</t>
  </si>
  <si>
    <t>074</t>
  </si>
  <si>
    <t>黃振華</t>
  </si>
  <si>
    <t>078</t>
  </si>
  <si>
    <t>黃  靖</t>
  </si>
  <si>
    <t>Doris</t>
  </si>
  <si>
    <t>Candy</t>
  </si>
  <si>
    <t>Samson</t>
  </si>
  <si>
    <t>087</t>
  </si>
  <si>
    <t>霍燕玲</t>
  </si>
  <si>
    <t>Elaine</t>
  </si>
  <si>
    <t>Fanny丈夫</t>
  </si>
  <si>
    <t>Lydia</t>
  </si>
  <si>
    <t>珊媽 (052)</t>
  </si>
  <si>
    <t>090</t>
  </si>
  <si>
    <t>張瑋烈</t>
  </si>
  <si>
    <t>Louis</t>
  </si>
  <si>
    <t>Venus</t>
  </si>
  <si>
    <t>642</t>
  </si>
  <si>
    <t>Lydia's Mom</t>
  </si>
  <si>
    <t>朱俊彤_OLD</t>
  </si>
  <si>
    <t>Fanny</t>
  </si>
  <si>
    <t>140</t>
  </si>
  <si>
    <t>陳麗霜</t>
  </si>
  <si>
    <t>Pauline</t>
  </si>
  <si>
    <t>Vincent</t>
  </si>
  <si>
    <t>653</t>
  </si>
  <si>
    <t>陳燕菁 old</t>
  </si>
  <si>
    <t>朱 渙</t>
  </si>
  <si>
    <t>Isaac</t>
  </si>
  <si>
    <t>Iris</t>
  </si>
  <si>
    <t>stone OLD</t>
  </si>
  <si>
    <t>伍太</t>
  </si>
  <si>
    <t>童太</t>
  </si>
  <si>
    <t>166</t>
  </si>
  <si>
    <t>李紫英</t>
  </si>
  <si>
    <t>Angel</t>
  </si>
  <si>
    <t>Amy Chu</t>
  </si>
  <si>
    <t>170</t>
  </si>
  <si>
    <t>黃玉潔</t>
  </si>
  <si>
    <t>Amy</t>
  </si>
  <si>
    <t>李太</t>
  </si>
  <si>
    <t>Max's 爸</t>
  </si>
  <si>
    <t>梁太</t>
  </si>
  <si>
    <t>Max's 媽</t>
  </si>
  <si>
    <t>184</t>
  </si>
  <si>
    <t>唐芷筠</t>
  </si>
  <si>
    <t>185</t>
  </si>
  <si>
    <t>葉平校</t>
  </si>
  <si>
    <t>186</t>
  </si>
  <si>
    <t>何錦燕</t>
  </si>
  <si>
    <t>Tiffany</t>
  </si>
  <si>
    <t>189</t>
  </si>
  <si>
    <t>Jolly</t>
  </si>
  <si>
    <t>基軍隊員</t>
  </si>
  <si>
    <t>Kenneth 朋友</t>
  </si>
  <si>
    <t>梁穎林 old</t>
  </si>
  <si>
    <t>Danielle</t>
  </si>
  <si>
    <t>Emily Leung's mom</t>
  </si>
  <si>
    <t>譚倩兒</t>
  </si>
  <si>
    <t>200</t>
  </si>
  <si>
    <t>吳迦南</t>
  </si>
  <si>
    <t>余永添</t>
  </si>
  <si>
    <t>曾生</t>
  </si>
  <si>
    <r>
      <rPr>
        <rFont val="Arial"/>
        <sz val="22.0"/>
      </rPr>
      <t>康</t>
    </r>
    <r>
      <rPr>
        <rFont val="Arial"/>
        <sz val="22.0"/>
      </rPr>
      <t xml:space="preserve">　</t>
    </r>
    <r>
      <rPr>
        <rFont val="Arial"/>
        <sz val="22.0"/>
      </rPr>
      <t>恩</t>
    </r>
  </si>
  <si>
    <t>郭汝鏗</t>
  </si>
  <si>
    <t>Abraham</t>
  </si>
  <si>
    <t>686</t>
  </si>
  <si>
    <t>陳志明</t>
  </si>
  <si>
    <t>Merrill</t>
  </si>
  <si>
    <t>688</t>
  </si>
  <si>
    <t>吳海龍</t>
  </si>
  <si>
    <t>周鄧慧玲丈夫</t>
  </si>
  <si>
    <t>689</t>
  </si>
  <si>
    <t>揭美琼</t>
  </si>
  <si>
    <t>Leo</t>
  </si>
  <si>
    <t>690</t>
  </si>
  <si>
    <t>麥嘉浩</t>
  </si>
  <si>
    <t>Angus</t>
  </si>
  <si>
    <t>691</t>
  </si>
  <si>
    <t>何慧仙</t>
  </si>
  <si>
    <t>Eva</t>
  </si>
  <si>
    <t>692</t>
  </si>
  <si>
    <t>戚居洲</t>
  </si>
  <si>
    <t>傳道</t>
  </si>
  <si>
    <t>693</t>
  </si>
  <si>
    <t>盧雪珍</t>
  </si>
  <si>
    <t>戚太</t>
  </si>
  <si>
    <t>龔  梅</t>
  </si>
  <si>
    <t>Jaclyn</t>
  </si>
  <si>
    <t>Ivy</t>
  </si>
  <si>
    <t>233</t>
  </si>
  <si>
    <t>狄俊德</t>
  </si>
  <si>
    <t>Max</t>
  </si>
  <si>
    <t>周太</t>
  </si>
  <si>
    <t>Bryan</t>
  </si>
  <si>
    <t>Sam</t>
  </si>
  <si>
    <t>Vicky</t>
  </si>
  <si>
    <t>Ricky</t>
  </si>
  <si>
    <t>263</t>
  </si>
  <si>
    <t>邱詩娥</t>
  </si>
  <si>
    <t>716</t>
  </si>
  <si>
    <t>264</t>
  </si>
  <si>
    <t>梁安妮</t>
  </si>
  <si>
    <t>Annie</t>
  </si>
  <si>
    <t>265</t>
  </si>
  <si>
    <t>陳麗嫻</t>
  </si>
  <si>
    <t>Kelly</t>
  </si>
  <si>
    <t>Stanley</t>
  </si>
  <si>
    <t>272</t>
  </si>
  <si>
    <t>劉伯洪</t>
  </si>
  <si>
    <t>273</t>
  </si>
  <si>
    <t>274</t>
  </si>
  <si>
    <t>Stone</t>
  </si>
  <si>
    <t>275</t>
  </si>
  <si>
    <t>梁澤霖</t>
  </si>
  <si>
    <t>276</t>
  </si>
  <si>
    <t>Raymond</t>
  </si>
  <si>
    <t>277</t>
  </si>
  <si>
    <t>Whale</t>
  </si>
  <si>
    <t>278</t>
  </si>
  <si>
    <t>Kenneth</t>
  </si>
  <si>
    <t>曾  榮</t>
  </si>
  <si>
    <t>280</t>
  </si>
  <si>
    <t>陳健輝</t>
  </si>
  <si>
    <r>
      <rPr>
        <rFont val="Arial"/>
        <color rgb="FF000000"/>
        <sz val="22.0"/>
      </rPr>
      <t>黃</t>
    </r>
    <r>
      <rPr>
        <rFont val="Arial"/>
        <color rgb="FF000000"/>
        <sz val="22.0"/>
      </rPr>
      <t xml:space="preserve">  </t>
    </r>
    <r>
      <rPr>
        <rFont val="Arial"/>
        <color rgb="FF000000"/>
        <sz val="22.0"/>
      </rPr>
      <t>容</t>
    </r>
  </si>
  <si>
    <t>735</t>
  </si>
  <si>
    <t>736</t>
  </si>
  <si>
    <t xml:space="preserve">鄧宇恩 </t>
  </si>
  <si>
    <t>葉汶萱</t>
  </si>
  <si>
    <t xml:space="preserve">鄧宇壹 </t>
  </si>
  <si>
    <t>738</t>
  </si>
  <si>
    <t>石苡曈</t>
  </si>
  <si>
    <t>楊健生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</si>
</sst>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2">
    <font>
      <sz val="10.0"/>
      <color rgb="FF000000"/>
      <name val="Arial"/>
    </font>
    <font/>
    <font>
      <u/>
      <sz val="22.0"/>
      <color rgb="FF1155CC"/>
      <name val="Arial"/>
    </font>
    <font>
      <sz val="22.0"/>
      <name val="Arial"/>
    </font>
    <font>
      <sz val="18.0"/>
      <color rgb="FF000000"/>
      <name val="Arial"/>
    </font>
    <font>
      <sz val="18.0"/>
    </font>
    <font>
      <u/>
      <sz val="22.0"/>
      <color rgb="FF1155CC"/>
      <name val="Arial"/>
    </font>
    <font>
      <sz val="18.0"/>
      <name val="Arial"/>
    </font>
    <font>
      <u/>
      <sz val="22.0"/>
      <color rgb="FF0000FF"/>
      <name val="Arial"/>
    </font>
    <font>
      <b/>
      <sz val="21.0"/>
      <color rgb="FF000000"/>
      <name val="Arial"/>
    </font>
    <font>
      <u/>
      <sz val="18.0"/>
      <color rgb="FF1155CC"/>
      <name val="Arial"/>
    </font>
    <font>
      <sz val="21.0"/>
      <color rgb="FF000000"/>
      <name val="Arial"/>
    </font>
    <font>
      <u/>
      <sz val="18.0"/>
      <color rgb="FF1155CC"/>
      <name val="Arial"/>
    </font>
    <font>
      <sz val="12.0"/>
      <color rgb="FF000000"/>
      <name val="Arial"/>
    </font>
    <font>
      <sz val="12.0"/>
      <name val="Arial"/>
    </font>
    <font>
      <sz val="22.0"/>
      <color rgb="FF000000"/>
      <name val="Arial"/>
    </font>
    <font>
      <u/>
      <sz val="22.0"/>
      <color rgb="FF0000FF"/>
      <name val="Arial"/>
    </font>
    <font>
      <u/>
      <sz val="13.0"/>
      <color rgb="FF000000"/>
      <name val="Arial"/>
    </font>
    <font>
      <b/>
      <sz val="22.0"/>
      <name val="Arial"/>
    </font>
    <font>
      <u/>
      <sz val="18.0"/>
      <color rgb="FF1155CC"/>
      <name val="Arial"/>
    </font>
    <font>
      <u/>
      <sz val="22.0"/>
      <color rgb="FF1155CC"/>
      <name val="Arial"/>
    </font>
    <font>
      <u/>
      <sz val="18.0"/>
      <color rgb="FF1155CC"/>
      <name val="Arial"/>
    </font>
    <font>
      <u/>
      <sz val="22.0"/>
      <color rgb="FF1155CC"/>
      <name val="Arial"/>
    </font>
    <font>
      <sz val="11.0"/>
      <name val="Arial"/>
    </font>
    <font>
      <u/>
      <sz val="22.0"/>
      <color rgb="FF1155CC"/>
      <name val="Arial"/>
    </font>
    <font>
      <u/>
      <sz val="22.0"/>
      <color rgb="FF1155CC"/>
      <name val="Arial"/>
    </font>
    <font>
      <u/>
      <sz val="22.0"/>
      <color rgb="FF0000FF"/>
    </font>
    <font>
      <u/>
      <sz val="22.0"/>
      <color rgb="FF1155CC"/>
      <name val="Arial"/>
    </font>
    <font>
      <u/>
      <sz val="22.0"/>
      <color rgb="FF000000"/>
      <name val="Arial"/>
    </font>
    <font>
      <u/>
      <sz val="22.0"/>
      <color rgb="FF1155CC"/>
    </font>
    <font>
      <sz val="24.0"/>
      <name val="Arial"/>
    </font>
    <font>
      <sz val="24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medium">
        <color rgb="FF000000"/>
      </top>
    </border>
    <border>
      <right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center" readingOrder="0" vertical="center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vertical="bottom"/>
    </xf>
    <xf borderId="0" fillId="0" fontId="6" numFmtId="49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7" numFmtId="49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readingOrder="0" vertical="center"/>
    </xf>
    <xf borderId="0" fillId="0" fontId="8" numFmtId="49" xfId="0" applyAlignment="1" applyFont="1" applyNumberFormat="1">
      <alignment horizontal="center" readingOrder="0" vertical="center"/>
    </xf>
    <xf borderId="0" fillId="2" fontId="9" numFmtId="0" xfId="0" applyAlignment="1" applyFill="1" applyFont="1">
      <alignment horizontal="left" readingOrder="0"/>
    </xf>
    <xf borderId="0" fillId="0" fontId="5" numFmtId="0" xfId="0" applyAlignment="1" applyFont="1">
      <alignment vertical="center"/>
    </xf>
    <xf borderId="0" fillId="0" fontId="10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 vertical="bottom"/>
    </xf>
    <xf borderId="0" fillId="2" fontId="11" numFmtId="0" xfId="0" applyAlignment="1" applyFont="1">
      <alignment horizontal="left" readingOrder="0"/>
    </xf>
    <xf borderId="0" fillId="0" fontId="12" numFmtId="49" xfId="0" applyAlignment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15" numFmtId="0" xfId="0" applyAlignment="1" applyFont="1">
      <alignment horizontal="center" readingOrder="0" vertical="center"/>
    </xf>
    <xf borderId="2" fillId="0" fontId="15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2" fontId="3" numFmtId="0" xfId="0" applyAlignment="1" applyFont="1">
      <alignment vertical="bottom"/>
    </xf>
    <xf borderId="0" fillId="0" fontId="7" numFmtId="0" xfId="0" applyAlignment="1" applyFont="1">
      <alignment readingOrder="0" vertical="center"/>
    </xf>
    <xf borderId="0" fillId="0" fontId="3" numFmtId="0" xfId="0" applyFont="1"/>
    <xf borderId="0" fillId="0" fontId="16" numFmtId="0" xfId="0" applyAlignment="1" applyFont="1">
      <alignment horizontal="center" readingOrder="0" vertical="center"/>
    </xf>
    <xf borderId="0" fillId="0" fontId="17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18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1" numFmtId="49" xfId="0" applyAlignment="1" applyFont="1" applyNumberFormat="1">
      <alignment horizontal="center" vertical="center"/>
    </xf>
    <xf borderId="0" fillId="0" fontId="22" numFmtId="49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23" numFmtId="0" xfId="0" applyAlignment="1" applyFont="1">
      <alignment horizontal="left" readingOrder="0" vertical="center"/>
    </xf>
    <xf borderId="0" fillId="0" fontId="24" numFmtId="0" xfId="0" applyAlignment="1" applyFont="1">
      <alignment horizontal="center" readingOrder="0" vertical="center"/>
    </xf>
    <xf borderId="0" fillId="0" fontId="5" numFmtId="0" xfId="0" applyFont="1"/>
    <xf borderId="0" fillId="0" fontId="23" numFmtId="0" xfId="0" applyAlignment="1" applyFont="1">
      <alignment horizontal="center" readingOrder="0" vertical="center"/>
    </xf>
    <xf borderId="0" fillId="0" fontId="15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5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0" fontId="15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27" numFmtId="0" xfId="0" applyAlignment="1" applyFont="1">
      <alignment horizontal="center" vertical="center"/>
    </xf>
    <xf borderId="0" fillId="2" fontId="4" numFmtId="0" xfId="0" applyAlignment="1" applyFont="1">
      <alignment vertical="center"/>
    </xf>
    <xf borderId="0" fillId="0" fontId="15" numFmtId="0" xfId="0" applyAlignment="1" applyFont="1">
      <alignment horizontal="left" readingOrder="0" shrinkToFit="0" vertical="center" wrapText="0"/>
    </xf>
    <xf borderId="0" fillId="0" fontId="28" numFmtId="0" xfId="0" applyAlignment="1" applyFont="1">
      <alignment vertical="center"/>
    </xf>
    <xf borderId="0" fillId="0" fontId="29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30" numFmtId="49" xfId="0" applyAlignment="1" applyFont="1" applyNumberFormat="1">
      <alignment vertical="center"/>
    </xf>
    <xf borderId="0" fillId="0" fontId="30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inyurl.com/y6bh8k4m" TargetMode="External"/><Relationship Id="rId42" Type="http://schemas.openxmlformats.org/officeDocument/2006/relationships/hyperlink" Target="https://tinyurl.com/y6vrwvzf" TargetMode="External"/><Relationship Id="rId41" Type="http://schemas.openxmlformats.org/officeDocument/2006/relationships/hyperlink" Target="https://tinyurl.com/y56k4gbq" TargetMode="External"/><Relationship Id="rId44" Type="http://schemas.openxmlformats.org/officeDocument/2006/relationships/hyperlink" Target="https://tinyurl.com/2mu58bpx" TargetMode="External"/><Relationship Id="rId43" Type="http://schemas.openxmlformats.org/officeDocument/2006/relationships/hyperlink" Target="https://tinyurl.com/yc3a4vkg" TargetMode="External"/><Relationship Id="rId46" Type="http://schemas.openxmlformats.org/officeDocument/2006/relationships/hyperlink" Target="https://tinyurl.com/4cntf7va" TargetMode="External"/><Relationship Id="rId45" Type="http://schemas.openxmlformats.org/officeDocument/2006/relationships/hyperlink" Target="https://tinyurl.com/yhe4h6hb" TargetMode="External"/><Relationship Id="rId1" Type="http://schemas.openxmlformats.org/officeDocument/2006/relationships/hyperlink" Target="https://tinyurl.com/5thn9k2u" TargetMode="External"/><Relationship Id="rId2" Type="http://schemas.openxmlformats.org/officeDocument/2006/relationships/hyperlink" Target="https://tinyurl.com/bdz9p67f" TargetMode="External"/><Relationship Id="rId3" Type="http://schemas.openxmlformats.org/officeDocument/2006/relationships/hyperlink" Target="https://shorturl.at/FVm1e" TargetMode="External"/><Relationship Id="rId4" Type="http://schemas.openxmlformats.org/officeDocument/2006/relationships/hyperlink" Target="https://tinyurl.com/9hzywft3" TargetMode="External"/><Relationship Id="rId9" Type="http://schemas.openxmlformats.org/officeDocument/2006/relationships/hyperlink" Target="https://tinyurl.com/3m5msssm" TargetMode="External"/><Relationship Id="rId48" Type="http://schemas.openxmlformats.org/officeDocument/2006/relationships/hyperlink" Target="https://tinyurl.com/bdfced4m" TargetMode="External"/><Relationship Id="rId47" Type="http://schemas.openxmlformats.org/officeDocument/2006/relationships/hyperlink" Target="https://tinyurl.com/6yck8u5h" TargetMode="External"/><Relationship Id="rId49" Type="http://schemas.openxmlformats.org/officeDocument/2006/relationships/hyperlink" Target="https://tinyurl.com/2btp899a" TargetMode="External"/><Relationship Id="rId5" Type="http://schemas.openxmlformats.org/officeDocument/2006/relationships/hyperlink" Target="https://tinyurl.com/yy7dg955" TargetMode="External"/><Relationship Id="rId6" Type="http://schemas.openxmlformats.org/officeDocument/2006/relationships/hyperlink" Target="https://tinyurl.com/yxbsk7z4" TargetMode="External"/><Relationship Id="rId7" Type="http://schemas.openxmlformats.org/officeDocument/2006/relationships/hyperlink" Target="https://tinyurl.com/y2s3ruhd" TargetMode="External"/><Relationship Id="rId8" Type="http://schemas.openxmlformats.org/officeDocument/2006/relationships/hyperlink" Target="https://tinyurl.com/k8h68cpe" TargetMode="External"/><Relationship Id="rId31" Type="http://schemas.openxmlformats.org/officeDocument/2006/relationships/hyperlink" Target="https://shorturl.at/mvJER" TargetMode="External"/><Relationship Id="rId30" Type="http://schemas.openxmlformats.org/officeDocument/2006/relationships/hyperlink" Target="https://shorturl.at/kfAhz" TargetMode="External"/><Relationship Id="rId33" Type="http://schemas.openxmlformats.org/officeDocument/2006/relationships/hyperlink" Target="https://shorturl.at/ZXYHY" TargetMode="External"/><Relationship Id="rId32" Type="http://schemas.openxmlformats.org/officeDocument/2006/relationships/hyperlink" Target="https://shorturl.at/p9Svt" TargetMode="External"/><Relationship Id="rId35" Type="http://schemas.openxmlformats.org/officeDocument/2006/relationships/hyperlink" Target="https://shorturl.at/87ZaG" TargetMode="External"/><Relationship Id="rId34" Type="http://schemas.openxmlformats.org/officeDocument/2006/relationships/hyperlink" Target="https://shorturl.at/TmdW3" TargetMode="External"/><Relationship Id="rId37" Type="http://schemas.openxmlformats.org/officeDocument/2006/relationships/hyperlink" Target="https://tinyurl.com/y48zakl7" TargetMode="External"/><Relationship Id="rId36" Type="http://schemas.openxmlformats.org/officeDocument/2006/relationships/hyperlink" Target="https://tinyurl.com/u592kpf7" TargetMode="External"/><Relationship Id="rId39" Type="http://schemas.openxmlformats.org/officeDocument/2006/relationships/hyperlink" Target="https://tinyurl.com/4pjay3wp" TargetMode="External"/><Relationship Id="rId38" Type="http://schemas.openxmlformats.org/officeDocument/2006/relationships/hyperlink" Target="https://tinyurl.com/yvpe7t76" TargetMode="External"/><Relationship Id="rId20" Type="http://schemas.openxmlformats.org/officeDocument/2006/relationships/hyperlink" Target="https://tinyurl.com/yydxkos2" TargetMode="External"/><Relationship Id="rId22" Type="http://schemas.openxmlformats.org/officeDocument/2006/relationships/hyperlink" Target="https://shorturl.at/kL3tM" TargetMode="External"/><Relationship Id="rId21" Type="http://schemas.openxmlformats.org/officeDocument/2006/relationships/hyperlink" Target="https://shorturl.at/k3OVw" TargetMode="External"/><Relationship Id="rId24" Type="http://schemas.openxmlformats.org/officeDocument/2006/relationships/hyperlink" Target="https://tinyurl.com/4mbm9ndt" TargetMode="External"/><Relationship Id="rId23" Type="http://schemas.openxmlformats.org/officeDocument/2006/relationships/hyperlink" Target="https://shorturl.at/O6nmB" TargetMode="External"/><Relationship Id="rId26" Type="http://schemas.openxmlformats.org/officeDocument/2006/relationships/hyperlink" Target="https://tinyurl.com/5aean64c" TargetMode="External"/><Relationship Id="rId25" Type="http://schemas.openxmlformats.org/officeDocument/2006/relationships/hyperlink" Target="https://tinyurl.com/93ffxs" TargetMode="External"/><Relationship Id="rId28" Type="http://schemas.openxmlformats.org/officeDocument/2006/relationships/hyperlink" Target="https://tinyurl.com/2p89eapf" TargetMode="External"/><Relationship Id="rId27" Type="http://schemas.openxmlformats.org/officeDocument/2006/relationships/hyperlink" Target="https://tinyurl.com/3wmjw2bh" TargetMode="External"/><Relationship Id="rId29" Type="http://schemas.openxmlformats.org/officeDocument/2006/relationships/hyperlink" Target="https://tinyurl.com/57utc34d" TargetMode="External"/><Relationship Id="rId51" Type="http://schemas.openxmlformats.org/officeDocument/2006/relationships/hyperlink" Target="https://tinyurl.com/ydtzefsa" TargetMode="External"/><Relationship Id="rId50" Type="http://schemas.openxmlformats.org/officeDocument/2006/relationships/hyperlink" Target="https://tinyurl.com/3tep2bvm" TargetMode="External"/><Relationship Id="rId53" Type="http://schemas.openxmlformats.org/officeDocument/2006/relationships/hyperlink" Target="https://shorturl.at/e8xWf" TargetMode="External"/><Relationship Id="rId52" Type="http://schemas.openxmlformats.org/officeDocument/2006/relationships/hyperlink" Target="https://shorturl.at/0zYs8" TargetMode="External"/><Relationship Id="rId11" Type="http://schemas.openxmlformats.org/officeDocument/2006/relationships/hyperlink" Target="https://tinyurl.com/322ea7f7" TargetMode="External"/><Relationship Id="rId55" Type="http://schemas.openxmlformats.org/officeDocument/2006/relationships/hyperlink" Target="https://tinyurl.com/2yba5swh" TargetMode="External"/><Relationship Id="rId10" Type="http://schemas.openxmlformats.org/officeDocument/2006/relationships/hyperlink" Target="https://shorturl.at/bjn53" TargetMode="External"/><Relationship Id="rId54" Type="http://schemas.openxmlformats.org/officeDocument/2006/relationships/hyperlink" Target="https://shorturl.at/fssWp" TargetMode="External"/><Relationship Id="rId13" Type="http://schemas.openxmlformats.org/officeDocument/2006/relationships/hyperlink" Target="https://tinyurl.com/3pmb435c" TargetMode="External"/><Relationship Id="rId57" Type="http://schemas.openxmlformats.org/officeDocument/2006/relationships/hyperlink" Target="https://tinyurl.com/axhmku4e" TargetMode="External"/><Relationship Id="rId12" Type="http://schemas.openxmlformats.org/officeDocument/2006/relationships/hyperlink" Target="https://tinyurl.com/99kh7fnk" TargetMode="External"/><Relationship Id="rId56" Type="http://schemas.openxmlformats.org/officeDocument/2006/relationships/hyperlink" Target="https://tinyurl.com/nf767nth" TargetMode="External"/><Relationship Id="rId15" Type="http://schemas.openxmlformats.org/officeDocument/2006/relationships/hyperlink" Target="https://tinyurl.com/8zp9wb2h" TargetMode="External"/><Relationship Id="rId14" Type="http://schemas.openxmlformats.org/officeDocument/2006/relationships/hyperlink" Target="https://tinyurl.com/4sjwbvek" TargetMode="External"/><Relationship Id="rId58" Type="http://schemas.openxmlformats.org/officeDocument/2006/relationships/drawing" Target="../drawings/drawing2.xml"/><Relationship Id="rId17" Type="http://schemas.openxmlformats.org/officeDocument/2006/relationships/hyperlink" Target="https://tinyurl.com/y2nxjdhe" TargetMode="External"/><Relationship Id="rId16" Type="http://schemas.openxmlformats.org/officeDocument/2006/relationships/hyperlink" Target="https://shorturl.at/MqoId" TargetMode="External"/><Relationship Id="rId19" Type="http://schemas.openxmlformats.org/officeDocument/2006/relationships/hyperlink" Target="https://tinyurl.com/sr86835s" TargetMode="External"/><Relationship Id="rId18" Type="http://schemas.openxmlformats.org/officeDocument/2006/relationships/hyperlink" Target="https://tinyurl.com/yxcf2e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44134.40085791667</v>
      </c>
      <c r="B2" s="2">
        <v>708.0</v>
      </c>
      <c r="C2" s="2" t="s">
        <v>4</v>
      </c>
      <c r="D2" s="2" t="s">
        <v>5</v>
      </c>
    </row>
    <row r="3">
      <c r="A3" s="1">
        <v>43243.734793483796</v>
      </c>
      <c r="B3" s="2">
        <v>672.0</v>
      </c>
      <c r="C3" s="2" t="s">
        <v>6</v>
      </c>
    </row>
    <row r="4">
      <c r="A4" s="1">
        <v>43243.73480237268</v>
      </c>
      <c r="B4" s="2">
        <v>672.0</v>
      </c>
      <c r="C4" s="2" t="s">
        <v>6</v>
      </c>
    </row>
    <row r="5">
      <c r="A5" s="1">
        <v>43243.73480288194</v>
      </c>
      <c r="B5" s="2">
        <v>672.0</v>
      </c>
      <c r="C5" s="2" t="s">
        <v>6</v>
      </c>
    </row>
    <row r="6">
      <c r="A6" s="1">
        <v>43243.73483</v>
      </c>
      <c r="B6" s="2">
        <v>672.0</v>
      </c>
      <c r="C6" s="2" t="s">
        <v>6</v>
      </c>
    </row>
    <row r="7">
      <c r="A7" s="1">
        <v>43243.73486865741</v>
      </c>
      <c r="B7" s="2">
        <v>672.0</v>
      </c>
      <c r="C7" s="2" t="s">
        <v>6</v>
      </c>
    </row>
    <row r="8">
      <c r="A8" s="1">
        <v>43243.73511342592</v>
      </c>
      <c r="B8" s="2">
        <v>672.0</v>
      </c>
      <c r="C8" s="2" t="s">
        <v>6</v>
      </c>
    </row>
    <row r="9">
      <c r="A9" s="1">
        <v>43243.73705027778</v>
      </c>
      <c r="B9" s="2">
        <v>672.0</v>
      </c>
      <c r="C9" s="2" t="s">
        <v>6</v>
      </c>
    </row>
    <row r="10">
      <c r="A10" s="1">
        <v>43243.744611898146</v>
      </c>
      <c r="C10" s="2" t="s">
        <v>7</v>
      </c>
    </row>
    <row r="11">
      <c r="A11" s="1">
        <v>43243.745714062505</v>
      </c>
      <c r="C11" s="2" t="s">
        <v>7</v>
      </c>
    </row>
    <row r="12">
      <c r="A12" s="1">
        <v>43243.77853726852</v>
      </c>
      <c r="B12" s="2">
        <v>711.0</v>
      </c>
      <c r="C12" s="2" t="s">
        <v>8</v>
      </c>
      <c r="D12" s="2" t="s">
        <v>5</v>
      </c>
    </row>
    <row r="13">
      <c r="A13" s="1">
        <v>43243.77854453704</v>
      </c>
      <c r="B13" s="2">
        <v>711.0</v>
      </c>
      <c r="C13" s="2" t="s">
        <v>8</v>
      </c>
      <c r="D13" s="2" t="s">
        <v>5</v>
      </c>
    </row>
    <row r="14">
      <c r="A14" s="1">
        <v>43243.778544560184</v>
      </c>
      <c r="B14" s="2">
        <v>711.0</v>
      </c>
      <c r="C14" s="2" t="s">
        <v>8</v>
      </c>
      <c r="D14" s="2" t="s">
        <v>5</v>
      </c>
    </row>
    <row r="15">
      <c r="A15" s="1">
        <v>43243.77854622685</v>
      </c>
      <c r="B15" s="2">
        <v>711.0</v>
      </c>
      <c r="C15" s="2" t="s">
        <v>8</v>
      </c>
      <c r="D15" s="2" t="s">
        <v>5</v>
      </c>
    </row>
    <row r="16">
      <c r="A16" s="1">
        <v>43243.77862153936</v>
      </c>
      <c r="B16" s="2">
        <v>711.0</v>
      </c>
      <c r="C16" s="2" t="s">
        <v>8</v>
      </c>
      <c r="D16" s="2" t="s">
        <v>5</v>
      </c>
    </row>
    <row r="17">
      <c r="A17" s="1">
        <v>43243.77880321759</v>
      </c>
      <c r="B17" s="2">
        <v>711.0</v>
      </c>
      <c r="C17" s="2" t="s">
        <v>8</v>
      </c>
      <c r="D17" s="2" t="s">
        <v>5</v>
      </c>
    </row>
    <row r="18">
      <c r="A18" s="1">
        <v>43243.780381550925</v>
      </c>
      <c r="B18" s="2">
        <v>711.0</v>
      </c>
      <c r="C18" s="2" t="s">
        <v>8</v>
      </c>
      <c r="D18" s="2" t="s">
        <v>5</v>
      </c>
    </row>
    <row r="19">
      <c r="A19" s="1">
        <v>43243.82388113426</v>
      </c>
      <c r="B19" s="2">
        <v>672.0</v>
      </c>
      <c r="C19" s="2" t="s">
        <v>6</v>
      </c>
    </row>
    <row r="20">
      <c r="A20" s="1">
        <v>43243.82409865741</v>
      </c>
      <c r="B20" s="2">
        <v>711.0</v>
      </c>
      <c r="C20" s="2" t="s">
        <v>8</v>
      </c>
      <c r="D20" s="2" t="s">
        <v>5</v>
      </c>
    </row>
    <row r="21">
      <c r="A21" s="1">
        <v>43243.83124905093</v>
      </c>
      <c r="B21" s="2">
        <v>711.0</v>
      </c>
      <c r="C21" s="2" t="s">
        <v>8</v>
      </c>
      <c r="D21" s="2" t="s">
        <v>5</v>
      </c>
    </row>
    <row r="22">
      <c r="A22" s="1">
        <v>43243.831296805554</v>
      </c>
      <c r="B22" s="2">
        <v>711.0</v>
      </c>
      <c r="C22" s="2" t="s">
        <v>8</v>
      </c>
      <c r="D22" s="2" t="s">
        <v>5</v>
      </c>
    </row>
    <row r="23">
      <c r="A23" s="1">
        <v>43243.833871944444</v>
      </c>
      <c r="B23" s="2">
        <v>711.0</v>
      </c>
      <c r="C23" s="2" t="s">
        <v>8</v>
      </c>
      <c r="D23" s="2" t="s">
        <v>5</v>
      </c>
    </row>
    <row r="24">
      <c r="A24" s="1">
        <v>43243.8339016088</v>
      </c>
      <c r="B24" s="2">
        <v>672.0</v>
      </c>
      <c r="C24" s="2" t="s">
        <v>6</v>
      </c>
    </row>
    <row r="25">
      <c r="A25" s="1">
        <v>43244.707256863425</v>
      </c>
      <c r="B25" s="3" t="s">
        <v>9</v>
      </c>
      <c r="C25" s="2" t="s">
        <v>10</v>
      </c>
    </row>
    <row r="26">
      <c r="A26" s="1">
        <v>43244.70864135417</v>
      </c>
      <c r="B26" s="3" t="s">
        <v>11</v>
      </c>
      <c r="C26" s="2" t="s">
        <v>12</v>
      </c>
    </row>
    <row r="27">
      <c r="A27" s="1">
        <v>43244.711906122684</v>
      </c>
      <c r="B27" s="3" t="s">
        <v>13</v>
      </c>
      <c r="C27" s="2" t="s">
        <v>14</v>
      </c>
    </row>
    <row r="28">
      <c r="A28" s="1">
        <v>43244.71359649306</v>
      </c>
      <c r="B28" s="2">
        <v>114.0</v>
      </c>
      <c r="C28" s="2" t="s">
        <v>15</v>
      </c>
    </row>
    <row r="29">
      <c r="A29" s="1">
        <v>43244.71586818287</v>
      </c>
      <c r="B29" s="2">
        <v>615.0</v>
      </c>
      <c r="C29" s="2" t="s">
        <v>16</v>
      </c>
    </row>
    <row r="30">
      <c r="A30" s="1">
        <v>43244.716382569444</v>
      </c>
      <c r="B30" s="2">
        <v>655.0</v>
      </c>
      <c r="C30" s="2" t="s">
        <v>17</v>
      </c>
    </row>
    <row r="31">
      <c r="A31" s="1">
        <v>43244.71673667824</v>
      </c>
      <c r="B31" s="2">
        <v>662.0</v>
      </c>
      <c r="C31" s="2" t="s">
        <v>18</v>
      </c>
    </row>
    <row r="32">
      <c r="A32" s="1">
        <v>43244.71796116898</v>
      </c>
      <c r="C32" s="2" t="s">
        <v>19</v>
      </c>
    </row>
    <row r="33">
      <c r="A33" s="1">
        <v>43244.71886129629</v>
      </c>
      <c r="B33" s="2">
        <v>708.0</v>
      </c>
      <c r="C33" s="2" t="s">
        <v>4</v>
      </c>
      <c r="D33" s="2" t="s">
        <v>5</v>
      </c>
    </row>
    <row r="34">
      <c r="A34" s="1">
        <v>43244.719047824074</v>
      </c>
      <c r="B34" s="2">
        <v>709.0</v>
      </c>
      <c r="C34" s="2" t="s">
        <v>20</v>
      </c>
      <c r="D34" s="2" t="s">
        <v>5</v>
      </c>
    </row>
    <row r="35">
      <c r="A35" s="1">
        <v>43244.71910662037</v>
      </c>
      <c r="B35" s="2">
        <v>710.0</v>
      </c>
      <c r="C35" s="2" t="s">
        <v>21</v>
      </c>
      <c r="D35" s="2" t="s">
        <v>5</v>
      </c>
    </row>
    <row r="36">
      <c r="A36" s="1">
        <v>43245.83301372685</v>
      </c>
      <c r="B36" s="3" t="s">
        <v>22</v>
      </c>
      <c r="C36" s="2" t="s">
        <v>23</v>
      </c>
    </row>
    <row r="37">
      <c r="A37" s="1">
        <v>43247.38755706018</v>
      </c>
      <c r="B37" s="2">
        <v>173.0</v>
      </c>
      <c r="C37" s="2" t="s">
        <v>24</v>
      </c>
    </row>
    <row r="38">
      <c r="A38" s="1">
        <v>43247.41036826389</v>
      </c>
      <c r="B38" s="2">
        <v>722.0</v>
      </c>
      <c r="C38" s="2" t="s">
        <v>25</v>
      </c>
      <c r="D38" s="2" t="s">
        <v>5</v>
      </c>
    </row>
    <row r="39">
      <c r="A39" s="1">
        <v>43247.41044344907</v>
      </c>
      <c r="B39" s="2">
        <v>246.0</v>
      </c>
      <c r="C39" s="2" t="s">
        <v>26</v>
      </c>
    </row>
    <row r="40">
      <c r="A40" s="1">
        <v>43247.4150391088</v>
      </c>
      <c r="B40" s="2">
        <v>257.0</v>
      </c>
      <c r="C40" s="2" t="s">
        <v>27</v>
      </c>
    </row>
    <row r="41">
      <c r="A41" s="1">
        <v>43247.41646277778</v>
      </c>
      <c r="B41" s="2">
        <v>262.0</v>
      </c>
      <c r="C41" s="2" t="s">
        <v>28</v>
      </c>
    </row>
    <row r="42">
      <c r="A42" s="1">
        <v>43247.4165571412</v>
      </c>
      <c r="B42" s="2">
        <v>262.0</v>
      </c>
      <c r="C42" s="2" t="s">
        <v>28</v>
      </c>
    </row>
    <row r="43">
      <c r="A43" s="1">
        <v>43247.41704188657</v>
      </c>
      <c r="B43" s="2">
        <v>113.0</v>
      </c>
      <c r="C43" s="2" t="s">
        <v>29</v>
      </c>
    </row>
    <row r="44">
      <c r="A44" s="1">
        <v>43247.417279016205</v>
      </c>
      <c r="B44" s="2">
        <v>193.0</v>
      </c>
      <c r="C44" s="2" t="s">
        <v>30</v>
      </c>
    </row>
    <row r="45">
      <c r="A45" s="1">
        <v>43247.41739908565</v>
      </c>
      <c r="B45" s="2">
        <v>219.0</v>
      </c>
      <c r="C45" s="2" t="s">
        <v>31</v>
      </c>
    </row>
    <row r="46">
      <c r="A46" s="1">
        <v>43247.41753306713</v>
      </c>
      <c r="B46" s="3" t="s">
        <v>32</v>
      </c>
      <c r="C46" s="2" t="s">
        <v>33</v>
      </c>
    </row>
    <row r="47">
      <c r="A47" s="1">
        <v>43247.41759168982</v>
      </c>
      <c r="B47" s="2">
        <v>193.0</v>
      </c>
      <c r="C47" s="2" t="s">
        <v>30</v>
      </c>
    </row>
    <row r="48">
      <c r="A48" s="1">
        <v>43247.41759848379</v>
      </c>
      <c r="B48" s="2">
        <v>113.0</v>
      </c>
      <c r="C48" s="2" t="s">
        <v>29</v>
      </c>
    </row>
    <row r="49">
      <c r="A49" s="1">
        <v>43247.41893814815</v>
      </c>
      <c r="B49" s="2">
        <v>252.0</v>
      </c>
      <c r="C49" s="2" t="s">
        <v>34</v>
      </c>
    </row>
    <row r="50">
      <c r="A50" s="1">
        <v>43247.41914819444</v>
      </c>
      <c r="B50" s="2">
        <v>238.0</v>
      </c>
      <c r="C50" s="2" t="s">
        <v>35</v>
      </c>
    </row>
    <row r="51">
      <c r="A51" s="1">
        <v>43247.41935431713</v>
      </c>
      <c r="B51" s="2">
        <v>238.0</v>
      </c>
      <c r="C51" s="2" t="s">
        <v>35</v>
      </c>
    </row>
    <row r="52">
      <c r="A52" s="1">
        <v>43247.41936215278</v>
      </c>
      <c r="B52" s="2">
        <v>604.0</v>
      </c>
      <c r="C52" s="2" t="s">
        <v>36</v>
      </c>
    </row>
    <row r="53">
      <c r="A53" s="1">
        <v>43247.41940893518</v>
      </c>
      <c r="B53" s="2">
        <v>238.0</v>
      </c>
      <c r="C53" s="2" t="s">
        <v>35</v>
      </c>
    </row>
    <row r="54">
      <c r="A54" s="1">
        <v>43247.41968854167</v>
      </c>
      <c r="B54" s="2">
        <v>735.0</v>
      </c>
      <c r="C54" s="2" t="s">
        <v>37</v>
      </c>
      <c r="D54" s="2" t="s">
        <v>5</v>
      </c>
    </row>
    <row r="55">
      <c r="A55" s="1">
        <v>43247.419729120375</v>
      </c>
      <c r="B55" s="2">
        <v>604.0</v>
      </c>
      <c r="C55" s="2" t="s">
        <v>36</v>
      </c>
    </row>
    <row r="56">
      <c r="A56" s="1">
        <v>43247.42187269676</v>
      </c>
      <c r="B56" s="2">
        <v>244.0</v>
      </c>
      <c r="C56" s="2" t="s">
        <v>38</v>
      </c>
    </row>
    <row r="57">
      <c r="A57" s="1">
        <v>43247.4235953125</v>
      </c>
      <c r="B57" s="2">
        <v>167.0</v>
      </c>
      <c r="C57" s="2" t="s">
        <v>39</v>
      </c>
    </row>
    <row r="58">
      <c r="A58" s="1">
        <v>43247.4243583912</v>
      </c>
      <c r="B58" s="2">
        <v>603.0</v>
      </c>
      <c r="C58" s="2" t="s">
        <v>40</v>
      </c>
    </row>
    <row r="59">
      <c r="A59" s="1">
        <v>43247.42446685185</v>
      </c>
      <c r="B59" s="2">
        <v>52.0</v>
      </c>
      <c r="C59" s="2" t="s">
        <v>41</v>
      </c>
    </row>
    <row r="60">
      <c r="A60" s="1">
        <v>43247.42481979167</v>
      </c>
      <c r="B60" s="3" t="s">
        <v>42</v>
      </c>
      <c r="C60" s="2" t="s">
        <v>43</v>
      </c>
    </row>
    <row r="61">
      <c r="A61" s="1">
        <v>43247.4259899537</v>
      </c>
      <c r="B61" s="3" t="s">
        <v>44</v>
      </c>
      <c r="C61" s="2" t="s">
        <v>45</v>
      </c>
    </row>
    <row r="62">
      <c r="A62" s="1">
        <v>43247.426289675925</v>
      </c>
      <c r="B62" s="2">
        <v>619.0</v>
      </c>
      <c r="C62" s="2" t="s">
        <v>46</v>
      </c>
    </row>
    <row r="63">
      <c r="A63" s="1">
        <v>43247.42641652778</v>
      </c>
      <c r="B63" s="2">
        <v>214.0</v>
      </c>
      <c r="C63" s="2" t="s">
        <v>47</v>
      </c>
    </row>
    <row r="64">
      <c r="A64" s="1">
        <v>43247.426510000005</v>
      </c>
      <c r="B64" s="3" t="s">
        <v>48</v>
      </c>
      <c r="C64" s="2" t="s">
        <v>49</v>
      </c>
    </row>
    <row r="65">
      <c r="A65" s="1">
        <v>43247.42719715278</v>
      </c>
      <c r="B65" s="2">
        <v>165.0</v>
      </c>
      <c r="C65" s="2" t="s">
        <v>50</v>
      </c>
    </row>
    <row r="66">
      <c r="A66" s="1">
        <v>43247.42721061343</v>
      </c>
      <c r="B66" s="3" t="s">
        <v>51</v>
      </c>
      <c r="C66" s="2" t="s">
        <v>52</v>
      </c>
    </row>
    <row r="67">
      <c r="A67" s="1">
        <v>43247.42744836806</v>
      </c>
      <c r="B67" s="2">
        <v>141.0</v>
      </c>
      <c r="C67" s="2" t="s">
        <v>53</v>
      </c>
    </row>
    <row r="68">
      <c r="A68" s="1">
        <v>43247.427671805555</v>
      </c>
      <c r="B68" s="2">
        <v>729.0</v>
      </c>
      <c r="C68" s="2" t="s">
        <v>54</v>
      </c>
      <c r="D68" s="2" t="s">
        <v>5</v>
      </c>
    </row>
    <row r="69">
      <c r="A69" s="1">
        <v>43247.42784506944</v>
      </c>
      <c r="B69" s="3" t="s">
        <v>55</v>
      </c>
      <c r="C69" s="2" t="s">
        <v>56</v>
      </c>
    </row>
    <row r="70">
      <c r="A70" s="1">
        <v>43247.42800612269</v>
      </c>
      <c r="B70" s="2">
        <v>707.0</v>
      </c>
      <c r="C70" s="2" t="s">
        <v>57</v>
      </c>
      <c r="D70" s="2" t="s">
        <v>5</v>
      </c>
    </row>
    <row r="71">
      <c r="A71" s="1">
        <v>43247.42838194444</v>
      </c>
      <c r="B71" s="2">
        <v>159.0</v>
      </c>
      <c r="C71" s="2" t="s">
        <v>58</v>
      </c>
    </row>
    <row r="72">
      <c r="A72" s="1">
        <v>43247.42866481481</v>
      </c>
      <c r="B72" s="2">
        <v>615.0</v>
      </c>
      <c r="C72" s="2" t="s">
        <v>16</v>
      </c>
    </row>
    <row r="73">
      <c r="A73" s="1">
        <v>43247.42894427083</v>
      </c>
      <c r="B73" s="3" t="s">
        <v>59</v>
      </c>
      <c r="C73" s="2" t="s">
        <v>60</v>
      </c>
    </row>
    <row r="74">
      <c r="A74" s="1">
        <v>43247.42904047454</v>
      </c>
      <c r="B74" s="2">
        <v>52.0</v>
      </c>
      <c r="C74" s="2" t="s">
        <v>41</v>
      </c>
    </row>
    <row r="75">
      <c r="A75" s="1">
        <v>43247.42919672454</v>
      </c>
      <c r="B75" s="2">
        <v>52.0</v>
      </c>
      <c r="C75" s="2" t="s">
        <v>41</v>
      </c>
    </row>
    <row r="76">
      <c r="A76" s="1">
        <v>43247.429210902774</v>
      </c>
      <c r="B76" s="2">
        <v>231.0</v>
      </c>
      <c r="C76" s="2" t="s">
        <v>61</v>
      </c>
    </row>
    <row r="77">
      <c r="A77" s="1">
        <v>43247.42938151621</v>
      </c>
      <c r="B77" s="2">
        <v>231.0</v>
      </c>
      <c r="C77" s="2" t="s">
        <v>61</v>
      </c>
    </row>
    <row r="78">
      <c r="A78" s="1">
        <v>43247.42939780092</v>
      </c>
      <c r="B78" s="2">
        <v>158.0</v>
      </c>
      <c r="C78" s="2" t="s">
        <v>62</v>
      </c>
    </row>
    <row r="79">
      <c r="A79" s="1">
        <v>43247.429521990736</v>
      </c>
      <c r="B79" s="2">
        <v>231.0</v>
      </c>
      <c r="C79" s="2" t="s">
        <v>61</v>
      </c>
    </row>
    <row r="80">
      <c r="A80" s="1">
        <v>43247.42952988426</v>
      </c>
      <c r="B80" s="2">
        <v>52.0</v>
      </c>
      <c r="C80" s="2" t="s">
        <v>41</v>
      </c>
    </row>
    <row r="81">
      <c r="A81" s="1">
        <v>43247.42953877315</v>
      </c>
      <c r="B81" s="3" t="s">
        <v>59</v>
      </c>
      <c r="C81" s="2" t="s">
        <v>60</v>
      </c>
    </row>
    <row r="82">
      <c r="A82" s="1">
        <v>43247.429550243054</v>
      </c>
      <c r="B82" s="2">
        <v>615.0</v>
      </c>
      <c r="C82" s="2" t="s">
        <v>16</v>
      </c>
    </row>
    <row r="83">
      <c r="A83" s="1">
        <v>43247.4305340625</v>
      </c>
      <c r="B83" s="2">
        <v>734.0</v>
      </c>
      <c r="C83" s="2" t="s">
        <v>63</v>
      </c>
      <c r="D83" s="2" t="s">
        <v>5</v>
      </c>
    </row>
    <row r="84">
      <c r="A84" s="1">
        <v>43247.43056097222</v>
      </c>
      <c r="B84" s="2">
        <v>210.0</v>
      </c>
      <c r="C84" s="2" t="s">
        <v>64</v>
      </c>
    </row>
    <row r="85">
      <c r="A85" s="1">
        <v>43247.43069504629</v>
      </c>
      <c r="B85" s="2">
        <v>172.0</v>
      </c>
      <c r="C85" s="2" t="s">
        <v>65</v>
      </c>
    </row>
    <row r="86">
      <c r="A86" s="1">
        <v>43247.43070645833</v>
      </c>
      <c r="B86" s="2">
        <v>734.0</v>
      </c>
      <c r="C86" s="2" t="s">
        <v>63</v>
      </c>
      <c r="D86" s="2" t="s">
        <v>5</v>
      </c>
    </row>
    <row r="87">
      <c r="A87" s="1">
        <v>43247.43078297454</v>
      </c>
      <c r="B87" s="2">
        <v>259.0</v>
      </c>
      <c r="C87" s="2" t="s">
        <v>66</v>
      </c>
    </row>
    <row r="88">
      <c r="A88" s="1">
        <v>43247.43084516204</v>
      </c>
      <c r="B88" s="2">
        <v>260.0</v>
      </c>
      <c r="C88" s="2" t="s">
        <v>67</v>
      </c>
    </row>
    <row r="89">
      <c r="A89" s="1">
        <v>43247.430912870375</v>
      </c>
      <c r="B89" s="2">
        <v>607.0</v>
      </c>
      <c r="C89" s="2" t="s">
        <v>68</v>
      </c>
    </row>
    <row r="90">
      <c r="A90" s="1">
        <v>43247.43101714121</v>
      </c>
      <c r="B90" s="2">
        <v>175.0</v>
      </c>
      <c r="C90" s="2" t="s">
        <v>69</v>
      </c>
    </row>
    <row r="91">
      <c r="A91" s="1">
        <v>43247.431970185185</v>
      </c>
      <c r="B91" s="2">
        <v>201.0</v>
      </c>
      <c r="C91" s="2" t="s">
        <v>70</v>
      </c>
    </row>
    <row r="92">
      <c r="A92" s="1">
        <v>43247.43283864584</v>
      </c>
      <c r="B92" s="2">
        <v>711.0</v>
      </c>
      <c r="C92" s="2" t="s">
        <v>8</v>
      </c>
      <c r="D92" s="2" t="s">
        <v>5</v>
      </c>
    </row>
    <row r="93">
      <c r="A93" s="1">
        <v>43247.433878842596</v>
      </c>
      <c r="B93" s="2">
        <v>607.0</v>
      </c>
      <c r="C93" s="2" t="s">
        <v>68</v>
      </c>
    </row>
    <row r="94">
      <c r="A94" s="1">
        <v>43247.43415959491</v>
      </c>
      <c r="B94" s="2">
        <v>711.0</v>
      </c>
      <c r="C94" s="2" t="s">
        <v>8</v>
      </c>
      <c r="D94" s="2" t="s">
        <v>5</v>
      </c>
    </row>
    <row r="95">
      <c r="A95" s="1">
        <v>43247.43418332176</v>
      </c>
      <c r="B95" s="2">
        <v>711.0</v>
      </c>
      <c r="C95" s="2" t="s">
        <v>8</v>
      </c>
      <c r="D95" s="2" t="s">
        <v>5</v>
      </c>
    </row>
    <row r="96">
      <c r="A96" s="1">
        <v>43247.43434699074</v>
      </c>
      <c r="B96" s="2">
        <v>711.0</v>
      </c>
      <c r="C96" s="2" t="s">
        <v>8</v>
      </c>
      <c r="D96" s="2" t="s">
        <v>5</v>
      </c>
    </row>
    <row r="97">
      <c r="A97" s="1">
        <v>43247.434427685184</v>
      </c>
      <c r="B97" s="2">
        <v>711.0</v>
      </c>
      <c r="C97" s="2" t="s">
        <v>8</v>
      </c>
      <c r="D97" s="2" t="s">
        <v>5</v>
      </c>
    </row>
    <row r="98">
      <c r="A98" s="1">
        <v>43247.43444603009</v>
      </c>
      <c r="B98" s="2">
        <v>711.0</v>
      </c>
      <c r="C98" s="2" t="s">
        <v>8</v>
      </c>
      <c r="D98" s="2" t="s">
        <v>5</v>
      </c>
    </row>
    <row r="99">
      <c r="A99" s="1">
        <v>43247.4356090625</v>
      </c>
      <c r="B99" s="2">
        <v>616.0</v>
      </c>
      <c r="C99" s="2" t="s">
        <v>71</v>
      </c>
    </row>
    <row r="100">
      <c r="A100" s="1">
        <v>43247.43594388889</v>
      </c>
      <c r="B100" s="2">
        <v>137.0</v>
      </c>
      <c r="C100" s="2" t="s">
        <v>72</v>
      </c>
    </row>
    <row r="101">
      <c r="A101" s="1">
        <v>43247.43687738426</v>
      </c>
      <c r="B101" s="2">
        <v>667.0</v>
      </c>
      <c r="C101" s="2" t="s">
        <v>73</v>
      </c>
    </row>
    <row r="102">
      <c r="A102" s="1">
        <v>43247.43718216435</v>
      </c>
      <c r="B102" s="3" t="s">
        <v>74</v>
      </c>
      <c r="C102" s="2" t="s">
        <v>75</v>
      </c>
    </row>
    <row r="103">
      <c r="A103" s="1">
        <v>43247.437593622686</v>
      </c>
      <c r="B103" s="2">
        <v>614.0</v>
      </c>
      <c r="C103" s="2" t="s">
        <v>76</v>
      </c>
    </row>
    <row r="104">
      <c r="A104" s="1">
        <v>43247.43853201389</v>
      </c>
      <c r="B104" s="2">
        <v>653.0</v>
      </c>
      <c r="C104" s="2" t="s">
        <v>77</v>
      </c>
    </row>
    <row r="105">
      <c r="A105" s="1">
        <v>43247.438865648146</v>
      </c>
      <c r="B105" s="3" t="s">
        <v>78</v>
      </c>
      <c r="C105" s="2" t="s">
        <v>79</v>
      </c>
    </row>
    <row r="106">
      <c r="A106" s="1">
        <v>43247.439065405095</v>
      </c>
      <c r="B106" s="2">
        <v>653.0</v>
      </c>
      <c r="C106" s="2" t="s">
        <v>77</v>
      </c>
    </row>
    <row r="107">
      <c r="A107" s="1">
        <v>43247.43907788194</v>
      </c>
      <c r="B107" s="3" t="s">
        <v>80</v>
      </c>
      <c r="C107" s="2" t="s">
        <v>81</v>
      </c>
    </row>
    <row r="108">
      <c r="A108" s="1">
        <v>43247.43920736111</v>
      </c>
      <c r="B108" s="3" t="s">
        <v>82</v>
      </c>
      <c r="C108" s="2" t="s">
        <v>83</v>
      </c>
    </row>
    <row r="109">
      <c r="A109" s="1">
        <v>43247.43924959491</v>
      </c>
      <c r="B109" s="3" t="s">
        <v>82</v>
      </c>
      <c r="C109" s="2" t="s">
        <v>83</v>
      </c>
    </row>
    <row r="110">
      <c r="A110" s="1">
        <v>43247.43927653936</v>
      </c>
      <c r="B110" s="2">
        <v>723.0</v>
      </c>
      <c r="C110" s="2" t="s">
        <v>84</v>
      </c>
      <c r="D110" s="2" t="s">
        <v>5</v>
      </c>
    </row>
    <row r="111">
      <c r="A111" s="1">
        <v>43247.43992577546</v>
      </c>
      <c r="B111" s="2">
        <v>207.0</v>
      </c>
      <c r="C111" s="2" t="s">
        <v>85</v>
      </c>
    </row>
    <row r="112">
      <c r="A112" s="1">
        <v>43247.44007473379</v>
      </c>
      <c r="B112" s="2">
        <v>229.0</v>
      </c>
      <c r="C112" s="2" t="s">
        <v>86</v>
      </c>
    </row>
    <row r="113">
      <c r="A113" s="1">
        <v>43247.44030012732</v>
      </c>
      <c r="B113" s="3" t="s">
        <v>82</v>
      </c>
      <c r="C113" s="2" t="s">
        <v>83</v>
      </c>
    </row>
    <row r="114">
      <c r="A114" s="1">
        <v>43247.44030909722</v>
      </c>
      <c r="B114" s="2">
        <v>126.0</v>
      </c>
      <c r="C114" s="2" t="s">
        <v>87</v>
      </c>
    </row>
    <row r="115">
      <c r="A115" s="1">
        <v>43247.440361319444</v>
      </c>
      <c r="B115" s="3" t="s">
        <v>42</v>
      </c>
      <c r="C115" s="2" t="s">
        <v>43</v>
      </c>
    </row>
    <row r="116">
      <c r="A116" s="1">
        <v>43247.440458240744</v>
      </c>
      <c r="B116" s="3" t="s">
        <v>88</v>
      </c>
      <c r="C116" s="2" t="s">
        <v>89</v>
      </c>
    </row>
    <row r="117">
      <c r="A117" s="1">
        <v>43247.440509259264</v>
      </c>
      <c r="B117" s="2">
        <v>126.0</v>
      </c>
      <c r="C117" s="2" t="s">
        <v>87</v>
      </c>
    </row>
    <row r="118">
      <c r="A118" s="1">
        <v>43247.440533402776</v>
      </c>
      <c r="B118" s="2">
        <v>653.0</v>
      </c>
      <c r="C118" s="2" t="s">
        <v>77</v>
      </c>
    </row>
    <row r="119">
      <c r="A119" s="1">
        <v>43247.44146804398</v>
      </c>
      <c r="B119" s="2">
        <v>624.0</v>
      </c>
      <c r="C119" s="2" t="s">
        <v>90</v>
      </c>
    </row>
    <row r="120">
      <c r="A120" s="1">
        <v>43247.441761863425</v>
      </c>
      <c r="B120" s="2">
        <v>724.0</v>
      </c>
      <c r="C120" s="2" t="s">
        <v>91</v>
      </c>
      <c r="D120" s="2" t="s">
        <v>5</v>
      </c>
    </row>
    <row r="121">
      <c r="A121" s="1">
        <v>43247.441851006944</v>
      </c>
      <c r="B121" s="2">
        <v>725.0</v>
      </c>
      <c r="C121" s="2" t="s">
        <v>92</v>
      </c>
      <c r="D121" s="2" t="s">
        <v>5</v>
      </c>
    </row>
    <row r="122">
      <c r="A122" s="1">
        <v>43247.442236539355</v>
      </c>
      <c r="B122" s="2">
        <v>701.0</v>
      </c>
      <c r="C122" s="2" t="s">
        <v>93</v>
      </c>
      <c r="D122" s="2" t="s">
        <v>5</v>
      </c>
    </row>
    <row r="123">
      <c r="A123" s="1">
        <v>43247.44428909722</v>
      </c>
      <c r="B123" s="3" t="s">
        <v>94</v>
      </c>
      <c r="C123" s="2" t="s">
        <v>95</v>
      </c>
    </row>
    <row r="124">
      <c r="A124" s="1">
        <v>43247.444557766205</v>
      </c>
      <c r="B124" s="2">
        <v>702.0</v>
      </c>
      <c r="C124" s="2" t="s">
        <v>96</v>
      </c>
      <c r="D124" s="2" t="s">
        <v>5</v>
      </c>
    </row>
    <row r="125">
      <c r="A125" s="1">
        <v>43247.44487811343</v>
      </c>
      <c r="B125" s="2">
        <v>709.0</v>
      </c>
      <c r="C125" s="2" t="s">
        <v>20</v>
      </c>
      <c r="D125" s="2" t="s">
        <v>5</v>
      </c>
    </row>
    <row r="126">
      <c r="A126" s="1">
        <v>43247.44496525463</v>
      </c>
      <c r="B126" s="2">
        <v>198.0</v>
      </c>
      <c r="C126" s="2" t="s">
        <v>97</v>
      </c>
    </row>
    <row r="127">
      <c r="A127" s="1">
        <v>43247.44577431713</v>
      </c>
      <c r="B127" s="2">
        <v>662.0</v>
      </c>
      <c r="C127" s="2" t="s">
        <v>18</v>
      </c>
    </row>
    <row r="128">
      <c r="A128" s="1">
        <v>43247.44654892361</v>
      </c>
      <c r="B128" s="2">
        <v>114.0</v>
      </c>
      <c r="C128" s="2" t="s">
        <v>15</v>
      </c>
    </row>
    <row r="129">
      <c r="A129" s="1">
        <v>43247.44683223379</v>
      </c>
      <c r="B129" s="3" t="s">
        <v>9</v>
      </c>
      <c r="C129" s="2" t="s">
        <v>10</v>
      </c>
    </row>
    <row r="130">
      <c r="A130" s="1">
        <v>43247.44684453704</v>
      </c>
      <c r="B130" s="2">
        <v>114.0</v>
      </c>
      <c r="C130" s="2" t="s">
        <v>15</v>
      </c>
    </row>
    <row r="131">
      <c r="A131" s="1">
        <v>43247.44698125</v>
      </c>
      <c r="B131" s="3" t="s">
        <v>9</v>
      </c>
      <c r="C131" s="2" t="s">
        <v>10</v>
      </c>
    </row>
    <row r="132">
      <c r="A132" s="1">
        <v>43247.44706803241</v>
      </c>
      <c r="B132" s="2">
        <v>114.0</v>
      </c>
      <c r="C132" s="2" t="s">
        <v>15</v>
      </c>
    </row>
    <row r="133">
      <c r="A133" s="1">
        <v>43247.4471765625</v>
      </c>
      <c r="B133" s="2">
        <v>708.0</v>
      </c>
      <c r="C133" s="2" t="s">
        <v>4</v>
      </c>
      <c r="D133" s="2" t="s">
        <v>5</v>
      </c>
    </row>
    <row r="134">
      <c r="A134" s="1">
        <v>43247.447271701385</v>
      </c>
      <c r="B134" s="2">
        <v>709.0</v>
      </c>
      <c r="C134" s="2" t="s">
        <v>20</v>
      </c>
      <c r="D134" s="2" t="s">
        <v>5</v>
      </c>
    </row>
    <row r="135">
      <c r="A135" s="1">
        <v>43247.44746740741</v>
      </c>
      <c r="B135" s="2">
        <v>710.0</v>
      </c>
      <c r="C135" s="2" t="s">
        <v>21</v>
      </c>
      <c r="D135" s="2" t="s">
        <v>5</v>
      </c>
    </row>
    <row r="136">
      <c r="A136" s="1">
        <v>43247.447849097225</v>
      </c>
      <c r="B136" s="2">
        <v>729.0</v>
      </c>
      <c r="C136" s="2" t="s">
        <v>54</v>
      </c>
      <c r="D136" s="2" t="s">
        <v>5</v>
      </c>
    </row>
    <row r="137">
      <c r="A137" s="1">
        <v>43247.44811576389</v>
      </c>
      <c r="B137" s="2">
        <v>707.0</v>
      </c>
      <c r="C137" s="2" t="s">
        <v>57</v>
      </c>
      <c r="D137" s="2" t="s">
        <v>5</v>
      </c>
    </row>
    <row r="138">
      <c r="A138" s="1">
        <v>43247.448645219905</v>
      </c>
      <c r="B138" s="3" t="s">
        <v>98</v>
      </c>
      <c r="C138" s="2" t="s">
        <v>99</v>
      </c>
    </row>
    <row r="139">
      <c r="A139" s="1">
        <v>43247.44876</v>
      </c>
      <c r="B139" s="2">
        <v>147.0</v>
      </c>
      <c r="C139" s="2" t="s">
        <v>100</v>
      </c>
    </row>
    <row r="140">
      <c r="A140" s="1">
        <v>43247.448924965276</v>
      </c>
      <c r="B140" s="2">
        <v>726.0</v>
      </c>
      <c r="C140" s="2" t="s">
        <v>101</v>
      </c>
      <c r="D140" s="2" t="s">
        <v>5</v>
      </c>
    </row>
    <row r="141">
      <c r="A141" s="1">
        <v>43247.44909313657</v>
      </c>
      <c r="B141" s="2">
        <v>732.0</v>
      </c>
      <c r="C141" s="2" t="s">
        <v>102</v>
      </c>
      <c r="D141" s="2" t="s">
        <v>5</v>
      </c>
    </row>
    <row r="142">
      <c r="A142" s="1">
        <v>43247.44942038195</v>
      </c>
      <c r="B142" s="3" t="s">
        <v>103</v>
      </c>
      <c r="C142" s="2" t="s">
        <v>104</v>
      </c>
    </row>
    <row r="143">
      <c r="A143" s="1">
        <v>43247.450228692134</v>
      </c>
      <c r="B143" s="2">
        <v>718.0</v>
      </c>
      <c r="C143" s="2" t="s">
        <v>105</v>
      </c>
      <c r="D143" s="2" t="s">
        <v>5</v>
      </c>
    </row>
    <row r="144">
      <c r="A144" s="1">
        <v>43247.45034094907</v>
      </c>
      <c r="B144" s="2">
        <v>719.0</v>
      </c>
      <c r="C144" s="2" t="s">
        <v>106</v>
      </c>
      <c r="D144" s="2" t="s">
        <v>5</v>
      </c>
    </row>
    <row r="145">
      <c r="A145" s="1">
        <v>43247.45095056713</v>
      </c>
      <c r="B145" s="2">
        <v>124.0</v>
      </c>
      <c r="C145" s="2" t="s">
        <v>107</v>
      </c>
    </row>
    <row r="146">
      <c r="A146" s="1">
        <v>43247.45108225694</v>
      </c>
      <c r="B146" s="2">
        <v>101.0</v>
      </c>
      <c r="C146" s="2" t="s">
        <v>108</v>
      </c>
    </row>
    <row r="147">
      <c r="A147" s="1">
        <v>43247.451919444444</v>
      </c>
      <c r="B147" s="2">
        <v>663.0</v>
      </c>
      <c r="C147" s="2" t="s">
        <v>109</v>
      </c>
    </row>
    <row r="148">
      <c r="A148" s="1">
        <v>43247.45204024306</v>
      </c>
      <c r="B148" s="2">
        <v>733.0</v>
      </c>
      <c r="C148" s="2" t="s">
        <v>110</v>
      </c>
      <c r="D148" s="2" t="s">
        <v>5</v>
      </c>
    </row>
    <row r="149">
      <c r="A149" s="1">
        <v>43247.45360420139</v>
      </c>
      <c r="B149" s="3" t="s">
        <v>111</v>
      </c>
      <c r="C149" s="2" t="s">
        <v>112</v>
      </c>
    </row>
    <row r="150">
      <c r="A150" s="1">
        <v>43247.45473362268</v>
      </c>
      <c r="B150" s="3" t="s">
        <v>113</v>
      </c>
      <c r="C150" s="2" t="s">
        <v>114</v>
      </c>
    </row>
    <row r="151">
      <c r="A151" s="1">
        <v>43247.459669421296</v>
      </c>
      <c r="B151" s="2">
        <v>608.0</v>
      </c>
      <c r="C151" s="2" t="s">
        <v>7</v>
      </c>
    </row>
    <row r="152">
      <c r="A152" s="1">
        <v>43247.470208321756</v>
      </c>
      <c r="B152" s="2">
        <v>654.0</v>
      </c>
      <c r="C152" s="2" t="s">
        <v>115</v>
      </c>
    </row>
    <row r="153">
      <c r="A153" s="1">
        <v>43248.372031782405</v>
      </c>
      <c r="B153" s="2">
        <v>214.0</v>
      </c>
      <c r="C153" s="2" t="s">
        <v>47</v>
      </c>
    </row>
    <row r="154">
      <c r="A154" s="1">
        <v>43248.37207003472</v>
      </c>
      <c r="B154" s="2">
        <v>214.0</v>
      </c>
      <c r="C154" s="2" t="s">
        <v>47</v>
      </c>
    </row>
    <row r="155">
      <c r="A155" s="1">
        <v>43248.37208565972</v>
      </c>
      <c r="B155" s="2">
        <v>214.0</v>
      </c>
      <c r="C155" s="2" t="s">
        <v>47</v>
      </c>
    </row>
    <row r="156">
      <c r="A156" s="1">
        <v>43248.37210947917</v>
      </c>
      <c r="B156" s="2">
        <v>214.0</v>
      </c>
      <c r="C156" s="2" t="s">
        <v>47</v>
      </c>
    </row>
    <row r="157">
      <c r="A157" s="1">
        <v>43250.834944953705</v>
      </c>
      <c r="B157" s="2">
        <v>712.0</v>
      </c>
      <c r="C157" s="2" t="s">
        <v>116</v>
      </c>
      <c r="D157" s="2" t="s">
        <v>5</v>
      </c>
    </row>
    <row r="158">
      <c r="A158" s="1">
        <v>43250.92329396991</v>
      </c>
      <c r="B158" s="3" t="s">
        <v>117</v>
      </c>
      <c r="C158" s="2" t="s">
        <v>118</v>
      </c>
    </row>
    <row r="159">
      <c r="A159" s="1">
        <v>43250.92337966435</v>
      </c>
      <c r="B159" s="3" t="s">
        <v>119</v>
      </c>
      <c r="C159" s="2" t="s">
        <v>120</v>
      </c>
    </row>
    <row r="160">
      <c r="A160" s="1">
        <v>43250.92380070602</v>
      </c>
      <c r="B160" s="3" t="s">
        <v>11</v>
      </c>
      <c r="C160" s="2" t="s">
        <v>12</v>
      </c>
    </row>
    <row r="161">
      <c r="A161" s="1">
        <v>43250.924215011575</v>
      </c>
      <c r="B161" s="2">
        <v>672.0</v>
      </c>
      <c r="C161" s="2" t="s">
        <v>6</v>
      </c>
    </row>
    <row r="162">
      <c r="A162" s="1">
        <v>43250.944910983795</v>
      </c>
      <c r="B162" s="2">
        <v>713.0</v>
      </c>
      <c r="C162" s="2" t="s">
        <v>121</v>
      </c>
      <c r="D162" s="2" t="s">
        <v>5</v>
      </c>
    </row>
    <row r="163">
      <c r="A163" s="1">
        <v>43250.94496975694</v>
      </c>
      <c r="B163" s="2">
        <v>714.0</v>
      </c>
      <c r="C163" s="2" t="s">
        <v>122</v>
      </c>
      <c r="D163" s="2" t="s">
        <v>5</v>
      </c>
    </row>
    <row r="164">
      <c r="A164" s="1">
        <v>43250.94555204861</v>
      </c>
      <c r="B164" s="2">
        <v>716.0</v>
      </c>
      <c r="C164" s="2" t="s">
        <v>123</v>
      </c>
      <c r="D164" s="2" t="s">
        <v>5</v>
      </c>
    </row>
    <row r="165">
      <c r="A165" s="1">
        <v>43251.174299791666</v>
      </c>
      <c r="B165" s="2">
        <v>214.0</v>
      </c>
      <c r="C165" s="2" t="s">
        <v>47</v>
      </c>
    </row>
    <row r="166">
      <c r="A166" s="1">
        <v>43253.519002650464</v>
      </c>
      <c r="B166" s="2">
        <v>214.0</v>
      </c>
      <c r="C166" s="2" t="s">
        <v>47</v>
      </c>
    </row>
    <row r="167">
      <c r="A167" s="1">
        <v>43253.51902041667</v>
      </c>
      <c r="B167" s="2">
        <v>214.0</v>
      </c>
      <c r="C167" s="2" t="s">
        <v>47</v>
      </c>
    </row>
    <row r="168">
      <c r="A168" s="1">
        <v>43254.40660244213</v>
      </c>
      <c r="B168" s="2">
        <v>613.0</v>
      </c>
      <c r="C168" s="2" t="s">
        <v>124</v>
      </c>
    </row>
    <row r="169">
      <c r="A169" s="1">
        <v>43254.40695719907</v>
      </c>
      <c r="B169" s="2">
        <v>619.0</v>
      </c>
      <c r="C169" s="2" t="s">
        <v>46</v>
      </c>
    </row>
    <row r="170">
      <c r="A170" s="1">
        <v>43254.40706503473</v>
      </c>
      <c r="B170" s="2">
        <v>214.0</v>
      </c>
      <c r="C170" s="2" t="s">
        <v>47</v>
      </c>
    </row>
    <row r="171">
      <c r="A171" s="1">
        <v>43254.40718019676</v>
      </c>
      <c r="B171" s="2">
        <v>165.0</v>
      </c>
      <c r="C171" s="2" t="s">
        <v>50</v>
      </c>
    </row>
    <row r="172">
      <c r="A172" s="1">
        <v>43254.40739521991</v>
      </c>
      <c r="B172" s="2">
        <v>167.0</v>
      </c>
      <c r="C172" s="2" t="s">
        <v>39</v>
      </c>
    </row>
    <row r="173">
      <c r="A173" s="1">
        <v>43254.407528634256</v>
      </c>
      <c r="B173" s="2">
        <v>214.0</v>
      </c>
      <c r="C173" s="2" t="s">
        <v>47</v>
      </c>
    </row>
    <row r="174">
      <c r="A174" s="1">
        <v>43254.4075621875</v>
      </c>
      <c r="B174" s="2">
        <v>214.0</v>
      </c>
      <c r="C174" s="2" t="s">
        <v>47</v>
      </c>
    </row>
    <row r="175">
      <c r="A175" s="1">
        <v>43254.408749560185</v>
      </c>
      <c r="B175" s="2">
        <v>231.0</v>
      </c>
      <c r="C175" s="2" t="s">
        <v>61</v>
      </c>
    </row>
    <row r="176">
      <c r="A176" s="1">
        <v>43254.41582392361</v>
      </c>
      <c r="B176" s="2">
        <v>601.0</v>
      </c>
      <c r="C176" s="2" t="s">
        <v>125</v>
      </c>
    </row>
    <row r="177">
      <c r="A177" s="1">
        <v>43254.41954150463</v>
      </c>
      <c r="B177" s="3" t="s">
        <v>51</v>
      </c>
      <c r="C177" s="2" t="s">
        <v>52</v>
      </c>
    </row>
    <row r="178">
      <c r="A178" s="1">
        <v>43254.41964371528</v>
      </c>
      <c r="B178" s="2">
        <v>722.0</v>
      </c>
      <c r="C178" s="2" t="s">
        <v>25</v>
      </c>
      <c r="D178" s="2" t="s">
        <v>5</v>
      </c>
    </row>
    <row r="179">
      <c r="A179" s="1">
        <v>43254.41979122685</v>
      </c>
      <c r="B179" s="2">
        <v>219.0</v>
      </c>
      <c r="C179" s="2" t="s">
        <v>31</v>
      </c>
    </row>
    <row r="180">
      <c r="A180" s="1">
        <v>43254.41993902778</v>
      </c>
      <c r="B180" s="2">
        <v>173.0</v>
      </c>
      <c r="C180" s="2" t="s">
        <v>24</v>
      </c>
    </row>
    <row r="181">
      <c r="A181" s="1">
        <v>43254.42016483797</v>
      </c>
      <c r="B181" s="2">
        <v>193.0</v>
      </c>
      <c r="C181" s="2" t="s">
        <v>30</v>
      </c>
    </row>
    <row r="182">
      <c r="A182" s="1">
        <v>43254.42032489584</v>
      </c>
      <c r="B182" s="2">
        <v>207.0</v>
      </c>
      <c r="C182" s="2" t="s">
        <v>85</v>
      </c>
    </row>
    <row r="183">
      <c r="A183" s="1">
        <v>43254.42082318287</v>
      </c>
      <c r="B183" s="2">
        <v>113.0</v>
      </c>
      <c r="C183" s="2" t="s">
        <v>29</v>
      </c>
    </row>
    <row r="184">
      <c r="A184" s="1">
        <v>43254.42237810185</v>
      </c>
      <c r="B184" s="3" t="s">
        <v>32</v>
      </c>
      <c r="C184" s="2" t="s">
        <v>33</v>
      </c>
    </row>
    <row r="185">
      <c r="A185" s="1">
        <v>43254.42411046296</v>
      </c>
      <c r="B185" s="3" t="s">
        <v>126</v>
      </c>
      <c r="C185" s="2" t="s">
        <v>127</v>
      </c>
    </row>
    <row r="186">
      <c r="A186" s="1">
        <v>43254.4243908912</v>
      </c>
      <c r="B186" s="3" t="s">
        <v>48</v>
      </c>
      <c r="C186" s="2" t="s">
        <v>49</v>
      </c>
    </row>
    <row r="187">
      <c r="A187" s="1">
        <v>43254.42539525463</v>
      </c>
      <c r="B187" s="2">
        <v>189.0</v>
      </c>
      <c r="C187" s="2" t="s">
        <v>128</v>
      </c>
    </row>
    <row r="188">
      <c r="A188" s="1">
        <v>43254.42569857639</v>
      </c>
      <c r="B188" s="2">
        <v>141.0</v>
      </c>
      <c r="C188" s="2" t="s">
        <v>53</v>
      </c>
    </row>
    <row r="189">
      <c r="A189" s="1">
        <v>43254.42606769676</v>
      </c>
      <c r="B189" s="2">
        <v>141.0</v>
      </c>
      <c r="C189" s="2" t="s">
        <v>53</v>
      </c>
    </row>
    <row r="190">
      <c r="A190" s="1">
        <v>43254.426248344906</v>
      </c>
      <c r="B190" s="3" t="s">
        <v>44</v>
      </c>
      <c r="C190" s="2" t="s">
        <v>45</v>
      </c>
    </row>
    <row r="191">
      <c r="A191" s="1">
        <v>43254.42624835648</v>
      </c>
      <c r="B191" s="2">
        <v>707.0</v>
      </c>
      <c r="C191" s="2" t="s">
        <v>57</v>
      </c>
      <c r="D191" s="2" t="s">
        <v>5</v>
      </c>
    </row>
    <row r="192">
      <c r="A192" s="1">
        <v>43254.426401226854</v>
      </c>
      <c r="B192" s="3" t="s">
        <v>55</v>
      </c>
      <c r="C192" s="2" t="s">
        <v>56</v>
      </c>
    </row>
    <row r="193">
      <c r="A193" s="1">
        <v>43254.42646436342</v>
      </c>
      <c r="B193" s="2">
        <v>257.0</v>
      </c>
      <c r="C193" s="2" t="s">
        <v>27</v>
      </c>
    </row>
    <row r="194">
      <c r="A194" s="1">
        <v>43254.42661326389</v>
      </c>
      <c r="B194" s="2">
        <v>729.0</v>
      </c>
      <c r="C194" s="2" t="s">
        <v>54</v>
      </c>
      <c r="D194" s="2" t="s">
        <v>5</v>
      </c>
    </row>
    <row r="195">
      <c r="A195" s="1">
        <v>43254.426765717595</v>
      </c>
      <c r="B195" s="2">
        <v>671.0</v>
      </c>
      <c r="C195" s="2" t="s">
        <v>129</v>
      </c>
    </row>
    <row r="196">
      <c r="A196" s="1">
        <v>43254.42684233796</v>
      </c>
      <c r="B196" s="2">
        <v>141.0</v>
      </c>
      <c r="C196" s="2" t="s">
        <v>53</v>
      </c>
    </row>
    <row r="197">
      <c r="A197" s="1">
        <v>43254.42688449074</v>
      </c>
      <c r="B197" s="2">
        <v>202.0</v>
      </c>
      <c r="C197" s="2" t="s">
        <v>130</v>
      </c>
    </row>
    <row r="198">
      <c r="A198" s="1">
        <v>43254.42874427083</v>
      </c>
      <c r="B198" s="2">
        <v>602.0</v>
      </c>
      <c r="C198" s="2" t="s">
        <v>131</v>
      </c>
    </row>
    <row r="199">
      <c r="A199" s="1">
        <v>43254.42900682871</v>
      </c>
      <c r="B199" s="3" t="s">
        <v>74</v>
      </c>
      <c r="C199" s="2" t="s">
        <v>75</v>
      </c>
    </row>
    <row r="200">
      <c r="A200" s="1">
        <v>43254.42950050926</v>
      </c>
      <c r="B200" s="2">
        <v>238.0</v>
      </c>
      <c r="C200" s="2" t="s">
        <v>35</v>
      </c>
    </row>
    <row r="201">
      <c r="A201" s="1">
        <v>43254.43036052083</v>
      </c>
      <c r="B201" s="2">
        <v>734.0</v>
      </c>
      <c r="C201" s="2" t="s">
        <v>63</v>
      </c>
      <c r="D201" s="2" t="s">
        <v>5</v>
      </c>
    </row>
    <row r="202">
      <c r="A202" s="1">
        <v>43254.4303884838</v>
      </c>
      <c r="B202" s="2">
        <v>259.0</v>
      </c>
      <c r="C202" s="2" t="s">
        <v>66</v>
      </c>
    </row>
    <row r="203">
      <c r="A203" s="1">
        <v>43254.43041626157</v>
      </c>
      <c r="B203" s="2">
        <v>260.0</v>
      </c>
      <c r="C203" s="2" t="s">
        <v>67</v>
      </c>
    </row>
    <row r="204">
      <c r="A204" s="1">
        <v>43254.43148663195</v>
      </c>
      <c r="B204" s="2">
        <v>202.0</v>
      </c>
      <c r="C204" s="2" t="s">
        <v>130</v>
      </c>
    </row>
    <row r="205">
      <c r="A205" s="1">
        <v>43254.43148678241</v>
      </c>
      <c r="B205" s="2">
        <v>260.0</v>
      </c>
      <c r="C205" s="2" t="s">
        <v>67</v>
      </c>
    </row>
    <row r="206">
      <c r="A206" s="1">
        <v>43254.43174939815</v>
      </c>
      <c r="B206" s="2">
        <v>159.0</v>
      </c>
      <c r="C206" s="2" t="s">
        <v>58</v>
      </c>
    </row>
    <row r="207">
      <c r="A207" s="1">
        <v>43254.43242636574</v>
      </c>
      <c r="B207" s="2">
        <v>158.0</v>
      </c>
      <c r="C207" s="2" t="s">
        <v>62</v>
      </c>
    </row>
    <row r="208">
      <c r="A208" s="1">
        <v>43254.433079317125</v>
      </c>
      <c r="B208" s="2">
        <v>210.0</v>
      </c>
      <c r="C208" s="2" t="s">
        <v>64</v>
      </c>
    </row>
    <row r="209">
      <c r="A209" s="1">
        <v>43254.433332175926</v>
      </c>
      <c r="B209" s="2">
        <v>201.0</v>
      </c>
      <c r="C209" s="2" t="s">
        <v>70</v>
      </c>
    </row>
    <row r="210">
      <c r="A210" s="1">
        <v>43254.433516018515</v>
      </c>
      <c r="B210" s="2">
        <v>254.0</v>
      </c>
      <c r="C210" s="2" t="s">
        <v>132</v>
      </c>
    </row>
    <row r="211">
      <c r="A211" s="1">
        <v>43254.43405609953</v>
      </c>
      <c r="B211" s="2">
        <v>175.0</v>
      </c>
      <c r="C211" s="2" t="s">
        <v>69</v>
      </c>
    </row>
    <row r="212">
      <c r="A212" s="1">
        <v>43254.434410138885</v>
      </c>
      <c r="B212" s="3" t="s">
        <v>88</v>
      </c>
      <c r="C212" s="2" t="s">
        <v>89</v>
      </c>
    </row>
    <row r="213">
      <c r="A213" s="1">
        <v>43254.43462181713</v>
      </c>
      <c r="B213" s="2">
        <v>623.0</v>
      </c>
      <c r="C213" s="2" t="s">
        <v>133</v>
      </c>
    </row>
    <row r="214">
      <c r="A214" s="1">
        <v>43254.43549508102</v>
      </c>
      <c r="B214" s="2">
        <v>654.0</v>
      </c>
      <c r="C214" s="2" t="s">
        <v>115</v>
      </c>
    </row>
    <row r="215">
      <c r="A215" s="1">
        <v>43254.43593730324</v>
      </c>
      <c r="B215" s="2">
        <v>735.0</v>
      </c>
      <c r="C215" s="2" t="s">
        <v>37</v>
      </c>
      <c r="D215" s="2" t="s">
        <v>5</v>
      </c>
    </row>
    <row r="216">
      <c r="A216" s="1">
        <v>43254.43598193287</v>
      </c>
      <c r="B216" s="2">
        <v>262.0</v>
      </c>
      <c r="C216" s="2" t="s">
        <v>28</v>
      </c>
    </row>
    <row r="217">
      <c r="A217" s="1">
        <v>43254.4360166088</v>
      </c>
      <c r="B217" s="2">
        <v>607.0</v>
      </c>
      <c r="C217" s="2" t="s">
        <v>68</v>
      </c>
    </row>
    <row r="218">
      <c r="A218" s="1">
        <v>43254.4360394213</v>
      </c>
      <c r="B218" s="2">
        <v>52.0</v>
      </c>
      <c r="C218" s="2" t="s">
        <v>41</v>
      </c>
    </row>
    <row r="219">
      <c r="A219" s="1">
        <v>43254.43614185185</v>
      </c>
      <c r="B219" s="2">
        <v>604.0</v>
      </c>
      <c r="C219" s="2" t="s">
        <v>36</v>
      </c>
    </row>
    <row r="220">
      <c r="A220" s="1">
        <v>43254.43629278935</v>
      </c>
      <c r="B220" s="2">
        <v>624.0</v>
      </c>
      <c r="C220" s="2" t="s">
        <v>90</v>
      </c>
    </row>
    <row r="221">
      <c r="A221" s="1">
        <v>43254.436382858796</v>
      </c>
      <c r="B221" s="2">
        <v>627.0</v>
      </c>
      <c r="C221" s="2" t="s">
        <v>134</v>
      </c>
    </row>
    <row r="222">
      <c r="A222" s="1">
        <v>43254.43650001158</v>
      </c>
      <c r="B222" s="2">
        <v>724.0</v>
      </c>
      <c r="C222" s="2" t="s">
        <v>91</v>
      </c>
      <c r="D222" s="2" t="s">
        <v>5</v>
      </c>
    </row>
    <row r="223">
      <c r="A223" s="1">
        <v>43254.43658879629</v>
      </c>
      <c r="B223" s="2">
        <v>725.0</v>
      </c>
      <c r="C223" s="2" t="s">
        <v>92</v>
      </c>
      <c r="D223" s="2" t="s">
        <v>5</v>
      </c>
    </row>
    <row r="224">
      <c r="A224" s="1">
        <v>43254.436716909724</v>
      </c>
      <c r="B224" s="2">
        <v>172.0</v>
      </c>
      <c r="C224" s="2" t="s">
        <v>65</v>
      </c>
    </row>
    <row r="225">
      <c r="A225" s="1">
        <v>43254.43770202546</v>
      </c>
      <c r="B225" s="2">
        <v>229.0</v>
      </c>
      <c r="C225" s="2" t="s">
        <v>86</v>
      </c>
    </row>
    <row r="226">
      <c r="A226" s="1">
        <v>43254.4378531713</v>
      </c>
      <c r="B226" s="2">
        <v>653.0</v>
      </c>
      <c r="C226" s="2" t="s">
        <v>77</v>
      </c>
    </row>
    <row r="227">
      <c r="A227" s="1">
        <v>43254.43792655093</v>
      </c>
      <c r="B227" s="3" t="s">
        <v>80</v>
      </c>
      <c r="C227" s="2" t="s">
        <v>81</v>
      </c>
    </row>
    <row r="228">
      <c r="A228" s="1">
        <v>43254.43838381945</v>
      </c>
      <c r="B228" s="3" t="s">
        <v>13</v>
      </c>
      <c r="C228" s="2" t="s">
        <v>14</v>
      </c>
    </row>
    <row r="229">
      <c r="A229" s="1">
        <v>43254.43912059028</v>
      </c>
      <c r="B229" s="3" t="s">
        <v>9</v>
      </c>
      <c r="C229" s="2" t="s">
        <v>10</v>
      </c>
    </row>
    <row r="230">
      <c r="A230" s="1">
        <v>43254.43931726852</v>
      </c>
      <c r="B230" s="2">
        <v>114.0</v>
      </c>
      <c r="C230" s="2" t="s">
        <v>15</v>
      </c>
    </row>
    <row r="231">
      <c r="A231" s="1">
        <v>43254.43979497685</v>
      </c>
      <c r="B231" s="2">
        <v>708.0</v>
      </c>
      <c r="C231" s="2" t="s">
        <v>4</v>
      </c>
      <c r="D231" s="2" t="s">
        <v>5</v>
      </c>
    </row>
    <row r="232">
      <c r="A232" s="1">
        <v>43254.43988133102</v>
      </c>
      <c r="B232" s="3" t="s">
        <v>13</v>
      </c>
      <c r="C232" s="2" t="s">
        <v>14</v>
      </c>
    </row>
    <row r="233">
      <c r="A233" s="1">
        <v>43254.44038313658</v>
      </c>
      <c r="B233" s="2">
        <v>709.0</v>
      </c>
      <c r="C233" s="2" t="s">
        <v>20</v>
      </c>
      <c r="D233" s="2" t="s">
        <v>5</v>
      </c>
    </row>
    <row r="234">
      <c r="A234" s="1">
        <v>43254.44046204861</v>
      </c>
      <c r="B234" s="2">
        <v>710.0</v>
      </c>
      <c r="C234" s="2" t="s">
        <v>21</v>
      </c>
      <c r="D234" s="2" t="s">
        <v>5</v>
      </c>
    </row>
    <row r="235">
      <c r="A235" s="1">
        <v>43254.440746064814</v>
      </c>
      <c r="B235" s="2">
        <v>202.0</v>
      </c>
      <c r="C235" s="2" t="s">
        <v>130</v>
      </c>
    </row>
    <row r="236">
      <c r="A236" s="1">
        <v>43254.44109679398</v>
      </c>
      <c r="B236" s="3" t="s">
        <v>98</v>
      </c>
      <c r="C236" s="2" t="s">
        <v>99</v>
      </c>
    </row>
    <row r="237">
      <c r="A237" s="1">
        <v>43254.44124299768</v>
      </c>
      <c r="B237" s="2">
        <v>147.0</v>
      </c>
      <c r="C237" s="2" t="s">
        <v>100</v>
      </c>
    </row>
    <row r="238">
      <c r="A238" s="1">
        <v>43254.44135866898</v>
      </c>
      <c r="B238" s="2">
        <v>726.0</v>
      </c>
      <c r="C238" s="2" t="s">
        <v>101</v>
      </c>
      <c r="D238" s="2" t="s">
        <v>5</v>
      </c>
    </row>
    <row r="239">
      <c r="A239" s="1">
        <v>43254.441416331014</v>
      </c>
      <c r="B239" s="2">
        <v>732.0</v>
      </c>
      <c r="C239" s="2" t="s">
        <v>102</v>
      </c>
      <c r="D239" s="2" t="s">
        <v>5</v>
      </c>
    </row>
    <row r="240">
      <c r="A240" s="1">
        <v>43254.44230708333</v>
      </c>
      <c r="B240" s="3" t="s">
        <v>111</v>
      </c>
      <c r="C240" s="2" t="s">
        <v>112</v>
      </c>
    </row>
    <row r="241">
      <c r="A241" s="1">
        <v>43254.442758136574</v>
      </c>
      <c r="B241" s="2">
        <v>124.0</v>
      </c>
      <c r="C241" s="2" t="s">
        <v>107</v>
      </c>
    </row>
    <row r="242">
      <c r="A242" s="1">
        <v>43254.44295571759</v>
      </c>
      <c r="B242" s="3" t="s">
        <v>113</v>
      </c>
      <c r="C242" s="2" t="s">
        <v>114</v>
      </c>
    </row>
    <row r="243">
      <c r="A243" s="1">
        <v>43254.44301383102</v>
      </c>
      <c r="B243" s="2">
        <v>101.0</v>
      </c>
      <c r="C243" s="2" t="s">
        <v>108</v>
      </c>
    </row>
    <row r="244">
      <c r="A244" s="1">
        <v>43254.44310574074</v>
      </c>
      <c r="B244" s="2">
        <v>718.0</v>
      </c>
      <c r="C244" s="2" t="s">
        <v>105</v>
      </c>
      <c r="D244" s="2" t="s">
        <v>5</v>
      </c>
    </row>
    <row r="245">
      <c r="A245" s="1">
        <v>43254.443149004626</v>
      </c>
      <c r="B245" s="2">
        <v>719.0</v>
      </c>
      <c r="C245" s="2" t="s">
        <v>106</v>
      </c>
      <c r="D245" s="2" t="s">
        <v>5</v>
      </c>
    </row>
    <row r="246">
      <c r="A246" s="1">
        <v>43254.44375554398</v>
      </c>
      <c r="B246" s="2">
        <v>228.0</v>
      </c>
      <c r="C246" s="2" t="s">
        <v>135</v>
      </c>
    </row>
    <row r="247">
      <c r="A247" s="1">
        <v>43254.444773043986</v>
      </c>
      <c r="B247" s="2">
        <v>202.0</v>
      </c>
      <c r="C247" s="2" t="s">
        <v>130</v>
      </c>
    </row>
    <row r="248">
      <c r="A248" s="1">
        <v>43254.44515836806</v>
      </c>
      <c r="B248" s="2">
        <v>625.0</v>
      </c>
      <c r="C248" s="2" t="s">
        <v>136</v>
      </c>
    </row>
    <row r="249">
      <c r="A249" s="1">
        <v>43254.44753826389</v>
      </c>
      <c r="B249" s="2">
        <v>723.0</v>
      </c>
      <c r="C249" s="2" t="s">
        <v>84</v>
      </c>
      <c r="D249" s="2" t="s">
        <v>5</v>
      </c>
    </row>
    <row r="250">
      <c r="A250" s="1">
        <v>43254.44830561343</v>
      </c>
      <c r="B250" s="3" t="s">
        <v>78</v>
      </c>
      <c r="C250" s="2" t="s">
        <v>79</v>
      </c>
    </row>
    <row r="251">
      <c r="A251" s="1">
        <v>43254.44954961806</v>
      </c>
      <c r="B251" s="2">
        <v>215.0</v>
      </c>
      <c r="C251" s="2" t="s">
        <v>137</v>
      </c>
    </row>
    <row r="252">
      <c r="A252" s="1">
        <v>43254.45110615741</v>
      </c>
      <c r="B252" s="3" t="s">
        <v>42</v>
      </c>
      <c r="C252" s="2" t="s">
        <v>43</v>
      </c>
    </row>
    <row r="253">
      <c r="A253" s="1">
        <v>43254.46211929398</v>
      </c>
      <c r="B253" s="3" t="s">
        <v>119</v>
      </c>
      <c r="C253" s="2" t="s">
        <v>120</v>
      </c>
    </row>
    <row r="254">
      <c r="A254" s="1">
        <v>43254.462175671295</v>
      </c>
      <c r="B254" s="3" t="s">
        <v>117</v>
      </c>
      <c r="C254" s="2" t="s">
        <v>118</v>
      </c>
    </row>
    <row r="255">
      <c r="A255" s="1">
        <v>43254.462328124995</v>
      </c>
      <c r="B255" s="2">
        <v>713.0</v>
      </c>
      <c r="C255" s="2" t="s">
        <v>121</v>
      </c>
      <c r="D255" s="2" t="s">
        <v>5</v>
      </c>
    </row>
    <row r="256">
      <c r="A256" s="1">
        <v>43254.46237633102</v>
      </c>
      <c r="B256" s="2">
        <v>714.0</v>
      </c>
      <c r="C256" s="2" t="s">
        <v>122</v>
      </c>
      <c r="D256" s="2" t="s">
        <v>5</v>
      </c>
    </row>
    <row r="257">
      <c r="A257" s="1">
        <v>43254.46638525463</v>
      </c>
      <c r="B257" s="3" t="s">
        <v>42</v>
      </c>
      <c r="C257" s="2" t="s">
        <v>43</v>
      </c>
    </row>
    <row r="258">
      <c r="A258" s="1">
        <v>43254.47912989583</v>
      </c>
      <c r="B258" s="2">
        <v>253.0</v>
      </c>
      <c r="C258" s="2" t="s">
        <v>138</v>
      </c>
    </row>
    <row r="259">
      <c r="A259" s="1">
        <v>43254.552641608796</v>
      </c>
      <c r="B259" s="2">
        <v>214.0</v>
      </c>
      <c r="C259" s="2" t="s">
        <v>47</v>
      </c>
    </row>
    <row r="260">
      <c r="A260" s="1">
        <v>43254.55337001158</v>
      </c>
      <c r="B260" s="2">
        <v>214.0</v>
      </c>
      <c r="C260" s="2" t="s">
        <v>47</v>
      </c>
    </row>
    <row r="261">
      <c r="A261" s="1">
        <v>43254.55342211806</v>
      </c>
      <c r="B261" s="2">
        <v>214.0</v>
      </c>
      <c r="C261" s="2" t="s">
        <v>47</v>
      </c>
    </row>
    <row r="262">
      <c r="A262" s="1">
        <v>43254.553791666665</v>
      </c>
      <c r="B262" s="2">
        <v>214.0</v>
      </c>
      <c r="C262" s="2" t="s">
        <v>47</v>
      </c>
    </row>
    <row r="263">
      <c r="A263" s="1">
        <v>43254.55559017361</v>
      </c>
      <c r="B263" s="2">
        <v>214.0</v>
      </c>
      <c r="C263" s="2" t="s">
        <v>47</v>
      </c>
    </row>
    <row r="264">
      <c r="A264" s="1">
        <v>43256.91021672454</v>
      </c>
      <c r="B264" s="2">
        <v>670.0</v>
      </c>
      <c r="C264" s="2" t="s">
        <v>139</v>
      </c>
    </row>
    <row r="265">
      <c r="A265" s="1">
        <v>43256.91029211806</v>
      </c>
      <c r="B265" s="2">
        <v>671.0</v>
      </c>
      <c r="C265" s="2" t="s">
        <v>129</v>
      </c>
    </row>
    <row r="266">
      <c r="A266" s="1">
        <v>43256.91036594908</v>
      </c>
      <c r="B266" s="2">
        <v>672.0</v>
      </c>
      <c r="C266" s="2" t="s">
        <v>6</v>
      </c>
    </row>
    <row r="267">
      <c r="A267" s="1">
        <v>43256.91052521991</v>
      </c>
      <c r="B267" s="2">
        <v>237.0</v>
      </c>
      <c r="C267" s="2" t="s">
        <v>140</v>
      </c>
    </row>
    <row r="268">
      <c r="A268" s="1">
        <v>43256.910737060185</v>
      </c>
      <c r="B268" s="2">
        <v>157.0</v>
      </c>
      <c r="C268" s="2" t="s">
        <v>141</v>
      </c>
    </row>
    <row r="269">
      <c r="A269" s="1">
        <v>43256.91189083333</v>
      </c>
      <c r="B269" s="2">
        <v>244.0</v>
      </c>
      <c r="C269" s="2" t="s">
        <v>38</v>
      </c>
    </row>
    <row r="270">
      <c r="A270" s="1">
        <v>43256.91553265046</v>
      </c>
      <c r="B270" s="3" t="s">
        <v>59</v>
      </c>
      <c r="C270" s="2" t="s">
        <v>60</v>
      </c>
    </row>
    <row r="271">
      <c r="A271" s="1">
        <v>43256.923485231484</v>
      </c>
      <c r="B271" s="2">
        <v>236.0</v>
      </c>
      <c r="C271" s="2" t="s">
        <v>142</v>
      </c>
    </row>
    <row r="272">
      <c r="A272" s="1">
        <v>43256.924701909724</v>
      </c>
      <c r="B272" s="2">
        <v>246.0</v>
      </c>
      <c r="C272" s="2" t="s">
        <v>26</v>
      </c>
    </row>
    <row r="273">
      <c r="A273" s="1">
        <v>43256.92616643518</v>
      </c>
      <c r="B273" s="2">
        <v>611.0</v>
      </c>
      <c r="C273" s="2" t="s">
        <v>143</v>
      </c>
    </row>
    <row r="274">
      <c r="A274" s="1">
        <v>43256.950766354166</v>
      </c>
      <c r="B274" s="2">
        <v>603.0</v>
      </c>
      <c r="C274" s="2" t="s">
        <v>40</v>
      </c>
    </row>
    <row r="275">
      <c r="A275" s="1">
        <v>43256.95231533565</v>
      </c>
      <c r="B275" s="2">
        <v>655.0</v>
      </c>
      <c r="C275" s="2" t="s">
        <v>17</v>
      </c>
    </row>
    <row r="276">
      <c r="A276" s="1">
        <v>43256.95256900463</v>
      </c>
      <c r="B276" s="2">
        <v>656.0</v>
      </c>
      <c r="C276" s="2" t="s">
        <v>144</v>
      </c>
    </row>
    <row r="277">
      <c r="A277" s="1">
        <v>43256.95310863426</v>
      </c>
      <c r="B277" s="2">
        <v>711.0</v>
      </c>
      <c r="C277" s="2" t="s">
        <v>8</v>
      </c>
      <c r="D277" s="2" t="s">
        <v>5</v>
      </c>
    </row>
    <row r="278">
      <c r="A278" s="1">
        <v>43256.95509033564</v>
      </c>
      <c r="B278" s="2">
        <v>665.0</v>
      </c>
      <c r="C278" s="2" t="s">
        <v>145</v>
      </c>
    </row>
    <row r="279">
      <c r="A279" s="1">
        <v>43261.39588755787</v>
      </c>
      <c r="B279" s="2">
        <v>214.0</v>
      </c>
      <c r="C279" s="2" t="s">
        <v>47</v>
      </c>
    </row>
    <row r="280">
      <c r="A280" s="1">
        <v>43261.41356627315</v>
      </c>
      <c r="B280" s="2">
        <v>238.0</v>
      </c>
      <c r="C280" s="2" t="s">
        <v>35</v>
      </c>
    </row>
    <row r="281">
      <c r="A281" s="1">
        <v>43261.413874872684</v>
      </c>
      <c r="B281" s="2">
        <v>604.0</v>
      </c>
      <c r="C281" s="2" t="s">
        <v>36</v>
      </c>
    </row>
    <row r="282">
      <c r="A282" s="1">
        <v>43261.41493204861</v>
      </c>
      <c r="B282" s="2">
        <v>202.0</v>
      </c>
      <c r="C282" s="2" t="s">
        <v>130</v>
      </c>
    </row>
    <row r="283">
      <c r="A283" s="1">
        <v>43261.41497304398</v>
      </c>
      <c r="B283" s="2">
        <v>202.0</v>
      </c>
      <c r="C283" s="2" t="s">
        <v>130</v>
      </c>
    </row>
    <row r="284">
      <c r="A284" s="1">
        <v>43261.41500537037</v>
      </c>
      <c r="B284" s="2">
        <v>708.0</v>
      </c>
      <c r="C284" s="2" t="s">
        <v>4</v>
      </c>
      <c r="D284" s="2" t="s">
        <v>5</v>
      </c>
    </row>
    <row r="285">
      <c r="A285" s="1">
        <v>43261.41510626157</v>
      </c>
      <c r="B285" s="2">
        <v>708.0</v>
      </c>
      <c r="C285" s="2" t="s">
        <v>4</v>
      </c>
      <c r="D285" s="2" t="s">
        <v>5</v>
      </c>
    </row>
    <row r="286">
      <c r="A286" s="1">
        <v>43261.41582202546</v>
      </c>
      <c r="B286" s="2">
        <v>167.0</v>
      </c>
      <c r="C286" s="2" t="s">
        <v>39</v>
      </c>
    </row>
    <row r="287">
      <c r="A287" s="1">
        <v>43261.41973519676</v>
      </c>
      <c r="B287" s="2">
        <v>722.0</v>
      </c>
      <c r="C287" s="2" t="s">
        <v>25</v>
      </c>
      <c r="D287" s="2" t="s">
        <v>5</v>
      </c>
    </row>
    <row r="288">
      <c r="A288" s="1">
        <v>43261.421392766206</v>
      </c>
      <c r="B288" s="2">
        <v>158.0</v>
      </c>
      <c r="C288" s="2" t="s">
        <v>62</v>
      </c>
    </row>
    <row r="289">
      <c r="A289" s="1">
        <v>43261.42249040509</v>
      </c>
      <c r="B289" s="2">
        <v>246.0</v>
      </c>
      <c r="C289" s="2" t="s">
        <v>26</v>
      </c>
    </row>
    <row r="290">
      <c r="A290" s="1">
        <v>43261.422737395835</v>
      </c>
      <c r="B290" s="3" t="s">
        <v>111</v>
      </c>
      <c r="C290" s="2" t="s">
        <v>112</v>
      </c>
    </row>
    <row r="291">
      <c r="A291" s="1">
        <v>43261.42293234954</v>
      </c>
      <c r="B291" s="2">
        <v>252.0</v>
      </c>
      <c r="C291" s="2" t="s">
        <v>34</v>
      </c>
    </row>
    <row r="292">
      <c r="A292" s="1">
        <v>43261.42412792824</v>
      </c>
      <c r="B292" s="3" t="s">
        <v>51</v>
      </c>
      <c r="C292" s="2" t="s">
        <v>52</v>
      </c>
    </row>
    <row r="293">
      <c r="A293" s="1">
        <v>43261.42558697917</v>
      </c>
      <c r="B293" s="2">
        <v>627.0</v>
      </c>
      <c r="C293" s="2" t="s">
        <v>134</v>
      </c>
    </row>
    <row r="294">
      <c r="A294" s="1">
        <v>43261.42798712963</v>
      </c>
      <c r="B294" s="3" t="s">
        <v>126</v>
      </c>
      <c r="C294" s="2" t="s">
        <v>127</v>
      </c>
    </row>
    <row r="295">
      <c r="A295" s="1">
        <v>43261.42829939815</v>
      </c>
      <c r="B295" s="2">
        <v>708.0</v>
      </c>
      <c r="C295" s="2" t="s">
        <v>4</v>
      </c>
      <c r="D295" s="2" t="s">
        <v>5</v>
      </c>
    </row>
    <row r="296">
      <c r="A296" s="1">
        <v>43261.428301527776</v>
      </c>
      <c r="B296" s="3" t="s">
        <v>51</v>
      </c>
      <c r="C296" s="2" t="s">
        <v>52</v>
      </c>
    </row>
    <row r="297">
      <c r="A297" s="1">
        <v>43261.42833311342</v>
      </c>
      <c r="B297" s="2">
        <v>716.0</v>
      </c>
      <c r="C297" s="2" t="s">
        <v>123</v>
      </c>
      <c r="D297" s="2" t="s">
        <v>5</v>
      </c>
    </row>
    <row r="298">
      <c r="A298" s="1">
        <v>43261.42837796296</v>
      </c>
      <c r="B298" s="2">
        <v>708.0</v>
      </c>
      <c r="C298" s="2" t="s">
        <v>4</v>
      </c>
      <c r="D298" s="2" t="s">
        <v>5</v>
      </c>
    </row>
    <row r="299">
      <c r="A299" s="1">
        <v>43261.42847775463</v>
      </c>
      <c r="B299" s="3" t="s">
        <v>48</v>
      </c>
      <c r="C299" s="2" t="s">
        <v>49</v>
      </c>
    </row>
    <row r="300">
      <c r="A300" s="1">
        <v>43261.428737372684</v>
      </c>
      <c r="B300" s="3" t="s">
        <v>11</v>
      </c>
      <c r="C300" s="2" t="s">
        <v>12</v>
      </c>
    </row>
    <row r="301">
      <c r="A301" s="1">
        <v>43261.429105787036</v>
      </c>
      <c r="B301" s="2">
        <v>262.0</v>
      </c>
      <c r="C301" s="2" t="s">
        <v>28</v>
      </c>
    </row>
    <row r="302">
      <c r="A302" s="1">
        <v>43261.42933730324</v>
      </c>
      <c r="B302" s="2">
        <v>201.0</v>
      </c>
      <c r="C302" s="2" t="s">
        <v>70</v>
      </c>
    </row>
    <row r="303">
      <c r="A303" s="1">
        <v>43261.43011444445</v>
      </c>
      <c r="B303" s="2">
        <v>210.0</v>
      </c>
      <c r="C303" s="2" t="s">
        <v>64</v>
      </c>
    </row>
    <row r="304">
      <c r="A304" s="1">
        <v>43261.43025818287</v>
      </c>
      <c r="B304" s="2">
        <v>214.0</v>
      </c>
      <c r="C304" s="2" t="s">
        <v>47</v>
      </c>
    </row>
    <row r="305">
      <c r="A305" s="1">
        <v>43261.43097336806</v>
      </c>
      <c r="B305" s="2">
        <v>619.0</v>
      </c>
      <c r="C305" s="2" t="s">
        <v>46</v>
      </c>
    </row>
    <row r="306">
      <c r="A306" s="1">
        <v>43261.43107248843</v>
      </c>
      <c r="B306" s="2">
        <v>231.0</v>
      </c>
      <c r="C306" s="2" t="s">
        <v>61</v>
      </c>
    </row>
    <row r="307">
      <c r="A307" s="1">
        <v>43261.43116137732</v>
      </c>
      <c r="B307" s="2">
        <v>219.0</v>
      </c>
      <c r="C307" s="2" t="s">
        <v>31</v>
      </c>
    </row>
    <row r="308">
      <c r="A308" s="1">
        <v>43261.43124427083</v>
      </c>
      <c r="B308" s="2">
        <v>207.0</v>
      </c>
      <c r="C308" s="2" t="s">
        <v>85</v>
      </c>
    </row>
    <row r="309">
      <c r="A309" s="1">
        <v>43261.431331342596</v>
      </c>
      <c r="B309" s="2">
        <v>215.0</v>
      </c>
      <c r="C309" s="2" t="s">
        <v>137</v>
      </c>
    </row>
    <row r="310">
      <c r="A310" s="1">
        <v>43261.43139616898</v>
      </c>
      <c r="B310" s="2">
        <v>734.0</v>
      </c>
      <c r="C310" s="2" t="s">
        <v>63</v>
      </c>
      <c r="D310" s="2" t="s">
        <v>5</v>
      </c>
    </row>
    <row r="311">
      <c r="A311" s="1">
        <v>43261.43144612269</v>
      </c>
      <c r="B311" s="2">
        <v>259.0</v>
      </c>
      <c r="C311" s="2" t="s">
        <v>66</v>
      </c>
    </row>
    <row r="312">
      <c r="A312" s="1">
        <v>43261.431511145835</v>
      </c>
      <c r="B312" s="2">
        <v>260.0</v>
      </c>
      <c r="C312" s="2" t="s">
        <v>67</v>
      </c>
    </row>
    <row r="313">
      <c r="A313" s="1">
        <v>43261.43160048611</v>
      </c>
      <c r="B313" s="2">
        <v>173.0</v>
      </c>
      <c r="C313" s="2" t="s">
        <v>24</v>
      </c>
    </row>
    <row r="314">
      <c r="A314" s="1">
        <v>43261.43163525463</v>
      </c>
      <c r="B314" s="2">
        <v>165.0</v>
      </c>
      <c r="C314" s="2" t="s">
        <v>50</v>
      </c>
    </row>
    <row r="315">
      <c r="A315" s="1">
        <v>43261.43167002314</v>
      </c>
      <c r="B315" s="2">
        <v>632.0</v>
      </c>
      <c r="C315" s="2" t="s">
        <v>146</v>
      </c>
    </row>
    <row r="316">
      <c r="A316" s="1">
        <v>43261.43179236111</v>
      </c>
      <c r="B316" s="2">
        <v>618.0</v>
      </c>
      <c r="C316" s="2" t="s">
        <v>147</v>
      </c>
    </row>
    <row r="317">
      <c r="A317" s="1">
        <v>43261.432431099536</v>
      </c>
      <c r="B317" s="2">
        <v>113.0</v>
      </c>
      <c r="C317" s="2" t="s">
        <v>29</v>
      </c>
    </row>
    <row r="318">
      <c r="A318" s="1">
        <v>43261.432827048615</v>
      </c>
      <c r="B318" s="2">
        <v>654.0</v>
      </c>
      <c r="C318" s="2" t="s">
        <v>115</v>
      </c>
    </row>
    <row r="319">
      <c r="A319" s="1">
        <v>43261.43289380787</v>
      </c>
      <c r="B319" s="3" t="s">
        <v>32</v>
      </c>
      <c r="C319" s="2" t="s">
        <v>33</v>
      </c>
    </row>
    <row r="320">
      <c r="A320" s="1">
        <v>43261.433010740744</v>
      </c>
      <c r="B320" s="2">
        <v>153.0</v>
      </c>
      <c r="C320" s="2" t="s">
        <v>148</v>
      </c>
    </row>
    <row r="321">
      <c r="A321" s="1">
        <v>43261.43374512732</v>
      </c>
      <c r="B321" s="2">
        <v>124.0</v>
      </c>
      <c r="C321" s="2" t="s">
        <v>107</v>
      </c>
    </row>
    <row r="322">
      <c r="A322" s="1">
        <v>43261.43402248842</v>
      </c>
      <c r="B322" s="2">
        <v>257.0</v>
      </c>
      <c r="C322" s="2" t="s">
        <v>27</v>
      </c>
    </row>
    <row r="323">
      <c r="A323" s="1">
        <v>43261.434182013894</v>
      </c>
      <c r="B323" s="3" t="s">
        <v>88</v>
      </c>
      <c r="C323" s="2" t="s">
        <v>89</v>
      </c>
    </row>
    <row r="324">
      <c r="A324" s="1">
        <v>43261.43420192129</v>
      </c>
      <c r="B324" s="2">
        <v>229.0</v>
      </c>
      <c r="C324" s="2" t="s">
        <v>86</v>
      </c>
    </row>
    <row r="325">
      <c r="A325" s="1">
        <v>43261.43485385417</v>
      </c>
      <c r="B325" s="2">
        <v>667.0</v>
      </c>
      <c r="C325" s="2" t="s">
        <v>73</v>
      </c>
    </row>
    <row r="326">
      <c r="A326" s="1">
        <v>43261.4349847338</v>
      </c>
      <c r="B326" s="2">
        <v>706.0</v>
      </c>
      <c r="C326" s="2" t="s">
        <v>149</v>
      </c>
      <c r="D326" s="2" t="s">
        <v>5</v>
      </c>
    </row>
    <row r="327">
      <c r="A327" s="1">
        <v>43261.435081724536</v>
      </c>
      <c r="B327" s="3" t="s">
        <v>150</v>
      </c>
      <c r="C327" s="2" t="s">
        <v>151</v>
      </c>
    </row>
    <row r="328">
      <c r="A328" s="1">
        <v>43261.43520821759</v>
      </c>
      <c r="B328" s="3" t="s">
        <v>74</v>
      </c>
      <c r="C328" s="2" t="s">
        <v>75</v>
      </c>
    </row>
    <row r="329">
      <c r="A329" s="1">
        <v>43261.43524508102</v>
      </c>
      <c r="B329" s="3" t="s">
        <v>44</v>
      </c>
      <c r="C329" s="2" t="s">
        <v>45</v>
      </c>
    </row>
    <row r="330">
      <c r="A330" s="1">
        <v>43261.435396782406</v>
      </c>
      <c r="B330" s="2">
        <v>193.0</v>
      </c>
      <c r="C330" s="2" t="s">
        <v>30</v>
      </c>
    </row>
    <row r="331">
      <c r="A331" s="1">
        <v>43261.43549421296</v>
      </c>
      <c r="B331" s="2">
        <v>618.0</v>
      </c>
      <c r="C331" s="2" t="s">
        <v>147</v>
      </c>
    </row>
    <row r="332">
      <c r="A332" s="1">
        <v>43261.43567890047</v>
      </c>
      <c r="C332" s="2" t="s">
        <v>19</v>
      </c>
    </row>
    <row r="333">
      <c r="A333" s="1">
        <v>43261.43647773148</v>
      </c>
      <c r="B333" s="3" t="s">
        <v>82</v>
      </c>
      <c r="C333" s="2" t="s">
        <v>83</v>
      </c>
    </row>
    <row r="334">
      <c r="A334" s="1">
        <v>43261.43661107639</v>
      </c>
      <c r="B334" s="3" t="s">
        <v>78</v>
      </c>
      <c r="C334" s="2" t="s">
        <v>79</v>
      </c>
    </row>
    <row r="335">
      <c r="A335" s="1">
        <v>43261.436650601856</v>
      </c>
      <c r="B335" s="2">
        <v>708.0</v>
      </c>
      <c r="C335" s="2" t="s">
        <v>4</v>
      </c>
      <c r="D335" s="2" t="s">
        <v>5</v>
      </c>
    </row>
    <row r="336">
      <c r="A336" s="1">
        <v>43261.436840625</v>
      </c>
      <c r="B336" s="2">
        <v>723.0</v>
      </c>
      <c r="C336" s="2" t="s">
        <v>84</v>
      </c>
      <c r="D336" s="2" t="s">
        <v>5</v>
      </c>
    </row>
    <row r="337">
      <c r="A337" s="1">
        <v>43261.43747883102</v>
      </c>
      <c r="B337" s="2">
        <v>172.0</v>
      </c>
      <c r="C337" s="2" t="s">
        <v>65</v>
      </c>
    </row>
    <row r="338">
      <c r="A338" s="1">
        <v>43261.43851659722</v>
      </c>
      <c r="B338" s="2">
        <v>717.0</v>
      </c>
      <c r="C338" s="2" t="s">
        <v>152</v>
      </c>
      <c r="D338" s="2" t="s">
        <v>5</v>
      </c>
    </row>
    <row r="339">
      <c r="A339" s="1">
        <v>43261.438718634265</v>
      </c>
      <c r="B339" s="2">
        <v>661.0</v>
      </c>
      <c r="C339" s="2" t="s">
        <v>153</v>
      </c>
    </row>
    <row r="340">
      <c r="A340" s="1">
        <v>43261.43884508102</v>
      </c>
      <c r="B340" s="2">
        <v>52.0</v>
      </c>
      <c r="C340" s="2" t="s">
        <v>41</v>
      </c>
    </row>
    <row r="341">
      <c r="A341" s="1">
        <v>43261.43902082176</v>
      </c>
      <c r="B341" s="2">
        <v>602.0</v>
      </c>
      <c r="C341" s="2" t="s">
        <v>131</v>
      </c>
    </row>
    <row r="342">
      <c r="A342" s="1">
        <v>43261.439202256945</v>
      </c>
      <c r="B342" s="2">
        <v>607.0</v>
      </c>
      <c r="C342" s="2" t="s">
        <v>68</v>
      </c>
    </row>
    <row r="343">
      <c r="A343" s="1">
        <v>43261.44221483797</v>
      </c>
      <c r="B343" s="3" t="s">
        <v>103</v>
      </c>
      <c r="C343" s="2" t="s">
        <v>104</v>
      </c>
    </row>
    <row r="344">
      <c r="A344" s="1">
        <v>43261.44310361111</v>
      </c>
      <c r="B344" s="2">
        <v>663.0</v>
      </c>
      <c r="C344" s="2" t="s">
        <v>109</v>
      </c>
    </row>
    <row r="345">
      <c r="A345" s="1">
        <v>43261.44316782407</v>
      </c>
      <c r="B345" s="2">
        <v>733.0</v>
      </c>
      <c r="C345" s="2" t="s">
        <v>110</v>
      </c>
      <c r="D345" s="2" t="s">
        <v>5</v>
      </c>
    </row>
    <row r="346">
      <c r="A346" s="1">
        <v>43261.44378519676</v>
      </c>
      <c r="B346" s="3" t="s">
        <v>13</v>
      </c>
      <c r="C346" s="2" t="s">
        <v>14</v>
      </c>
    </row>
    <row r="347">
      <c r="A347" s="1">
        <v>43261.44582425926</v>
      </c>
      <c r="B347" s="2">
        <v>244.0</v>
      </c>
      <c r="C347" s="2" t="s">
        <v>38</v>
      </c>
    </row>
    <row r="348">
      <c r="A348" s="1">
        <v>43261.44782559028</v>
      </c>
      <c r="B348" s="2">
        <v>608.0</v>
      </c>
      <c r="C348" s="2" t="s">
        <v>7</v>
      </c>
    </row>
    <row r="349">
      <c r="A349" s="1">
        <v>43261.44904923611</v>
      </c>
      <c r="B349" s="3" t="s">
        <v>98</v>
      </c>
      <c r="C349" s="2" t="s">
        <v>99</v>
      </c>
    </row>
    <row r="350">
      <c r="A350" s="1">
        <v>43261.44914</v>
      </c>
      <c r="B350" s="2">
        <v>147.0</v>
      </c>
      <c r="C350" s="2" t="s">
        <v>100</v>
      </c>
    </row>
    <row r="351">
      <c r="A351" s="1">
        <v>43261.449265567135</v>
      </c>
      <c r="B351" s="2">
        <v>726.0</v>
      </c>
      <c r="C351" s="2" t="s">
        <v>101</v>
      </c>
      <c r="D351" s="2" t="s">
        <v>5</v>
      </c>
    </row>
    <row r="352">
      <c r="A352" s="1">
        <v>43261.44934865741</v>
      </c>
      <c r="B352" s="2">
        <v>732.0</v>
      </c>
      <c r="C352" s="2" t="s">
        <v>102</v>
      </c>
      <c r="D352" s="2" t="s">
        <v>5</v>
      </c>
    </row>
    <row r="353">
      <c r="A353" s="1">
        <v>43261.45015527778</v>
      </c>
      <c r="B353" s="3" t="s">
        <v>42</v>
      </c>
      <c r="C353" s="2" t="s">
        <v>43</v>
      </c>
    </row>
    <row r="354">
      <c r="A354" s="1">
        <v>43261.45188841435</v>
      </c>
      <c r="B354" s="3" t="s">
        <v>42</v>
      </c>
      <c r="C354" s="2" t="s">
        <v>43</v>
      </c>
    </row>
    <row r="355">
      <c r="A355" s="1">
        <v>43261.45271424769</v>
      </c>
      <c r="B355" s="3" t="s">
        <v>9</v>
      </c>
      <c r="C355" s="2" t="s">
        <v>10</v>
      </c>
    </row>
    <row r="356">
      <c r="A356" s="1">
        <v>43261.45287101852</v>
      </c>
      <c r="B356" s="2">
        <v>114.0</v>
      </c>
      <c r="C356" s="2" t="s">
        <v>15</v>
      </c>
    </row>
    <row r="357">
      <c r="A357" s="1">
        <v>43261.452991701386</v>
      </c>
      <c r="B357" s="2">
        <v>708.0</v>
      </c>
      <c r="C357" s="2" t="s">
        <v>4</v>
      </c>
      <c r="D357" s="2" t="s">
        <v>5</v>
      </c>
    </row>
    <row r="358">
      <c r="A358" s="1">
        <v>43261.45305440972</v>
      </c>
      <c r="B358" s="2">
        <v>709.0</v>
      </c>
      <c r="C358" s="2" t="s">
        <v>20</v>
      </c>
      <c r="D358" s="2" t="s">
        <v>5</v>
      </c>
    </row>
    <row r="359">
      <c r="A359" s="1">
        <v>43261.453113807875</v>
      </c>
      <c r="B359" s="2">
        <v>710.0</v>
      </c>
      <c r="C359" s="2" t="s">
        <v>21</v>
      </c>
      <c r="D359" s="2" t="s">
        <v>5</v>
      </c>
    </row>
    <row r="360">
      <c r="A360" s="1">
        <v>43261.45819819444</v>
      </c>
      <c r="B360" s="2">
        <v>672.0</v>
      </c>
      <c r="C360" s="2" t="s">
        <v>6</v>
      </c>
    </row>
    <row r="361">
      <c r="A361" s="1">
        <v>43261.45978899306</v>
      </c>
      <c r="B361" s="3" t="s">
        <v>103</v>
      </c>
      <c r="C361" s="2" t="s">
        <v>104</v>
      </c>
    </row>
    <row r="362">
      <c r="A362" s="1">
        <v>43261.477658344906</v>
      </c>
      <c r="B362" s="2">
        <v>713.0</v>
      </c>
      <c r="C362" s="2" t="s">
        <v>121</v>
      </c>
      <c r="D362" s="2" t="s">
        <v>5</v>
      </c>
    </row>
    <row r="363">
      <c r="A363" s="1">
        <v>43261.47772783565</v>
      </c>
      <c r="B363" s="2">
        <v>714.0</v>
      </c>
      <c r="C363" s="2" t="s">
        <v>122</v>
      </c>
      <c r="D363" s="2" t="s">
        <v>5</v>
      </c>
    </row>
    <row r="364">
      <c r="A364" s="1">
        <v>43261.477865775465</v>
      </c>
      <c r="B364" s="3" t="s">
        <v>119</v>
      </c>
      <c r="C364" s="2" t="s">
        <v>120</v>
      </c>
    </row>
    <row r="365">
      <c r="A365" s="1">
        <v>43261.47804908565</v>
      </c>
      <c r="B365" s="3" t="s">
        <v>117</v>
      </c>
      <c r="C365" s="2" t="s">
        <v>118</v>
      </c>
    </row>
    <row r="366">
      <c r="A366" s="1">
        <v>43261.75314738426</v>
      </c>
      <c r="B366" s="2">
        <v>214.0</v>
      </c>
      <c r="C366" s="2" t="s">
        <v>47</v>
      </c>
    </row>
    <row r="367">
      <c r="A367" s="1">
        <v>43261.86275159722</v>
      </c>
      <c r="B367" s="2">
        <v>214.0</v>
      </c>
      <c r="C367" s="2" t="s">
        <v>47</v>
      </c>
    </row>
    <row r="368">
      <c r="A368" s="1">
        <v>43265.9641603125</v>
      </c>
      <c r="B368" s="2">
        <v>603.0</v>
      </c>
      <c r="C368" s="2" t="s">
        <v>40</v>
      </c>
    </row>
    <row r="369">
      <c r="A369" s="1">
        <v>43265.96497460648</v>
      </c>
      <c r="B369" s="2">
        <v>614.0</v>
      </c>
      <c r="C369" s="2" t="s">
        <v>76</v>
      </c>
    </row>
    <row r="370">
      <c r="A370" s="1">
        <v>43265.96588393519</v>
      </c>
      <c r="B370" s="2">
        <v>655.0</v>
      </c>
      <c r="C370" s="2" t="s">
        <v>17</v>
      </c>
    </row>
    <row r="371">
      <c r="A371" s="1">
        <v>43265.96992467593</v>
      </c>
      <c r="B371" s="3" t="s">
        <v>80</v>
      </c>
      <c r="C371" s="2" t="s">
        <v>81</v>
      </c>
    </row>
    <row r="372">
      <c r="A372" s="1">
        <v>43265.97068302083</v>
      </c>
      <c r="B372" s="2">
        <v>254.0</v>
      </c>
      <c r="C372" s="2" t="s">
        <v>132</v>
      </c>
    </row>
    <row r="373">
      <c r="A373" s="1">
        <v>43268.401908287036</v>
      </c>
      <c r="B373" s="3" t="s">
        <v>22</v>
      </c>
      <c r="C373" s="2" t="s">
        <v>23</v>
      </c>
    </row>
    <row r="374">
      <c r="A374" s="1">
        <v>43268.40203034722</v>
      </c>
      <c r="B374" s="3" t="s">
        <v>22</v>
      </c>
      <c r="C374" s="2" t="s">
        <v>23</v>
      </c>
    </row>
    <row r="375">
      <c r="A375" s="1">
        <v>43268.4107750463</v>
      </c>
      <c r="B375" s="2">
        <v>214.0</v>
      </c>
      <c r="C375" s="2" t="s">
        <v>47</v>
      </c>
    </row>
    <row r="376">
      <c r="A376" s="1">
        <v>43268.42088089121</v>
      </c>
      <c r="B376" s="3" t="s">
        <v>51</v>
      </c>
      <c r="C376" s="2" t="s">
        <v>52</v>
      </c>
    </row>
    <row r="377">
      <c r="A377" s="1">
        <v>43268.422379525466</v>
      </c>
      <c r="B377" s="2">
        <v>262.0</v>
      </c>
      <c r="C377" s="2" t="s">
        <v>28</v>
      </c>
    </row>
    <row r="378">
      <c r="A378" s="1">
        <v>43268.42274879629</v>
      </c>
      <c r="B378" s="2">
        <v>722.0</v>
      </c>
      <c r="C378" s="2" t="s">
        <v>25</v>
      </c>
      <c r="D378" s="2" t="s">
        <v>5</v>
      </c>
    </row>
    <row r="379">
      <c r="A379" s="1">
        <v>43268.42331454861</v>
      </c>
      <c r="B379" s="2">
        <v>257.0</v>
      </c>
      <c r="C379" s="2" t="s">
        <v>27</v>
      </c>
    </row>
    <row r="380">
      <c r="A380" s="1">
        <v>43268.42343451389</v>
      </c>
      <c r="B380" s="3" t="s">
        <v>48</v>
      </c>
      <c r="C380" s="2" t="s">
        <v>49</v>
      </c>
    </row>
    <row r="381">
      <c r="A381" s="1">
        <v>43268.42369630787</v>
      </c>
      <c r="B381" s="2">
        <v>246.0</v>
      </c>
      <c r="C381" s="2" t="s">
        <v>26</v>
      </c>
    </row>
    <row r="382">
      <c r="A382" s="1">
        <v>43268.4238319213</v>
      </c>
      <c r="B382" s="2">
        <v>604.0</v>
      </c>
      <c r="C382" s="2" t="s">
        <v>36</v>
      </c>
    </row>
    <row r="383">
      <c r="A383" s="1">
        <v>43268.42399472222</v>
      </c>
      <c r="B383" s="2">
        <v>175.0</v>
      </c>
      <c r="C383" s="2" t="s">
        <v>69</v>
      </c>
    </row>
    <row r="384">
      <c r="A384" s="1">
        <v>43268.42461140046</v>
      </c>
      <c r="B384" s="2">
        <v>613.0</v>
      </c>
      <c r="C384" s="2" t="s">
        <v>124</v>
      </c>
    </row>
    <row r="385">
      <c r="A385" s="1">
        <v>43268.42568457176</v>
      </c>
      <c r="B385" s="2">
        <v>627.0</v>
      </c>
      <c r="C385" s="2" t="s">
        <v>134</v>
      </c>
    </row>
    <row r="386">
      <c r="A386" s="1">
        <v>43268.42614488426</v>
      </c>
      <c r="B386" s="2">
        <v>252.0</v>
      </c>
      <c r="C386" s="2" t="s">
        <v>34</v>
      </c>
    </row>
    <row r="387">
      <c r="A387" s="1">
        <v>43268.42734572917</v>
      </c>
      <c r="B387" s="3" t="s">
        <v>88</v>
      </c>
      <c r="C387" s="2" t="s">
        <v>89</v>
      </c>
    </row>
    <row r="388">
      <c r="A388" s="1">
        <v>43268.42775829861</v>
      </c>
      <c r="B388" s="2">
        <v>611.0</v>
      </c>
      <c r="C388" s="2" t="s">
        <v>143</v>
      </c>
    </row>
    <row r="389">
      <c r="A389" s="1">
        <v>43268.4278972801</v>
      </c>
      <c r="B389" s="3" t="s">
        <v>111</v>
      </c>
      <c r="C389" s="2" t="s">
        <v>112</v>
      </c>
    </row>
    <row r="390">
      <c r="A390" s="1">
        <v>43268.42825877314</v>
      </c>
      <c r="B390" s="2">
        <v>229.0</v>
      </c>
      <c r="C390" s="2" t="s">
        <v>86</v>
      </c>
    </row>
    <row r="391">
      <c r="A391" s="1">
        <v>43268.42856356481</v>
      </c>
      <c r="B391" s="3" t="s">
        <v>32</v>
      </c>
      <c r="C391" s="2" t="s">
        <v>33</v>
      </c>
    </row>
    <row r="392">
      <c r="A392" s="1">
        <v>43268.429453969904</v>
      </c>
      <c r="B392" s="2">
        <v>165.0</v>
      </c>
      <c r="C392" s="2" t="s">
        <v>50</v>
      </c>
    </row>
    <row r="393">
      <c r="A393" s="1">
        <v>43268.43034133102</v>
      </c>
      <c r="B393" s="2">
        <v>173.0</v>
      </c>
      <c r="C393" s="2" t="s">
        <v>24</v>
      </c>
    </row>
    <row r="394">
      <c r="A394" s="1">
        <v>43268.43046335648</v>
      </c>
      <c r="B394" s="3" t="s">
        <v>74</v>
      </c>
      <c r="C394" s="2" t="s">
        <v>75</v>
      </c>
    </row>
    <row r="395">
      <c r="A395" s="1">
        <v>43268.43067233796</v>
      </c>
      <c r="B395" s="2">
        <v>214.0</v>
      </c>
      <c r="C395" s="2" t="s">
        <v>47</v>
      </c>
    </row>
    <row r="396">
      <c r="A396" s="1">
        <v>43268.430815196756</v>
      </c>
      <c r="B396" s="2">
        <v>113.0</v>
      </c>
      <c r="C396" s="2" t="s">
        <v>29</v>
      </c>
    </row>
    <row r="397">
      <c r="A397" s="1">
        <v>43268.430907754635</v>
      </c>
      <c r="B397" s="3" t="s">
        <v>126</v>
      </c>
      <c r="C397" s="2" t="s">
        <v>127</v>
      </c>
    </row>
    <row r="398">
      <c r="A398" s="1">
        <v>43268.431182858796</v>
      </c>
      <c r="B398" s="2">
        <v>254.0</v>
      </c>
      <c r="C398" s="2" t="s">
        <v>132</v>
      </c>
    </row>
    <row r="399">
      <c r="A399" s="1">
        <v>43268.431299178235</v>
      </c>
      <c r="B399" s="2">
        <v>189.0</v>
      </c>
      <c r="C399" s="2" t="s">
        <v>128</v>
      </c>
    </row>
    <row r="400">
      <c r="A400" s="1">
        <v>43268.43182790509</v>
      </c>
      <c r="B400" s="2">
        <v>655.0</v>
      </c>
      <c r="C400" s="2" t="s">
        <v>17</v>
      </c>
    </row>
    <row r="401">
      <c r="A401" s="1">
        <v>43268.43245959491</v>
      </c>
      <c r="B401" s="2">
        <v>231.0</v>
      </c>
      <c r="C401" s="2" t="s">
        <v>61</v>
      </c>
    </row>
    <row r="402">
      <c r="A402" s="1">
        <v>43268.43258879629</v>
      </c>
      <c r="B402" s="2">
        <v>160.0</v>
      </c>
      <c r="C402" s="2" t="s">
        <v>154</v>
      </c>
    </row>
    <row r="403">
      <c r="A403" s="1">
        <v>43268.432686527776</v>
      </c>
      <c r="B403" s="2">
        <v>654.0</v>
      </c>
      <c r="C403" s="2" t="s">
        <v>115</v>
      </c>
    </row>
    <row r="404">
      <c r="A404" s="1">
        <v>43268.4327695949</v>
      </c>
      <c r="B404" s="2">
        <v>160.0</v>
      </c>
      <c r="C404" s="2" t="s">
        <v>154</v>
      </c>
    </row>
    <row r="405">
      <c r="A405" s="1">
        <v>43268.43289619213</v>
      </c>
      <c r="B405" s="2">
        <v>160.0</v>
      </c>
      <c r="C405" s="2" t="s">
        <v>154</v>
      </c>
    </row>
    <row r="406">
      <c r="A406" s="1">
        <v>43268.432996504635</v>
      </c>
      <c r="B406" s="2">
        <v>160.0</v>
      </c>
      <c r="C406" s="2" t="s">
        <v>154</v>
      </c>
    </row>
    <row r="407">
      <c r="A407" s="1">
        <v>43268.43303020833</v>
      </c>
      <c r="B407" s="2">
        <v>160.0</v>
      </c>
      <c r="C407" s="2" t="s">
        <v>154</v>
      </c>
    </row>
    <row r="408">
      <c r="A408" s="1">
        <v>43268.43317690972</v>
      </c>
      <c r="B408" s="2">
        <v>720.0</v>
      </c>
      <c r="C408" s="2" t="s">
        <v>155</v>
      </c>
      <c r="D408" s="2" t="s">
        <v>5</v>
      </c>
    </row>
    <row r="409">
      <c r="A409" s="1">
        <v>43268.43321628473</v>
      </c>
      <c r="B409" s="2">
        <v>720.0</v>
      </c>
      <c r="C409" s="2" t="s">
        <v>155</v>
      </c>
      <c r="D409" s="2" t="s">
        <v>5</v>
      </c>
    </row>
    <row r="410">
      <c r="A410" s="1">
        <v>43268.43331412037</v>
      </c>
      <c r="B410" s="2">
        <v>721.0</v>
      </c>
      <c r="C410" s="2" t="s">
        <v>156</v>
      </c>
      <c r="D410" s="2" t="s">
        <v>5</v>
      </c>
    </row>
    <row r="411">
      <c r="A411" s="1">
        <v>43268.433447083335</v>
      </c>
      <c r="B411" s="2">
        <v>602.0</v>
      </c>
      <c r="C411" s="2" t="s">
        <v>131</v>
      </c>
    </row>
    <row r="412">
      <c r="A412" s="1">
        <v>43268.43355802083</v>
      </c>
      <c r="B412" s="2">
        <v>159.0</v>
      </c>
      <c r="C412" s="2" t="s">
        <v>58</v>
      </c>
    </row>
    <row r="413">
      <c r="A413" s="1">
        <v>43268.43431064815</v>
      </c>
      <c r="B413" s="3" t="s">
        <v>78</v>
      </c>
      <c r="C413" s="2" t="s">
        <v>79</v>
      </c>
    </row>
    <row r="414">
      <c r="A414" s="1">
        <v>43268.43435332176</v>
      </c>
      <c r="B414" s="2">
        <v>723.0</v>
      </c>
      <c r="C414" s="2" t="s">
        <v>84</v>
      </c>
      <c r="D414" s="2" t="s">
        <v>5</v>
      </c>
    </row>
    <row r="415">
      <c r="A415" s="1">
        <v>43268.434394247684</v>
      </c>
      <c r="B415" s="3" t="s">
        <v>82</v>
      </c>
      <c r="C415" s="2" t="s">
        <v>83</v>
      </c>
    </row>
    <row r="416">
      <c r="A416" s="1">
        <v>43268.43496521991</v>
      </c>
      <c r="B416" s="3" t="s">
        <v>13</v>
      </c>
      <c r="C416" s="2" t="s">
        <v>14</v>
      </c>
    </row>
    <row r="417">
      <c r="A417" s="1">
        <v>43268.43503482639</v>
      </c>
      <c r="B417" s="2">
        <v>703.0</v>
      </c>
      <c r="C417" s="2" t="s">
        <v>157</v>
      </c>
    </row>
    <row r="418">
      <c r="A418" s="1">
        <v>43268.43534524305</v>
      </c>
      <c r="B418" s="3" t="s">
        <v>126</v>
      </c>
      <c r="C418" s="2" t="s">
        <v>127</v>
      </c>
    </row>
    <row r="419">
      <c r="A419" s="1">
        <v>43268.43559196759</v>
      </c>
      <c r="B419" s="2">
        <v>254.0</v>
      </c>
      <c r="C419" s="2" t="s">
        <v>132</v>
      </c>
    </row>
    <row r="420">
      <c r="A420" s="1">
        <v>43268.43701891204</v>
      </c>
      <c r="B420" s="3" t="s">
        <v>42</v>
      </c>
      <c r="C420" s="2" t="s">
        <v>43</v>
      </c>
    </row>
    <row r="421">
      <c r="A421" s="1">
        <v>43268.4381043287</v>
      </c>
      <c r="B421" s="2">
        <v>734.0</v>
      </c>
      <c r="C421" s="2" t="s">
        <v>63</v>
      </c>
      <c r="D421" s="2" t="s">
        <v>5</v>
      </c>
    </row>
    <row r="422">
      <c r="A422" s="1">
        <v>43268.438141527775</v>
      </c>
      <c r="B422" s="2">
        <v>259.0</v>
      </c>
      <c r="C422" s="2" t="s">
        <v>66</v>
      </c>
    </row>
    <row r="423">
      <c r="A423" s="1">
        <v>43268.43817226852</v>
      </c>
      <c r="B423" s="2">
        <v>260.0</v>
      </c>
      <c r="C423" s="2" t="s">
        <v>67</v>
      </c>
    </row>
    <row r="424">
      <c r="A424" s="1">
        <v>43268.43826355324</v>
      </c>
      <c r="B424" s="2">
        <v>126.0</v>
      </c>
      <c r="C424" s="2" t="s">
        <v>87</v>
      </c>
    </row>
    <row r="425">
      <c r="A425" s="1">
        <v>43268.440183645835</v>
      </c>
      <c r="B425" s="2">
        <v>198.0</v>
      </c>
      <c r="C425" s="2" t="s">
        <v>97</v>
      </c>
    </row>
    <row r="426">
      <c r="A426" s="1">
        <v>43268.44035783564</v>
      </c>
      <c r="B426" s="2">
        <v>702.0</v>
      </c>
      <c r="C426" s="2" t="s">
        <v>96</v>
      </c>
      <c r="D426" s="2" t="s">
        <v>5</v>
      </c>
    </row>
    <row r="427">
      <c r="A427" s="1">
        <v>43268.44049113426</v>
      </c>
      <c r="B427" s="3" t="s">
        <v>94</v>
      </c>
      <c r="C427" s="2" t="s">
        <v>95</v>
      </c>
    </row>
    <row r="428">
      <c r="A428" s="1">
        <v>43268.440553356486</v>
      </c>
      <c r="B428" s="3" t="s">
        <v>80</v>
      </c>
      <c r="C428" s="2" t="s">
        <v>81</v>
      </c>
    </row>
    <row r="429">
      <c r="A429" s="1">
        <v>43268.44099800926</v>
      </c>
      <c r="B429" s="2">
        <v>661.0</v>
      </c>
      <c r="C429" s="2" t="s">
        <v>153</v>
      </c>
    </row>
    <row r="430">
      <c r="A430" s="1">
        <v>43268.441144236116</v>
      </c>
      <c r="B430" s="2">
        <v>717.0</v>
      </c>
      <c r="C430" s="2" t="s">
        <v>152</v>
      </c>
      <c r="D430" s="2" t="s">
        <v>5</v>
      </c>
    </row>
    <row r="431">
      <c r="A431" s="1">
        <v>43268.441264305555</v>
      </c>
      <c r="B431" s="2">
        <v>193.0</v>
      </c>
      <c r="C431" s="2" t="s">
        <v>30</v>
      </c>
    </row>
    <row r="432">
      <c r="A432" s="1">
        <v>43268.44582460648</v>
      </c>
      <c r="B432" s="2">
        <v>624.0</v>
      </c>
      <c r="C432" s="2" t="s">
        <v>90</v>
      </c>
    </row>
    <row r="433">
      <c r="A433" s="1">
        <v>43268.44595193287</v>
      </c>
      <c r="B433" s="2">
        <v>724.0</v>
      </c>
      <c r="C433" s="2" t="s">
        <v>91</v>
      </c>
      <c r="D433" s="2" t="s">
        <v>5</v>
      </c>
    </row>
    <row r="434">
      <c r="A434" s="1">
        <v>43268.44600847222</v>
      </c>
      <c r="B434" s="2">
        <v>725.0</v>
      </c>
      <c r="C434" s="2" t="s">
        <v>92</v>
      </c>
      <c r="D434" s="2" t="s">
        <v>5</v>
      </c>
    </row>
    <row r="435">
      <c r="A435" s="1">
        <v>43268.44650605324</v>
      </c>
      <c r="B435" s="2">
        <v>701.0</v>
      </c>
      <c r="C435" s="2" t="s">
        <v>93</v>
      </c>
      <c r="D435" s="2" t="s">
        <v>5</v>
      </c>
    </row>
    <row r="436">
      <c r="A436" s="1">
        <v>43268.446704120375</v>
      </c>
      <c r="B436" s="2">
        <v>653.0</v>
      </c>
      <c r="C436" s="2" t="s">
        <v>77</v>
      </c>
    </row>
    <row r="437">
      <c r="A437" s="1">
        <v>43268.44679569444</v>
      </c>
      <c r="B437" s="2">
        <v>124.0</v>
      </c>
      <c r="C437" s="2" t="s">
        <v>107</v>
      </c>
    </row>
    <row r="438">
      <c r="A438" s="1">
        <v>43268.44716625</v>
      </c>
      <c r="B438" s="2">
        <v>630.0</v>
      </c>
      <c r="C438" s="2" t="s">
        <v>158</v>
      </c>
    </row>
    <row r="439">
      <c r="A439" s="1">
        <v>43268.44777321759</v>
      </c>
      <c r="B439" s="3" t="s">
        <v>98</v>
      </c>
      <c r="C439" s="2" t="s">
        <v>99</v>
      </c>
    </row>
    <row r="440">
      <c r="A440" s="1">
        <v>43268.44788225694</v>
      </c>
      <c r="B440" s="2">
        <v>147.0</v>
      </c>
      <c r="C440" s="2" t="s">
        <v>100</v>
      </c>
    </row>
    <row r="441">
      <c r="A441" s="1">
        <v>43268.447982303245</v>
      </c>
      <c r="B441" s="2">
        <v>726.0</v>
      </c>
      <c r="C441" s="2" t="s">
        <v>101</v>
      </c>
      <c r="D441" s="2" t="s">
        <v>5</v>
      </c>
    </row>
    <row r="442">
      <c r="A442" s="1">
        <v>43268.44809230324</v>
      </c>
      <c r="B442" s="2">
        <v>732.0</v>
      </c>
      <c r="C442" s="2" t="s">
        <v>102</v>
      </c>
      <c r="D442" s="2" t="s">
        <v>5</v>
      </c>
    </row>
    <row r="443">
      <c r="A443" s="1">
        <v>43268.449218483795</v>
      </c>
      <c r="B443" s="2">
        <v>719.0</v>
      </c>
      <c r="C443" s="2" t="s">
        <v>106</v>
      </c>
      <c r="D443" s="2" t="s">
        <v>5</v>
      </c>
    </row>
    <row r="444">
      <c r="A444" s="1">
        <v>43268.449285208335</v>
      </c>
      <c r="B444" s="2">
        <v>718.0</v>
      </c>
      <c r="C444" s="2" t="s">
        <v>105</v>
      </c>
      <c r="D444" s="2" t="s">
        <v>5</v>
      </c>
    </row>
    <row r="445">
      <c r="A445" s="1">
        <v>43268.44958155093</v>
      </c>
      <c r="B445" s="2">
        <v>101.0</v>
      </c>
      <c r="C445" s="2" t="s">
        <v>108</v>
      </c>
    </row>
    <row r="446">
      <c r="A446" s="1">
        <v>43268.44982623843</v>
      </c>
      <c r="B446" s="2">
        <v>608.0</v>
      </c>
      <c r="C446" s="2" t="s">
        <v>7</v>
      </c>
    </row>
    <row r="447">
      <c r="A447" s="1">
        <v>43268.45017210648</v>
      </c>
      <c r="B447" s="3" t="s">
        <v>103</v>
      </c>
      <c r="C447" s="2" t="s">
        <v>104</v>
      </c>
    </row>
    <row r="448">
      <c r="A448" s="1">
        <v>43268.468216284724</v>
      </c>
      <c r="B448" s="2">
        <v>253.0</v>
      </c>
      <c r="C448" s="2" t="s">
        <v>138</v>
      </c>
    </row>
    <row r="449">
      <c r="A449" s="1">
        <v>43271.72179444444</v>
      </c>
      <c r="B449" s="2">
        <v>253.0</v>
      </c>
      <c r="C449" s="2" t="s">
        <v>138</v>
      </c>
    </row>
    <row r="450">
      <c r="A450" s="1">
        <v>43271.939764270835</v>
      </c>
      <c r="B450" s="2">
        <v>656.0</v>
      </c>
      <c r="C450" s="2" t="s">
        <v>144</v>
      </c>
    </row>
    <row r="451">
      <c r="A451" s="1">
        <v>43271.94254005787</v>
      </c>
      <c r="B451" s="2">
        <v>193.0</v>
      </c>
      <c r="C451" s="2" t="s">
        <v>30</v>
      </c>
    </row>
    <row r="452">
      <c r="A452" s="1">
        <v>43271.94657428241</v>
      </c>
      <c r="B452" s="3" t="s">
        <v>159</v>
      </c>
      <c r="C452" s="2" t="s">
        <v>160</v>
      </c>
    </row>
    <row r="453">
      <c r="A453" s="1">
        <v>43271.94669976852</v>
      </c>
      <c r="B453" s="2">
        <v>113.0</v>
      </c>
      <c r="C453" s="2" t="s">
        <v>29</v>
      </c>
    </row>
    <row r="454">
      <c r="A454" s="1">
        <v>43271.95257234953</v>
      </c>
      <c r="B454" s="3" t="s">
        <v>117</v>
      </c>
      <c r="C454" s="2" t="s">
        <v>118</v>
      </c>
    </row>
    <row r="455">
      <c r="A455" s="1">
        <v>43271.95266189815</v>
      </c>
      <c r="B455" s="3" t="s">
        <v>119</v>
      </c>
      <c r="C455" s="2" t="s">
        <v>120</v>
      </c>
    </row>
    <row r="456">
      <c r="A456" s="1">
        <v>43271.95277971065</v>
      </c>
      <c r="B456" s="2">
        <v>713.0</v>
      </c>
      <c r="C456" s="2" t="s">
        <v>121</v>
      </c>
      <c r="D456" s="2" t="s">
        <v>5</v>
      </c>
    </row>
    <row r="457">
      <c r="A457" s="1">
        <v>43271.95284050926</v>
      </c>
      <c r="B457" s="2">
        <v>714.0</v>
      </c>
      <c r="C457" s="2" t="s">
        <v>122</v>
      </c>
      <c r="D457" s="2" t="s">
        <v>5</v>
      </c>
    </row>
    <row r="458">
      <c r="A458" s="1">
        <v>43271.95617363426</v>
      </c>
      <c r="B458" s="2">
        <v>153.0</v>
      </c>
      <c r="C458" s="2" t="s">
        <v>148</v>
      </c>
    </row>
    <row r="459">
      <c r="A459" s="1">
        <v>43271.95896762732</v>
      </c>
      <c r="B459" s="2">
        <v>738.0</v>
      </c>
      <c r="C459" s="2" t="s">
        <v>161</v>
      </c>
    </row>
    <row r="460">
      <c r="A460" s="1">
        <v>43271.96615069444</v>
      </c>
      <c r="B460" s="2">
        <v>614.0</v>
      </c>
      <c r="C460" s="2" t="s">
        <v>76</v>
      </c>
    </row>
    <row r="461">
      <c r="A461" s="1">
        <v>43271.968703437495</v>
      </c>
      <c r="B461" s="2">
        <v>670.0</v>
      </c>
      <c r="C461" s="2" t="s">
        <v>139</v>
      </c>
    </row>
    <row r="462">
      <c r="A462" s="1">
        <v>43271.96876167824</v>
      </c>
      <c r="B462" s="2">
        <v>671.0</v>
      </c>
      <c r="C462" s="2" t="s">
        <v>129</v>
      </c>
    </row>
    <row r="463">
      <c r="A463" s="1">
        <v>43271.97328994213</v>
      </c>
      <c r="B463" s="3" t="s">
        <v>59</v>
      </c>
      <c r="C463" s="2" t="s">
        <v>60</v>
      </c>
    </row>
    <row r="464">
      <c r="A464" s="1">
        <v>43271.97666189815</v>
      </c>
      <c r="B464" s="2">
        <v>735.0</v>
      </c>
      <c r="C464" s="2" t="s">
        <v>37</v>
      </c>
      <c r="D464" s="2" t="s">
        <v>5</v>
      </c>
    </row>
    <row r="465">
      <c r="A465" s="1">
        <v>43271.97995144676</v>
      </c>
      <c r="B465" s="3" t="s">
        <v>11</v>
      </c>
      <c r="C465" s="2" t="s">
        <v>12</v>
      </c>
    </row>
    <row r="466">
      <c r="A466" s="1">
        <v>43271.98579372685</v>
      </c>
      <c r="B466" s="2">
        <v>662.0</v>
      </c>
      <c r="C466" s="2" t="s">
        <v>18</v>
      </c>
    </row>
    <row r="467">
      <c r="A467" s="1">
        <v>43271.98685497685</v>
      </c>
      <c r="B467" s="3" t="s">
        <v>162</v>
      </c>
      <c r="C467" s="2" t="s">
        <v>163</v>
      </c>
    </row>
    <row r="468">
      <c r="A468" s="1">
        <v>43271.98913833333</v>
      </c>
      <c r="B468" s="2">
        <v>709.0</v>
      </c>
      <c r="C468" s="2" t="s">
        <v>20</v>
      </c>
      <c r="D468" s="2" t="s">
        <v>5</v>
      </c>
    </row>
    <row r="469">
      <c r="A469" s="1">
        <v>43271.99245420139</v>
      </c>
      <c r="B469" s="2">
        <v>244.0</v>
      </c>
      <c r="C469" s="2" t="s">
        <v>38</v>
      </c>
    </row>
    <row r="470">
      <c r="A470" s="1">
        <v>43272.00140892361</v>
      </c>
      <c r="B470" s="3" t="s">
        <v>113</v>
      </c>
      <c r="C470" s="2" t="s">
        <v>114</v>
      </c>
    </row>
    <row r="471">
      <c r="A471" s="1">
        <v>43272.002044340275</v>
      </c>
      <c r="B471" s="2">
        <v>708.0</v>
      </c>
      <c r="C471" s="2" t="s">
        <v>4</v>
      </c>
      <c r="D471" s="2" t="s">
        <v>5</v>
      </c>
    </row>
    <row r="472">
      <c r="A472" s="1">
        <v>43272.00213247685</v>
      </c>
      <c r="B472" s="2">
        <v>710.0</v>
      </c>
      <c r="C472" s="2" t="s">
        <v>21</v>
      </c>
      <c r="D472" s="2" t="s">
        <v>5</v>
      </c>
    </row>
    <row r="473">
      <c r="A473" s="1">
        <v>43272.00247085648</v>
      </c>
      <c r="B473" s="3" t="s">
        <v>9</v>
      </c>
      <c r="C473" s="2" t="s">
        <v>10</v>
      </c>
    </row>
    <row r="474">
      <c r="A474" s="1">
        <v>43272.00278178241</v>
      </c>
      <c r="B474" s="2">
        <v>114.0</v>
      </c>
      <c r="C474" s="2" t="s">
        <v>15</v>
      </c>
    </row>
    <row r="475">
      <c r="A475" s="1">
        <v>43272.00632590278</v>
      </c>
      <c r="B475" s="2">
        <v>237.0</v>
      </c>
      <c r="C475" s="2" t="s">
        <v>140</v>
      </c>
    </row>
    <row r="476">
      <c r="A476" s="1">
        <v>43272.006884849536</v>
      </c>
      <c r="B476" s="2">
        <v>157.0</v>
      </c>
      <c r="C476" s="2" t="s">
        <v>141</v>
      </c>
    </row>
    <row r="477">
      <c r="A477" s="1">
        <v>43272.00792201389</v>
      </c>
      <c r="B477" s="2">
        <v>672.0</v>
      </c>
      <c r="C477" s="2" t="s">
        <v>6</v>
      </c>
    </row>
    <row r="478">
      <c r="A478" s="1">
        <v>43275.40769917824</v>
      </c>
      <c r="B478" s="2">
        <v>172.0</v>
      </c>
      <c r="C478" s="2" t="s">
        <v>65</v>
      </c>
    </row>
    <row r="479">
      <c r="A479" s="1">
        <v>43275.40788909722</v>
      </c>
      <c r="B479" s="2">
        <v>210.0</v>
      </c>
      <c r="C479" s="2" t="s">
        <v>64</v>
      </c>
    </row>
    <row r="480">
      <c r="A480" s="1">
        <v>43275.40817819444</v>
      </c>
      <c r="B480" s="3" t="s">
        <v>55</v>
      </c>
      <c r="C480" s="2" t="s">
        <v>56</v>
      </c>
    </row>
    <row r="481">
      <c r="A481" s="1">
        <v>43275.4083452662</v>
      </c>
      <c r="B481" s="2">
        <v>262.0</v>
      </c>
      <c r="C481" s="2" t="s">
        <v>28</v>
      </c>
    </row>
    <row r="482">
      <c r="A482" s="1">
        <v>43275.40871851852</v>
      </c>
      <c r="B482" s="2">
        <v>141.0</v>
      </c>
      <c r="C482" s="2" t="s">
        <v>53</v>
      </c>
    </row>
    <row r="483">
      <c r="A483" s="1">
        <v>43275.40888980324</v>
      </c>
      <c r="B483" s="2">
        <v>198.0</v>
      </c>
      <c r="C483" s="2" t="s">
        <v>97</v>
      </c>
    </row>
    <row r="484">
      <c r="A484" s="1">
        <v>43275.4092237963</v>
      </c>
      <c r="B484" s="2">
        <v>231.0</v>
      </c>
      <c r="C484" s="2" t="s">
        <v>61</v>
      </c>
    </row>
    <row r="485">
      <c r="A485" s="1">
        <v>43275.40940916666</v>
      </c>
      <c r="B485" s="2">
        <v>707.0</v>
      </c>
      <c r="C485" s="2" t="s">
        <v>57</v>
      </c>
      <c r="D485" s="2" t="s">
        <v>5</v>
      </c>
    </row>
    <row r="486">
      <c r="A486" s="1">
        <v>43275.40960141204</v>
      </c>
      <c r="B486" s="2">
        <v>729.0</v>
      </c>
      <c r="C486" s="2" t="s">
        <v>54</v>
      </c>
      <c r="D486" s="2" t="s">
        <v>5</v>
      </c>
    </row>
    <row r="487">
      <c r="A487" s="1">
        <v>43275.40984436343</v>
      </c>
      <c r="B487" s="3" t="s">
        <v>159</v>
      </c>
      <c r="C487" s="2" t="s">
        <v>160</v>
      </c>
    </row>
    <row r="488">
      <c r="A488" s="1">
        <v>43275.413066458335</v>
      </c>
      <c r="B488" s="3" t="s">
        <v>88</v>
      </c>
      <c r="C488" s="2" t="s">
        <v>89</v>
      </c>
    </row>
    <row r="489">
      <c r="A489" s="1">
        <v>43275.415300671295</v>
      </c>
      <c r="B489" s="2">
        <v>246.0</v>
      </c>
      <c r="C489" s="2" t="s">
        <v>26</v>
      </c>
    </row>
    <row r="490">
      <c r="A490" s="1">
        <v>43275.41533246527</v>
      </c>
      <c r="B490" s="2">
        <v>722.0</v>
      </c>
      <c r="C490" s="2" t="s">
        <v>25</v>
      </c>
      <c r="D490" s="2" t="s">
        <v>5</v>
      </c>
    </row>
    <row r="491">
      <c r="A491" s="1">
        <v>43275.41555309028</v>
      </c>
      <c r="B491" s="2">
        <v>711.0</v>
      </c>
      <c r="C491" s="2" t="s">
        <v>8</v>
      </c>
      <c r="D491" s="2" t="s">
        <v>5</v>
      </c>
    </row>
    <row r="492">
      <c r="A492" s="1">
        <v>43275.42106760417</v>
      </c>
      <c r="B492" s="2">
        <v>137.0</v>
      </c>
      <c r="C492" s="2" t="s">
        <v>72</v>
      </c>
    </row>
    <row r="493">
      <c r="A493" s="1">
        <v>43275.421134212964</v>
      </c>
      <c r="B493" s="2">
        <v>126.0</v>
      </c>
      <c r="C493" s="2" t="s">
        <v>87</v>
      </c>
    </row>
    <row r="494">
      <c r="A494" s="1">
        <v>43275.421564421296</v>
      </c>
      <c r="B494" s="2">
        <v>252.0</v>
      </c>
      <c r="C494" s="2" t="s">
        <v>34</v>
      </c>
    </row>
    <row r="495">
      <c r="A495" s="1">
        <v>43275.422398043986</v>
      </c>
      <c r="B495" s="2">
        <v>632.0</v>
      </c>
      <c r="C495" s="2" t="s">
        <v>146</v>
      </c>
    </row>
    <row r="496">
      <c r="A496" s="1">
        <v>43275.42259012732</v>
      </c>
      <c r="B496" s="3" t="s">
        <v>48</v>
      </c>
      <c r="C496" s="2" t="s">
        <v>49</v>
      </c>
    </row>
    <row r="497">
      <c r="A497" s="1">
        <v>43275.42303446759</v>
      </c>
      <c r="B497" s="2">
        <v>625.0</v>
      </c>
      <c r="C497" s="2" t="s">
        <v>136</v>
      </c>
    </row>
    <row r="498">
      <c r="A498" s="1">
        <v>43275.42320936343</v>
      </c>
      <c r="B498" s="2">
        <v>238.0</v>
      </c>
      <c r="C498" s="2" t="s">
        <v>35</v>
      </c>
    </row>
    <row r="499">
      <c r="A499" s="1">
        <v>43275.423363124995</v>
      </c>
      <c r="B499" s="2">
        <v>654.0</v>
      </c>
      <c r="C499" s="2" t="s">
        <v>115</v>
      </c>
    </row>
    <row r="500">
      <c r="A500" s="1">
        <v>43275.42517880787</v>
      </c>
      <c r="B500" s="2">
        <v>734.0</v>
      </c>
      <c r="C500" s="2" t="s">
        <v>63</v>
      </c>
      <c r="D500" s="2" t="s">
        <v>5</v>
      </c>
    </row>
    <row r="501">
      <c r="A501" s="1">
        <v>43275.425202604165</v>
      </c>
      <c r="B501" s="2">
        <v>734.0</v>
      </c>
      <c r="C501" s="2" t="s">
        <v>63</v>
      </c>
      <c r="D501" s="2" t="s">
        <v>5</v>
      </c>
    </row>
    <row r="502">
      <c r="A502" s="1">
        <v>43275.42523519676</v>
      </c>
      <c r="B502" s="2">
        <v>259.0</v>
      </c>
      <c r="C502" s="2" t="s">
        <v>66</v>
      </c>
    </row>
    <row r="503">
      <c r="A503" s="1">
        <v>43275.425294201385</v>
      </c>
      <c r="B503" s="2">
        <v>260.0</v>
      </c>
      <c r="C503" s="2" t="s">
        <v>67</v>
      </c>
    </row>
    <row r="504">
      <c r="A504" s="1">
        <v>43275.42583451389</v>
      </c>
      <c r="B504" s="2">
        <v>158.0</v>
      </c>
      <c r="C504" s="2" t="s">
        <v>62</v>
      </c>
    </row>
    <row r="505">
      <c r="A505" s="1">
        <v>43275.42590587963</v>
      </c>
      <c r="B505" s="2">
        <v>159.0</v>
      </c>
      <c r="C505" s="2" t="s">
        <v>58</v>
      </c>
    </row>
    <row r="506">
      <c r="A506" s="1">
        <v>43275.42592851852</v>
      </c>
      <c r="B506" s="2">
        <v>159.0</v>
      </c>
      <c r="C506" s="2" t="s">
        <v>58</v>
      </c>
    </row>
    <row r="507">
      <c r="A507" s="1">
        <v>43275.42607585648</v>
      </c>
      <c r="B507" s="2">
        <v>257.0</v>
      </c>
      <c r="C507" s="2" t="s">
        <v>27</v>
      </c>
    </row>
    <row r="508">
      <c r="A508" s="1">
        <v>43275.426753101856</v>
      </c>
      <c r="B508" s="2">
        <v>167.0</v>
      </c>
      <c r="C508" s="2" t="s">
        <v>39</v>
      </c>
    </row>
    <row r="509">
      <c r="A509" s="1">
        <v>43275.426963969905</v>
      </c>
      <c r="B509" s="2">
        <v>735.0</v>
      </c>
      <c r="C509" s="2" t="s">
        <v>37</v>
      </c>
      <c r="D509" s="2" t="s">
        <v>5</v>
      </c>
    </row>
    <row r="510">
      <c r="A510" s="1">
        <v>43275.427532974536</v>
      </c>
      <c r="B510" s="2">
        <v>603.0</v>
      </c>
      <c r="C510" s="2" t="s">
        <v>40</v>
      </c>
    </row>
    <row r="511">
      <c r="A511" s="1">
        <v>43275.42909650463</v>
      </c>
      <c r="B511" s="3" t="s">
        <v>111</v>
      </c>
      <c r="C511" s="2" t="s">
        <v>112</v>
      </c>
    </row>
    <row r="512">
      <c r="A512" s="1">
        <v>43275.429323703705</v>
      </c>
      <c r="B512" s="3" t="s">
        <v>22</v>
      </c>
      <c r="C512" s="2" t="s">
        <v>23</v>
      </c>
    </row>
    <row r="513">
      <c r="A513" s="1">
        <v>43275.42951021991</v>
      </c>
      <c r="B513" s="3" t="s">
        <v>51</v>
      </c>
      <c r="C513" s="2" t="s">
        <v>52</v>
      </c>
    </row>
    <row r="514">
      <c r="A514" s="1">
        <v>43275.42975734954</v>
      </c>
      <c r="B514" s="2">
        <v>173.0</v>
      </c>
      <c r="C514" s="2" t="s">
        <v>24</v>
      </c>
    </row>
    <row r="515">
      <c r="A515" s="1">
        <v>43275.429939305555</v>
      </c>
      <c r="B515" s="2">
        <v>189.0</v>
      </c>
      <c r="C515" s="2" t="s">
        <v>128</v>
      </c>
    </row>
    <row r="516">
      <c r="A516" s="1">
        <v>43275.43009325232</v>
      </c>
      <c r="B516" s="2">
        <v>219.0</v>
      </c>
      <c r="C516" s="2" t="s">
        <v>31</v>
      </c>
    </row>
    <row r="517">
      <c r="A517" s="1">
        <v>43275.430296527775</v>
      </c>
      <c r="B517" s="2">
        <v>616.0</v>
      </c>
      <c r="C517" s="2" t="s">
        <v>71</v>
      </c>
    </row>
    <row r="518">
      <c r="A518" s="1">
        <v>43275.43036817129</v>
      </c>
      <c r="B518" s="2">
        <v>137.0</v>
      </c>
      <c r="C518" s="2" t="s">
        <v>72</v>
      </c>
    </row>
    <row r="519">
      <c r="A519" s="1">
        <v>43275.43053428241</v>
      </c>
      <c r="B519" s="2">
        <v>201.0</v>
      </c>
      <c r="C519" s="2" t="s">
        <v>70</v>
      </c>
    </row>
    <row r="520">
      <c r="A520" s="1">
        <v>43275.43055474537</v>
      </c>
      <c r="B520" s="2">
        <v>201.0</v>
      </c>
      <c r="C520" s="2" t="s">
        <v>70</v>
      </c>
    </row>
    <row r="521">
      <c r="A521" s="1">
        <v>43275.43095821759</v>
      </c>
      <c r="B521" s="3" t="s">
        <v>32</v>
      </c>
      <c r="C521" s="2" t="s">
        <v>33</v>
      </c>
    </row>
    <row r="522">
      <c r="A522" s="1">
        <v>43275.43112820602</v>
      </c>
      <c r="B522" s="2">
        <v>214.0</v>
      </c>
      <c r="C522" s="2" t="s">
        <v>47</v>
      </c>
    </row>
    <row r="523">
      <c r="A523" s="1">
        <v>43275.43132866899</v>
      </c>
      <c r="B523" s="2">
        <v>113.0</v>
      </c>
      <c r="C523" s="2" t="s">
        <v>29</v>
      </c>
    </row>
    <row r="524">
      <c r="A524" s="1">
        <v>43275.43161712963</v>
      </c>
      <c r="B524" s="2">
        <v>656.0</v>
      </c>
      <c r="C524" s="2" t="s">
        <v>144</v>
      </c>
    </row>
    <row r="525">
      <c r="A525" s="1">
        <v>43275.43223096065</v>
      </c>
      <c r="B525" s="2">
        <v>193.0</v>
      </c>
      <c r="C525" s="2" t="s">
        <v>30</v>
      </c>
    </row>
    <row r="526">
      <c r="A526" s="1">
        <v>43275.432746921295</v>
      </c>
      <c r="B526" s="2">
        <v>716.0</v>
      </c>
      <c r="C526" s="2" t="s">
        <v>123</v>
      </c>
      <c r="D526" s="2" t="s">
        <v>5</v>
      </c>
    </row>
    <row r="527">
      <c r="A527" s="1">
        <v>43275.43294875</v>
      </c>
      <c r="B527" s="3" t="s">
        <v>126</v>
      </c>
      <c r="C527" s="2" t="s">
        <v>127</v>
      </c>
    </row>
    <row r="528">
      <c r="A528" s="1">
        <v>43275.43372987269</v>
      </c>
      <c r="B528" s="2">
        <v>614.0</v>
      </c>
      <c r="C528" s="2" t="s">
        <v>76</v>
      </c>
    </row>
    <row r="529">
      <c r="A529" s="1">
        <v>43275.43391703704</v>
      </c>
      <c r="B529" s="2">
        <v>717.0</v>
      </c>
      <c r="C529" s="2" t="s">
        <v>152</v>
      </c>
      <c r="D529" s="2" t="s">
        <v>5</v>
      </c>
    </row>
    <row r="530">
      <c r="A530" s="1">
        <v>43275.43422805556</v>
      </c>
      <c r="B530" s="2">
        <v>661.0</v>
      </c>
      <c r="C530" s="2" t="s">
        <v>153</v>
      </c>
    </row>
    <row r="531">
      <c r="A531" s="1">
        <v>43275.43524349537</v>
      </c>
      <c r="B531" s="2">
        <v>153.0</v>
      </c>
      <c r="C531" s="2" t="s">
        <v>148</v>
      </c>
    </row>
    <row r="532">
      <c r="A532" s="1">
        <v>43275.43626887731</v>
      </c>
      <c r="B532" s="3" t="s">
        <v>162</v>
      </c>
      <c r="C532" s="2" t="s">
        <v>163</v>
      </c>
    </row>
    <row r="533">
      <c r="A533" s="1">
        <v>43275.436301724534</v>
      </c>
      <c r="B533" s="2">
        <v>611.0</v>
      </c>
      <c r="C533" s="2" t="s">
        <v>143</v>
      </c>
    </row>
    <row r="534">
      <c r="A534" s="1">
        <v>43275.43638914352</v>
      </c>
      <c r="B534" s="2">
        <v>160.0</v>
      </c>
      <c r="C534" s="2" t="s">
        <v>154</v>
      </c>
    </row>
    <row r="535">
      <c r="A535" s="1">
        <v>43275.43641421296</v>
      </c>
      <c r="B535" s="2">
        <v>160.0</v>
      </c>
      <c r="C535" s="2" t="s">
        <v>154</v>
      </c>
    </row>
    <row r="536">
      <c r="A536" s="1">
        <v>43275.436519027775</v>
      </c>
      <c r="B536" s="2">
        <v>720.0</v>
      </c>
      <c r="C536" s="2" t="s">
        <v>155</v>
      </c>
      <c r="D536" s="2" t="s">
        <v>5</v>
      </c>
    </row>
    <row r="537">
      <c r="A537" s="1">
        <v>43275.43657276621</v>
      </c>
      <c r="B537" s="2">
        <v>720.0</v>
      </c>
      <c r="C537" s="2" t="s">
        <v>155</v>
      </c>
      <c r="D537" s="2" t="s">
        <v>5</v>
      </c>
    </row>
    <row r="538">
      <c r="A538" s="1">
        <v>43275.43679605324</v>
      </c>
      <c r="B538" s="3" t="s">
        <v>22</v>
      </c>
      <c r="C538" s="2" t="s">
        <v>23</v>
      </c>
    </row>
    <row r="539">
      <c r="A539" s="1">
        <v>43275.43684711806</v>
      </c>
      <c r="B539" s="2">
        <v>721.0</v>
      </c>
      <c r="C539" s="2" t="s">
        <v>156</v>
      </c>
      <c r="D539" s="2" t="s">
        <v>5</v>
      </c>
    </row>
    <row r="540">
      <c r="A540" s="1">
        <v>43275.436928379626</v>
      </c>
      <c r="B540" s="3" t="s">
        <v>22</v>
      </c>
      <c r="C540" s="2" t="s">
        <v>23</v>
      </c>
    </row>
    <row r="541">
      <c r="A541" s="1">
        <v>43275.43692898148</v>
      </c>
      <c r="B541" s="2">
        <v>731.0</v>
      </c>
      <c r="C541" s="2" t="s">
        <v>164</v>
      </c>
      <c r="D541" s="2" t="s">
        <v>5</v>
      </c>
    </row>
    <row r="542">
      <c r="A542" s="1">
        <v>43275.437218692125</v>
      </c>
      <c r="B542" s="3" t="s">
        <v>78</v>
      </c>
      <c r="C542" s="2" t="s">
        <v>79</v>
      </c>
    </row>
    <row r="543">
      <c r="A543" s="1">
        <v>43275.437285266205</v>
      </c>
      <c r="B543" s="2">
        <v>723.0</v>
      </c>
      <c r="C543" s="2" t="s">
        <v>84</v>
      </c>
      <c r="D543" s="2" t="s">
        <v>5</v>
      </c>
    </row>
    <row r="544">
      <c r="A544" s="1">
        <v>43275.43737688658</v>
      </c>
      <c r="B544" s="3" t="s">
        <v>82</v>
      </c>
      <c r="C544" s="2" t="s">
        <v>83</v>
      </c>
    </row>
    <row r="545">
      <c r="A545" s="1">
        <v>43275.437605162035</v>
      </c>
      <c r="B545" s="2">
        <v>604.0</v>
      </c>
      <c r="C545" s="2" t="s">
        <v>36</v>
      </c>
    </row>
    <row r="546">
      <c r="A546" s="1">
        <v>43275.43776532407</v>
      </c>
      <c r="B546" s="3" t="s">
        <v>44</v>
      </c>
      <c r="C546" s="2" t="s">
        <v>45</v>
      </c>
    </row>
    <row r="547">
      <c r="A547" s="1">
        <v>43275.439506689814</v>
      </c>
      <c r="B547" s="2">
        <v>244.0</v>
      </c>
      <c r="C547" s="2" t="s">
        <v>38</v>
      </c>
    </row>
    <row r="548">
      <c r="A548" s="1">
        <v>43275.439512592595</v>
      </c>
      <c r="B548" s="2">
        <v>667.0</v>
      </c>
      <c r="C548" s="2" t="s">
        <v>73</v>
      </c>
    </row>
    <row r="549">
      <c r="A549" s="1">
        <v>43275.43962233796</v>
      </c>
      <c r="B549" s="2">
        <v>706.0</v>
      </c>
      <c r="C549" s="2" t="s">
        <v>149</v>
      </c>
      <c r="D549" s="2" t="s">
        <v>5</v>
      </c>
    </row>
    <row r="550">
      <c r="A550" s="1">
        <v>43275.439992245374</v>
      </c>
      <c r="B550" s="3" t="s">
        <v>42</v>
      </c>
      <c r="C550" s="2" t="s">
        <v>43</v>
      </c>
    </row>
    <row r="551">
      <c r="A551" s="1">
        <v>43275.44009459491</v>
      </c>
      <c r="B551" s="3" t="s">
        <v>150</v>
      </c>
      <c r="C551" s="2" t="s">
        <v>151</v>
      </c>
    </row>
    <row r="552">
      <c r="A552" s="1">
        <v>43275.44019278935</v>
      </c>
      <c r="B552" s="3" t="s">
        <v>74</v>
      </c>
      <c r="C552" s="2" t="s">
        <v>75</v>
      </c>
    </row>
    <row r="553">
      <c r="A553" s="1">
        <v>43275.44133260417</v>
      </c>
      <c r="B553" s="2">
        <v>655.0</v>
      </c>
      <c r="C553" s="2" t="s">
        <v>17</v>
      </c>
    </row>
    <row r="554">
      <c r="A554" s="1">
        <v>43275.44147021991</v>
      </c>
      <c r="B554" s="2">
        <v>662.0</v>
      </c>
      <c r="C554" s="2" t="s">
        <v>18</v>
      </c>
    </row>
    <row r="555">
      <c r="A555" s="1">
        <v>43275.44159994213</v>
      </c>
      <c r="B555" s="2">
        <v>701.0</v>
      </c>
      <c r="C555" s="2" t="s">
        <v>93</v>
      </c>
      <c r="D555" s="2" t="s">
        <v>5</v>
      </c>
    </row>
    <row r="556">
      <c r="A556" s="1">
        <v>43275.44228202546</v>
      </c>
      <c r="B556" s="3" t="s">
        <v>11</v>
      </c>
      <c r="C556" s="2" t="s">
        <v>12</v>
      </c>
    </row>
    <row r="557">
      <c r="A557" s="1">
        <v>43275.44308261574</v>
      </c>
      <c r="B557" s="2">
        <v>253.0</v>
      </c>
      <c r="C557" s="2" t="s">
        <v>138</v>
      </c>
    </row>
    <row r="558">
      <c r="A558" s="1">
        <v>43275.44447232639</v>
      </c>
      <c r="B558" s="2">
        <v>52.0</v>
      </c>
      <c r="C558" s="2" t="s">
        <v>41</v>
      </c>
    </row>
    <row r="559">
      <c r="A559" s="1">
        <v>43275.44461684028</v>
      </c>
      <c r="B559" s="2">
        <v>672.0</v>
      </c>
      <c r="C559" s="2" t="s">
        <v>6</v>
      </c>
    </row>
    <row r="560">
      <c r="A560" s="1">
        <v>43275.4454916088</v>
      </c>
      <c r="B560" s="2">
        <v>653.0</v>
      </c>
      <c r="C560" s="2" t="s">
        <v>77</v>
      </c>
    </row>
    <row r="561">
      <c r="A561" s="1">
        <v>43275.44560371528</v>
      </c>
      <c r="B561" s="2">
        <v>708.0</v>
      </c>
      <c r="C561" s="2" t="s">
        <v>4</v>
      </c>
      <c r="D561" s="2" t="s">
        <v>5</v>
      </c>
    </row>
    <row r="562">
      <c r="A562" s="1">
        <v>43275.44569274306</v>
      </c>
      <c r="B562" s="2">
        <v>709.0</v>
      </c>
      <c r="C562" s="2" t="s">
        <v>20</v>
      </c>
      <c r="D562" s="2" t="s">
        <v>5</v>
      </c>
    </row>
    <row r="563">
      <c r="A563" s="1">
        <v>43275.445770763894</v>
      </c>
      <c r="B563" s="2">
        <v>710.0</v>
      </c>
      <c r="C563" s="2" t="s">
        <v>21</v>
      </c>
      <c r="D563" s="2" t="s">
        <v>5</v>
      </c>
    </row>
    <row r="564">
      <c r="A564" s="1">
        <v>43275.4459012963</v>
      </c>
      <c r="B564" s="3" t="s">
        <v>80</v>
      </c>
      <c r="C564" s="2" t="s">
        <v>81</v>
      </c>
    </row>
    <row r="565">
      <c r="A565" s="1">
        <v>43275.44612622685</v>
      </c>
      <c r="B565" s="3" t="s">
        <v>9</v>
      </c>
      <c r="C565" s="2" t="s">
        <v>10</v>
      </c>
    </row>
    <row r="566">
      <c r="A566" s="1">
        <v>43275.446256111114</v>
      </c>
      <c r="B566" s="3" t="s">
        <v>80</v>
      </c>
      <c r="C566" s="2" t="s">
        <v>81</v>
      </c>
    </row>
    <row r="567">
      <c r="A567" s="1">
        <v>43275.44671135416</v>
      </c>
      <c r="B567" s="2">
        <v>114.0</v>
      </c>
      <c r="C567" s="2" t="s">
        <v>15</v>
      </c>
    </row>
    <row r="568">
      <c r="A568" s="1">
        <v>43275.44693792824</v>
      </c>
      <c r="B568" s="3" t="s">
        <v>94</v>
      </c>
      <c r="C568" s="2" t="s">
        <v>95</v>
      </c>
    </row>
    <row r="569">
      <c r="A569" s="1">
        <v>43275.44780663194</v>
      </c>
      <c r="B569" s="3" t="s">
        <v>42</v>
      </c>
      <c r="C569" s="2" t="s">
        <v>43</v>
      </c>
    </row>
    <row r="570">
      <c r="A570" s="1">
        <v>43275.447809930556</v>
      </c>
      <c r="B570" s="2">
        <v>663.0</v>
      </c>
      <c r="C570" s="2" t="s">
        <v>109</v>
      </c>
    </row>
    <row r="571">
      <c r="A571" s="1">
        <v>43275.44786090278</v>
      </c>
      <c r="B571" s="2">
        <v>733.0</v>
      </c>
      <c r="C571" s="2" t="s">
        <v>110</v>
      </c>
      <c r="D571" s="2" t="s">
        <v>5</v>
      </c>
    </row>
    <row r="572">
      <c r="A572" s="1">
        <v>43275.44804689815</v>
      </c>
      <c r="B572" s="3" t="s">
        <v>42</v>
      </c>
      <c r="C572" s="2" t="s">
        <v>43</v>
      </c>
    </row>
    <row r="573">
      <c r="A573" s="1">
        <v>43275.44822421296</v>
      </c>
      <c r="B573" s="3" t="s">
        <v>98</v>
      </c>
      <c r="C573" s="2" t="s">
        <v>99</v>
      </c>
    </row>
    <row r="574">
      <c r="A574" s="1">
        <v>43275.448338993054</v>
      </c>
      <c r="B574" s="2">
        <v>147.0</v>
      </c>
      <c r="C574" s="2" t="s">
        <v>100</v>
      </c>
    </row>
    <row r="575">
      <c r="A575" s="1">
        <v>43275.44849530092</v>
      </c>
      <c r="B575" s="2">
        <v>726.0</v>
      </c>
      <c r="C575" s="2" t="s">
        <v>101</v>
      </c>
      <c r="D575" s="2" t="s">
        <v>5</v>
      </c>
    </row>
    <row r="576">
      <c r="A576" s="1">
        <v>43275.448604791665</v>
      </c>
      <c r="B576" s="2">
        <v>732.0</v>
      </c>
      <c r="C576" s="2" t="s">
        <v>102</v>
      </c>
      <c r="D576" s="2" t="s">
        <v>5</v>
      </c>
    </row>
    <row r="577">
      <c r="A577" s="1">
        <v>43275.44897596065</v>
      </c>
      <c r="B577" s="3" t="s">
        <v>103</v>
      </c>
      <c r="C577" s="2" t="s">
        <v>104</v>
      </c>
    </row>
    <row r="578">
      <c r="A578" s="1">
        <v>43275.44897864583</v>
      </c>
      <c r="B578" s="3" t="s">
        <v>103</v>
      </c>
      <c r="C578" s="2" t="s">
        <v>104</v>
      </c>
    </row>
    <row r="579">
      <c r="A579" s="1">
        <v>43275.44917490741</v>
      </c>
      <c r="B579" s="3" t="s">
        <v>94</v>
      </c>
      <c r="C579" s="2" t="s">
        <v>95</v>
      </c>
    </row>
    <row r="580">
      <c r="A580" s="1">
        <v>43275.44935403935</v>
      </c>
      <c r="B580" s="2">
        <v>702.0</v>
      </c>
      <c r="C580" s="2" t="s">
        <v>96</v>
      </c>
      <c r="D580" s="2" t="s">
        <v>5</v>
      </c>
    </row>
    <row r="581">
      <c r="A581" s="1">
        <v>43275.44948438657</v>
      </c>
      <c r="B581" s="2">
        <v>198.0</v>
      </c>
      <c r="C581" s="2" t="s">
        <v>97</v>
      </c>
    </row>
    <row r="582">
      <c r="A582" s="1">
        <v>43275.45138475695</v>
      </c>
      <c r="B582" s="3" t="s">
        <v>59</v>
      </c>
      <c r="C582" s="2" t="s">
        <v>60</v>
      </c>
    </row>
    <row r="583">
      <c r="A583" s="1">
        <v>43275.45374269676</v>
      </c>
      <c r="B583" s="2">
        <v>124.0</v>
      </c>
      <c r="C583" s="2" t="s">
        <v>107</v>
      </c>
    </row>
    <row r="584">
      <c r="A584" s="1">
        <v>43275.45586054398</v>
      </c>
      <c r="B584" s="3" t="s">
        <v>113</v>
      </c>
      <c r="C584" s="2" t="s">
        <v>114</v>
      </c>
    </row>
    <row r="585">
      <c r="A585" s="1">
        <v>43275.45606696759</v>
      </c>
      <c r="B585" s="2">
        <v>228.0</v>
      </c>
      <c r="C585" s="2" t="s">
        <v>135</v>
      </c>
    </row>
    <row r="586">
      <c r="A586" s="1">
        <v>43275.45863846065</v>
      </c>
      <c r="B586" s="2">
        <v>101.0</v>
      </c>
      <c r="C586" s="2" t="s">
        <v>108</v>
      </c>
    </row>
    <row r="587">
      <c r="A587" s="1">
        <v>43275.458807731484</v>
      </c>
      <c r="B587" s="2">
        <v>718.0</v>
      </c>
      <c r="C587" s="2" t="s">
        <v>105</v>
      </c>
      <c r="D587" s="2" t="s">
        <v>5</v>
      </c>
    </row>
    <row r="588">
      <c r="A588" s="1">
        <v>43275.458901122685</v>
      </c>
      <c r="B588" s="2">
        <v>719.0</v>
      </c>
      <c r="C588" s="2" t="s">
        <v>106</v>
      </c>
      <c r="D588" s="2" t="s">
        <v>5</v>
      </c>
    </row>
    <row r="589">
      <c r="A589" s="1">
        <v>43275.46027386574</v>
      </c>
      <c r="B589" s="2">
        <v>602.0</v>
      </c>
      <c r="C589" s="2" t="s">
        <v>131</v>
      </c>
    </row>
    <row r="590">
      <c r="A590" s="1">
        <v>43275.47325387731</v>
      </c>
      <c r="B590" s="3" t="s">
        <v>117</v>
      </c>
      <c r="C590" s="2" t="s">
        <v>118</v>
      </c>
    </row>
    <row r="591">
      <c r="A591" s="1">
        <v>43275.47335189815</v>
      </c>
      <c r="B591" s="3" t="s">
        <v>119</v>
      </c>
      <c r="C591" s="2" t="s">
        <v>120</v>
      </c>
    </row>
    <row r="592">
      <c r="A592" s="1">
        <v>43275.47356846065</v>
      </c>
      <c r="B592" s="2">
        <v>713.0</v>
      </c>
      <c r="C592" s="2" t="s">
        <v>121</v>
      </c>
      <c r="D592" s="2" t="s">
        <v>5</v>
      </c>
    </row>
    <row r="593">
      <c r="A593" s="1">
        <v>43275.47367719907</v>
      </c>
      <c r="B593" s="2">
        <v>714.0</v>
      </c>
      <c r="C593" s="2" t="s">
        <v>122</v>
      </c>
      <c r="D593" s="2" t="s">
        <v>5</v>
      </c>
    </row>
    <row r="594">
      <c r="A594" s="1">
        <v>43275.47553171296</v>
      </c>
      <c r="B594" s="2">
        <v>718.0</v>
      </c>
      <c r="C594" s="2" t="s">
        <v>105</v>
      </c>
      <c r="D594" s="2" t="s">
        <v>5</v>
      </c>
    </row>
    <row r="595">
      <c r="A595" s="1">
        <v>43275.47565284722</v>
      </c>
      <c r="B595" s="2">
        <v>719.0</v>
      </c>
      <c r="C595" s="2" t="s">
        <v>106</v>
      </c>
      <c r="D595" s="2" t="s">
        <v>5</v>
      </c>
    </row>
    <row r="596">
      <c r="A596" s="1">
        <v>43279.678374375</v>
      </c>
      <c r="B596" s="2">
        <v>635.0</v>
      </c>
      <c r="C596" s="2" t="s">
        <v>165</v>
      </c>
    </row>
    <row r="597">
      <c r="A597" s="1">
        <v>43279.67838193287</v>
      </c>
      <c r="B597" s="2">
        <v>635.0</v>
      </c>
      <c r="C597" s="2" t="s">
        <v>165</v>
      </c>
    </row>
    <row r="598">
      <c r="A598" s="1">
        <v>43279.678396145835</v>
      </c>
      <c r="B598" s="2">
        <v>635.0</v>
      </c>
      <c r="C598" s="2" t="s">
        <v>165</v>
      </c>
    </row>
    <row r="599">
      <c r="A599" s="1">
        <v>43279.67845319444</v>
      </c>
      <c r="B599" s="2">
        <v>635.0</v>
      </c>
      <c r="C599" s="2" t="s">
        <v>165</v>
      </c>
    </row>
    <row r="600">
      <c r="A600" s="1">
        <v>43279.67879883102</v>
      </c>
      <c r="B600" s="2">
        <v>643.0</v>
      </c>
      <c r="C600" s="2" t="s">
        <v>166</v>
      </c>
    </row>
    <row r="601">
      <c r="A601" s="1">
        <v>43279.678855289356</v>
      </c>
      <c r="B601" s="2">
        <v>643.0</v>
      </c>
      <c r="C601" s="2" t="s">
        <v>166</v>
      </c>
    </row>
    <row r="602">
      <c r="A602" s="1">
        <v>43279.67889377315</v>
      </c>
      <c r="B602" s="2">
        <v>643.0</v>
      </c>
      <c r="C602" s="2" t="s">
        <v>166</v>
      </c>
    </row>
    <row r="603">
      <c r="A603" s="1">
        <v>43279.6791203125</v>
      </c>
      <c r="B603" s="2">
        <v>643.0</v>
      </c>
      <c r="C603" s="2" t="s">
        <v>166</v>
      </c>
    </row>
    <row r="604">
      <c r="A604" s="1">
        <v>43279.67912255787</v>
      </c>
      <c r="B604" s="2">
        <v>643.0</v>
      </c>
      <c r="C604" s="2" t="s">
        <v>166</v>
      </c>
    </row>
    <row r="605">
      <c r="A605" s="1">
        <v>43279.67929825232</v>
      </c>
      <c r="B605" s="2">
        <v>643.0</v>
      </c>
      <c r="C605" s="2" t="s">
        <v>166</v>
      </c>
    </row>
    <row r="606">
      <c r="A606" s="1">
        <v>43279.67944773148</v>
      </c>
      <c r="B606" s="2">
        <v>704.0</v>
      </c>
      <c r="C606" s="2" t="s">
        <v>167</v>
      </c>
      <c r="D606" s="2" t="s">
        <v>5</v>
      </c>
    </row>
    <row r="607">
      <c r="A607" s="1">
        <v>43279.67945915509</v>
      </c>
      <c r="B607" s="2">
        <v>704.0</v>
      </c>
      <c r="C607" s="2" t="s">
        <v>167</v>
      </c>
      <c r="D607" s="2" t="s">
        <v>5</v>
      </c>
    </row>
    <row r="608">
      <c r="A608" s="1">
        <v>43279.679619131944</v>
      </c>
      <c r="B608" s="2">
        <v>705.0</v>
      </c>
      <c r="C608" s="2" t="s">
        <v>168</v>
      </c>
      <c r="D608" s="2" t="s">
        <v>5</v>
      </c>
    </row>
    <row r="609">
      <c r="A609" s="1">
        <v>43279.67962776621</v>
      </c>
      <c r="B609" s="2">
        <v>705.0</v>
      </c>
      <c r="C609" s="2" t="s">
        <v>168</v>
      </c>
      <c r="D609" s="2" t="s">
        <v>5</v>
      </c>
    </row>
    <row r="610">
      <c r="A610" s="1">
        <v>43279.67968553241</v>
      </c>
      <c r="B610" s="2">
        <v>705.0</v>
      </c>
      <c r="C610" s="2" t="s">
        <v>168</v>
      </c>
      <c r="D610" s="2" t="s">
        <v>5</v>
      </c>
    </row>
    <row r="611">
      <c r="A611" s="1">
        <v>43279.67977200232</v>
      </c>
      <c r="B611" s="2">
        <v>643.0</v>
      </c>
      <c r="C611" s="2" t="s">
        <v>166</v>
      </c>
    </row>
    <row r="612">
      <c r="A612" s="1">
        <v>43279.682437627314</v>
      </c>
      <c r="B612" s="2">
        <v>635.0</v>
      </c>
      <c r="C612" s="2" t="s">
        <v>165</v>
      </c>
    </row>
    <row r="613">
      <c r="A613" s="1">
        <v>43279.68264677083</v>
      </c>
      <c r="B613" s="2">
        <v>643.0</v>
      </c>
      <c r="C613" s="2" t="s">
        <v>166</v>
      </c>
    </row>
    <row r="614">
      <c r="A614" s="1">
        <v>43279.682927037036</v>
      </c>
      <c r="B614" s="2">
        <v>704.0</v>
      </c>
      <c r="C614" s="2" t="s">
        <v>167</v>
      </c>
      <c r="D614" s="2" t="s">
        <v>5</v>
      </c>
    </row>
    <row r="615">
      <c r="A615" s="1">
        <v>43279.68301490741</v>
      </c>
      <c r="B615" s="2">
        <v>705.0</v>
      </c>
      <c r="C615" s="2" t="s">
        <v>168</v>
      </c>
      <c r="D615" s="2" t="s">
        <v>5</v>
      </c>
    </row>
    <row r="616">
      <c r="A616" s="1">
        <v>43279.73117623843</v>
      </c>
      <c r="B616" s="2">
        <v>705.0</v>
      </c>
      <c r="C616" s="2" t="s">
        <v>168</v>
      </c>
      <c r="D616" s="2" t="s">
        <v>5</v>
      </c>
    </row>
    <row r="617">
      <c r="A617" s="1">
        <v>43279.731734409725</v>
      </c>
      <c r="B617" s="2">
        <v>705.0</v>
      </c>
      <c r="C617" s="2" t="s">
        <v>168</v>
      </c>
      <c r="D617" s="2" t="s">
        <v>5</v>
      </c>
    </row>
    <row r="618">
      <c r="A618" s="1">
        <v>43279.73173988426</v>
      </c>
      <c r="B618" s="2">
        <v>635.0</v>
      </c>
      <c r="C618" s="2" t="s">
        <v>165</v>
      </c>
    </row>
    <row r="619">
      <c r="A619" s="1">
        <v>43279.73220341435</v>
      </c>
      <c r="B619" s="2">
        <v>643.0</v>
      </c>
      <c r="C619" s="2" t="s">
        <v>166</v>
      </c>
    </row>
    <row r="620">
      <c r="A620" s="1">
        <v>43279.77609871527</v>
      </c>
      <c r="B620" s="2">
        <v>635.0</v>
      </c>
      <c r="C620" s="2" t="s">
        <v>165</v>
      </c>
    </row>
    <row r="621">
      <c r="A621" s="1">
        <v>43279.7761540162</v>
      </c>
      <c r="B621" s="2">
        <v>643.0</v>
      </c>
      <c r="C621" s="2" t="s">
        <v>166</v>
      </c>
    </row>
    <row r="622">
      <c r="A622" s="1">
        <v>43279.77621859954</v>
      </c>
      <c r="B622" s="2">
        <v>705.0</v>
      </c>
      <c r="C622" s="2" t="s">
        <v>168</v>
      </c>
      <c r="D622" s="2" t="s">
        <v>5</v>
      </c>
    </row>
    <row r="623">
      <c r="A623" s="1">
        <v>43279.77625265047</v>
      </c>
      <c r="B623" s="2">
        <v>643.0</v>
      </c>
      <c r="C623" s="2" t="s">
        <v>166</v>
      </c>
    </row>
    <row r="624">
      <c r="A624" s="1">
        <v>43279.776928935185</v>
      </c>
      <c r="B624" s="2">
        <v>704.0</v>
      </c>
      <c r="C624" s="2" t="s">
        <v>167</v>
      </c>
      <c r="D624" s="2" t="s">
        <v>5</v>
      </c>
    </row>
    <row r="625">
      <c r="A625" s="1">
        <v>43279.82910178241</v>
      </c>
      <c r="B625" s="2">
        <v>643.0</v>
      </c>
      <c r="C625" s="2" t="s">
        <v>166</v>
      </c>
    </row>
    <row r="626">
      <c r="A626" s="1">
        <v>43279.831156643515</v>
      </c>
      <c r="B626" s="2">
        <v>643.0</v>
      </c>
      <c r="C626" s="2" t="s">
        <v>166</v>
      </c>
    </row>
    <row r="627">
      <c r="A627" s="1">
        <v>43282.35494789352</v>
      </c>
      <c r="B627" s="2">
        <v>643.0</v>
      </c>
      <c r="C627" s="2" t="s">
        <v>166</v>
      </c>
    </row>
    <row r="628">
      <c r="A628" s="1">
        <v>43282.39750291666</v>
      </c>
      <c r="B628" s="3" t="s">
        <v>22</v>
      </c>
      <c r="C628" s="2" t="s">
        <v>23</v>
      </c>
    </row>
    <row r="629">
      <c r="A629" s="1">
        <v>43282.397570914356</v>
      </c>
      <c r="B629" s="3" t="s">
        <v>22</v>
      </c>
      <c r="C629" s="2" t="s">
        <v>23</v>
      </c>
    </row>
    <row r="630">
      <c r="A630" s="1">
        <v>43282.413069201386</v>
      </c>
      <c r="B630" s="3" t="s">
        <v>78</v>
      </c>
      <c r="C630" s="2" t="s">
        <v>79</v>
      </c>
    </row>
    <row r="631">
      <c r="A631" s="1">
        <v>43282.4131287037</v>
      </c>
      <c r="B631" s="2">
        <v>723.0</v>
      </c>
      <c r="C631" s="2" t="s">
        <v>84</v>
      </c>
      <c r="D631" s="2" t="s">
        <v>5</v>
      </c>
    </row>
    <row r="632">
      <c r="A632" s="1">
        <v>43282.41317716435</v>
      </c>
      <c r="B632" s="3" t="s">
        <v>82</v>
      </c>
      <c r="C632" s="2" t="s">
        <v>83</v>
      </c>
    </row>
    <row r="633">
      <c r="A633" s="1">
        <v>43282.416419189816</v>
      </c>
      <c r="B633" s="3" t="s">
        <v>44</v>
      </c>
      <c r="C633" s="2" t="s">
        <v>45</v>
      </c>
    </row>
    <row r="634">
      <c r="A634" s="1">
        <v>43282.418313993054</v>
      </c>
      <c r="B634" s="2">
        <v>158.0</v>
      </c>
      <c r="C634" s="2" t="s">
        <v>62</v>
      </c>
    </row>
    <row r="635">
      <c r="A635" s="1">
        <v>43282.418499004634</v>
      </c>
      <c r="B635" s="2">
        <v>246.0</v>
      </c>
      <c r="C635" s="2" t="s">
        <v>26</v>
      </c>
    </row>
    <row r="636">
      <c r="A636" s="1">
        <v>43282.421757233795</v>
      </c>
      <c r="B636" s="2">
        <v>165.0</v>
      </c>
      <c r="C636" s="2" t="s">
        <v>50</v>
      </c>
    </row>
    <row r="637">
      <c r="A637" s="1">
        <v>43282.422357777774</v>
      </c>
      <c r="B637" s="2">
        <v>722.0</v>
      </c>
      <c r="C637" s="2" t="s">
        <v>25</v>
      </c>
      <c r="D637" s="2" t="s">
        <v>5</v>
      </c>
    </row>
    <row r="638">
      <c r="A638" s="1">
        <v>43282.422531828706</v>
      </c>
      <c r="B638" s="2">
        <v>602.0</v>
      </c>
      <c r="C638" s="2" t="s">
        <v>131</v>
      </c>
    </row>
    <row r="639">
      <c r="A639" s="1">
        <v>43282.422752557875</v>
      </c>
      <c r="B639" s="2">
        <v>619.0</v>
      </c>
      <c r="C639" s="2" t="s">
        <v>46</v>
      </c>
    </row>
    <row r="640">
      <c r="A640" s="1">
        <v>43282.42424069444</v>
      </c>
      <c r="B640" s="2">
        <v>619.0</v>
      </c>
      <c r="C640" s="2" t="s">
        <v>46</v>
      </c>
    </row>
    <row r="641">
      <c r="A641" s="1">
        <v>43282.42446634259</v>
      </c>
      <c r="B641" s="2">
        <v>153.0</v>
      </c>
      <c r="C641" s="2" t="s">
        <v>148</v>
      </c>
    </row>
    <row r="642">
      <c r="A642" s="1">
        <v>43282.424615462965</v>
      </c>
      <c r="B642" s="2">
        <v>262.0</v>
      </c>
      <c r="C642" s="2" t="s">
        <v>28</v>
      </c>
    </row>
    <row r="643">
      <c r="A643" s="1">
        <v>43282.42499569444</v>
      </c>
      <c r="B643" s="2">
        <v>627.0</v>
      </c>
      <c r="C643" s="2" t="s">
        <v>134</v>
      </c>
    </row>
    <row r="644">
      <c r="A644" s="1">
        <v>43282.42557261574</v>
      </c>
      <c r="B644" s="2">
        <v>603.0</v>
      </c>
      <c r="C644" s="2" t="s">
        <v>40</v>
      </c>
    </row>
    <row r="645">
      <c r="A645" s="1">
        <v>43282.4257565625</v>
      </c>
      <c r="B645" s="2">
        <v>252.0</v>
      </c>
      <c r="C645" s="2" t="s">
        <v>34</v>
      </c>
    </row>
    <row r="646">
      <c r="A646" s="1">
        <v>43282.42610340277</v>
      </c>
      <c r="B646" s="2">
        <v>717.0</v>
      </c>
      <c r="C646" s="2" t="s">
        <v>152</v>
      </c>
      <c r="D646" s="2" t="s">
        <v>5</v>
      </c>
    </row>
    <row r="647">
      <c r="A647" s="1">
        <v>43282.426258368054</v>
      </c>
      <c r="B647" s="2">
        <v>661.0</v>
      </c>
      <c r="C647" s="2" t="s">
        <v>153</v>
      </c>
    </row>
    <row r="648">
      <c r="A648" s="1">
        <v>43282.42653252315</v>
      </c>
      <c r="B648" s="2">
        <v>238.0</v>
      </c>
      <c r="C648" s="2" t="s">
        <v>35</v>
      </c>
    </row>
    <row r="649">
      <c r="A649" s="1">
        <v>43282.42667716435</v>
      </c>
      <c r="B649" s="2">
        <v>231.0</v>
      </c>
      <c r="C649" s="2" t="s">
        <v>61</v>
      </c>
    </row>
    <row r="650">
      <c r="A650" s="1">
        <v>43282.426784166666</v>
      </c>
      <c r="B650" s="3" t="s">
        <v>88</v>
      </c>
      <c r="C650" s="2" t="s">
        <v>89</v>
      </c>
    </row>
    <row r="651">
      <c r="A651" s="1">
        <v>43282.427053125</v>
      </c>
      <c r="B651" s="2">
        <v>173.0</v>
      </c>
      <c r="C651" s="2" t="s">
        <v>24</v>
      </c>
    </row>
    <row r="652">
      <c r="A652" s="1">
        <v>43282.42746309028</v>
      </c>
      <c r="B652" s="2">
        <v>214.0</v>
      </c>
      <c r="C652" s="2" t="s">
        <v>47</v>
      </c>
    </row>
    <row r="653">
      <c r="A653" s="1">
        <v>43282.42795189815</v>
      </c>
      <c r="B653" s="2">
        <v>257.0</v>
      </c>
      <c r="C653" s="2" t="s">
        <v>27</v>
      </c>
    </row>
    <row r="654">
      <c r="A654" s="1">
        <v>43282.428167986116</v>
      </c>
      <c r="B654" s="2">
        <v>607.0</v>
      </c>
      <c r="C654" s="2" t="s">
        <v>68</v>
      </c>
    </row>
    <row r="655">
      <c r="A655" s="1">
        <v>43282.42844791667</v>
      </c>
      <c r="B655" s="2">
        <v>625.0</v>
      </c>
      <c r="C655" s="2" t="s">
        <v>136</v>
      </c>
    </row>
    <row r="656">
      <c r="A656" s="1">
        <v>43282.428694490736</v>
      </c>
      <c r="B656" s="2">
        <v>207.0</v>
      </c>
      <c r="C656" s="2" t="s">
        <v>85</v>
      </c>
    </row>
    <row r="657">
      <c r="A657" s="1">
        <v>43282.42884721065</v>
      </c>
      <c r="B657" s="2">
        <v>113.0</v>
      </c>
      <c r="C657" s="2" t="s">
        <v>29</v>
      </c>
    </row>
    <row r="658">
      <c r="A658" s="1">
        <v>43282.42908728009</v>
      </c>
      <c r="B658" s="2">
        <v>219.0</v>
      </c>
      <c r="C658" s="2" t="s">
        <v>31</v>
      </c>
    </row>
    <row r="659">
      <c r="A659" s="1">
        <v>43282.42915303241</v>
      </c>
      <c r="B659" s="3" t="s">
        <v>48</v>
      </c>
      <c r="C659" s="2" t="s">
        <v>49</v>
      </c>
    </row>
    <row r="660">
      <c r="A660" s="1">
        <v>43282.429365625</v>
      </c>
      <c r="B660" s="2">
        <v>159.0</v>
      </c>
      <c r="C660" s="2" t="s">
        <v>58</v>
      </c>
    </row>
    <row r="661">
      <c r="A661" s="1">
        <v>43282.429560324075</v>
      </c>
      <c r="B661" s="3" t="s">
        <v>32</v>
      </c>
      <c r="C661" s="2" t="s">
        <v>33</v>
      </c>
    </row>
    <row r="662">
      <c r="A662" s="1">
        <v>43282.42993226852</v>
      </c>
      <c r="B662" s="3" t="s">
        <v>111</v>
      </c>
      <c r="C662" s="2" t="s">
        <v>112</v>
      </c>
    </row>
    <row r="663">
      <c r="A663" s="1">
        <v>43282.430034895835</v>
      </c>
      <c r="B663" s="3" t="s">
        <v>169</v>
      </c>
      <c r="C663" s="2" t="s">
        <v>170</v>
      </c>
    </row>
    <row r="664">
      <c r="A664" s="1">
        <v>43282.430502800926</v>
      </c>
      <c r="B664" s="3" t="s">
        <v>78</v>
      </c>
      <c r="C664" s="2" t="s">
        <v>79</v>
      </c>
    </row>
    <row r="665">
      <c r="A665" s="1">
        <v>43282.43051803241</v>
      </c>
      <c r="B665" s="2">
        <v>602.0</v>
      </c>
      <c r="C665" s="2" t="s">
        <v>131</v>
      </c>
    </row>
    <row r="666">
      <c r="A666" s="1">
        <v>43282.43082046296</v>
      </c>
      <c r="B666" s="2">
        <v>214.0</v>
      </c>
      <c r="C666" s="2" t="s">
        <v>47</v>
      </c>
    </row>
    <row r="667">
      <c r="A667" s="1">
        <v>43282.43109128472</v>
      </c>
      <c r="B667" s="2">
        <v>214.0</v>
      </c>
      <c r="C667" s="2" t="s">
        <v>47</v>
      </c>
    </row>
    <row r="668">
      <c r="A668" s="1">
        <v>43282.433069756946</v>
      </c>
      <c r="B668" s="2">
        <v>193.0</v>
      </c>
      <c r="C668" s="2" t="s">
        <v>30</v>
      </c>
    </row>
    <row r="669">
      <c r="A669" s="1">
        <v>43282.43312606482</v>
      </c>
      <c r="B669" s="3" t="s">
        <v>162</v>
      </c>
      <c r="C669" s="2" t="s">
        <v>163</v>
      </c>
    </row>
    <row r="670">
      <c r="A670" s="1">
        <v>43282.43315141204</v>
      </c>
      <c r="B670" s="3" t="s">
        <v>162</v>
      </c>
      <c r="C670" s="2" t="s">
        <v>163</v>
      </c>
    </row>
    <row r="671">
      <c r="A671" s="1">
        <v>43282.43325652777</v>
      </c>
      <c r="B671" s="2">
        <v>52.0</v>
      </c>
      <c r="C671" s="2" t="s">
        <v>41</v>
      </c>
    </row>
    <row r="672">
      <c r="A672" s="1">
        <v>43282.43326174769</v>
      </c>
      <c r="B672" s="2">
        <v>160.0</v>
      </c>
      <c r="C672" s="2" t="s">
        <v>154</v>
      </c>
    </row>
    <row r="673">
      <c r="A673" s="1">
        <v>43282.43334886574</v>
      </c>
      <c r="B673" s="2">
        <v>160.0</v>
      </c>
      <c r="C673" s="2" t="s">
        <v>154</v>
      </c>
    </row>
    <row r="674">
      <c r="A674" s="1">
        <v>43282.43338181713</v>
      </c>
      <c r="B674" s="2">
        <v>160.0</v>
      </c>
      <c r="C674" s="2" t="s">
        <v>154</v>
      </c>
    </row>
    <row r="675">
      <c r="A675" s="1">
        <v>43282.43344334491</v>
      </c>
      <c r="B675" s="2">
        <v>720.0</v>
      </c>
      <c r="C675" s="2" t="s">
        <v>155</v>
      </c>
      <c r="D675" s="2" t="s">
        <v>5</v>
      </c>
    </row>
    <row r="676">
      <c r="A676" s="1">
        <v>43282.43347236111</v>
      </c>
      <c r="B676" s="2">
        <v>720.0</v>
      </c>
      <c r="C676" s="2" t="s">
        <v>155</v>
      </c>
      <c r="D676" s="2" t="s">
        <v>5</v>
      </c>
    </row>
    <row r="677">
      <c r="A677" s="1">
        <v>43282.433548506946</v>
      </c>
      <c r="B677" s="2">
        <v>721.0</v>
      </c>
      <c r="C677" s="2" t="s">
        <v>156</v>
      </c>
      <c r="D677" s="2" t="s">
        <v>5</v>
      </c>
    </row>
    <row r="678">
      <c r="A678" s="1">
        <v>43282.43361871528</v>
      </c>
      <c r="B678" s="2">
        <v>721.0</v>
      </c>
      <c r="C678" s="2" t="s">
        <v>156</v>
      </c>
      <c r="D678" s="2" t="s">
        <v>5</v>
      </c>
    </row>
    <row r="679">
      <c r="A679" s="1">
        <v>43282.43364350694</v>
      </c>
      <c r="B679" s="2">
        <v>721.0</v>
      </c>
      <c r="C679" s="2" t="s">
        <v>156</v>
      </c>
      <c r="D679" s="2" t="s">
        <v>5</v>
      </c>
    </row>
    <row r="680">
      <c r="A680" s="1">
        <v>43282.43367766203</v>
      </c>
      <c r="B680" s="2">
        <v>254.0</v>
      </c>
      <c r="C680" s="2" t="s">
        <v>132</v>
      </c>
    </row>
    <row r="681">
      <c r="A681" s="1">
        <v>43282.43422398149</v>
      </c>
      <c r="B681" s="2">
        <v>231.0</v>
      </c>
      <c r="C681" s="2" t="s">
        <v>61</v>
      </c>
    </row>
    <row r="682">
      <c r="A682" s="1">
        <v>43282.436483680554</v>
      </c>
      <c r="B682" s="2">
        <v>254.0</v>
      </c>
      <c r="C682" s="2" t="s">
        <v>132</v>
      </c>
    </row>
    <row r="683">
      <c r="A683" s="1">
        <v>43282.436662210646</v>
      </c>
      <c r="B683" s="2">
        <v>654.0</v>
      </c>
      <c r="C683" s="2" t="s">
        <v>115</v>
      </c>
    </row>
    <row r="684">
      <c r="A684" s="1">
        <v>43282.43684443287</v>
      </c>
      <c r="B684" s="2">
        <v>667.0</v>
      </c>
      <c r="C684" s="2" t="s">
        <v>73</v>
      </c>
    </row>
    <row r="685">
      <c r="A685" s="1">
        <v>43282.437186932875</v>
      </c>
      <c r="B685" s="2">
        <v>229.0</v>
      </c>
      <c r="C685" s="2" t="s">
        <v>86</v>
      </c>
    </row>
    <row r="686">
      <c r="A686" s="1">
        <v>43282.43745427083</v>
      </c>
      <c r="B686" s="2">
        <v>706.0</v>
      </c>
      <c r="C686" s="2" t="s">
        <v>149</v>
      </c>
      <c r="D686" s="2" t="s">
        <v>5</v>
      </c>
    </row>
    <row r="687">
      <c r="A687" s="1">
        <v>43282.43753552083</v>
      </c>
      <c r="B687" s="3" t="s">
        <v>150</v>
      </c>
      <c r="C687" s="2" t="s">
        <v>151</v>
      </c>
    </row>
    <row r="688">
      <c r="A688" s="1">
        <v>43282.4376574537</v>
      </c>
      <c r="B688" s="3" t="s">
        <v>74</v>
      </c>
      <c r="C688" s="2" t="s">
        <v>75</v>
      </c>
    </row>
    <row r="689">
      <c r="A689" s="1">
        <v>43282.438779398144</v>
      </c>
      <c r="B689" s="2">
        <v>611.0</v>
      </c>
      <c r="C689" s="2" t="s">
        <v>143</v>
      </c>
    </row>
    <row r="690">
      <c r="A690" s="1">
        <v>43282.439206041665</v>
      </c>
      <c r="B690" s="2">
        <v>653.0</v>
      </c>
      <c r="C690" s="2" t="s">
        <v>77</v>
      </c>
    </row>
    <row r="691">
      <c r="A691" s="1">
        <v>43282.43942368055</v>
      </c>
      <c r="B691" s="3" t="s">
        <v>80</v>
      </c>
      <c r="C691" s="2" t="s">
        <v>81</v>
      </c>
    </row>
    <row r="692">
      <c r="A692" s="1">
        <v>43282.439621956015</v>
      </c>
      <c r="B692" s="2">
        <v>253.0</v>
      </c>
      <c r="C692" s="2" t="s">
        <v>138</v>
      </c>
    </row>
    <row r="693">
      <c r="A693" s="1">
        <v>43282.43998505787</v>
      </c>
      <c r="B693" s="2">
        <v>114.0</v>
      </c>
      <c r="C693" s="2" t="s">
        <v>15</v>
      </c>
    </row>
    <row r="694">
      <c r="A694" s="1">
        <v>43282.440317858796</v>
      </c>
      <c r="B694" s="3" t="s">
        <v>98</v>
      </c>
      <c r="C694" s="2" t="s">
        <v>99</v>
      </c>
    </row>
    <row r="695">
      <c r="A695" s="1">
        <v>43282.44043806713</v>
      </c>
      <c r="B695" s="2">
        <v>147.0</v>
      </c>
      <c r="C695" s="2" t="s">
        <v>100</v>
      </c>
    </row>
    <row r="696">
      <c r="A696" s="1">
        <v>43282.44063471065</v>
      </c>
      <c r="B696" s="2">
        <v>726.0</v>
      </c>
      <c r="C696" s="2" t="s">
        <v>101</v>
      </c>
      <c r="D696" s="2" t="s">
        <v>5</v>
      </c>
    </row>
    <row r="697">
      <c r="A697" s="1">
        <v>43282.44077259259</v>
      </c>
      <c r="B697" s="2">
        <v>732.0</v>
      </c>
      <c r="C697" s="2" t="s">
        <v>102</v>
      </c>
      <c r="D697" s="2" t="s">
        <v>5</v>
      </c>
    </row>
    <row r="698">
      <c r="A698" s="1">
        <v>43282.44115274306</v>
      </c>
      <c r="B698" s="2">
        <v>724.0</v>
      </c>
      <c r="C698" s="2" t="s">
        <v>91</v>
      </c>
      <c r="D698" s="2" t="s">
        <v>5</v>
      </c>
    </row>
    <row r="699">
      <c r="A699" s="1">
        <v>43282.441225891205</v>
      </c>
      <c r="B699" s="3" t="s">
        <v>78</v>
      </c>
      <c r="C699" s="2" t="s">
        <v>79</v>
      </c>
    </row>
    <row r="700">
      <c r="A700" s="1">
        <v>43282.441225902774</v>
      </c>
      <c r="B700" s="2">
        <v>708.0</v>
      </c>
      <c r="C700" s="2" t="s">
        <v>4</v>
      </c>
      <c r="D700" s="2" t="s">
        <v>5</v>
      </c>
    </row>
    <row r="701">
      <c r="A701" s="1">
        <v>43282.44123335648</v>
      </c>
      <c r="B701" s="2">
        <v>725.0</v>
      </c>
      <c r="C701" s="2" t="s">
        <v>92</v>
      </c>
      <c r="D701" s="2" t="s">
        <v>5</v>
      </c>
    </row>
    <row r="702">
      <c r="A702" s="1">
        <v>43282.4414737037</v>
      </c>
      <c r="B702" s="2">
        <v>624.0</v>
      </c>
      <c r="C702" s="2" t="s">
        <v>90</v>
      </c>
    </row>
    <row r="703">
      <c r="A703" s="1">
        <v>43282.44453386574</v>
      </c>
      <c r="B703" s="3" t="s">
        <v>94</v>
      </c>
      <c r="C703" s="2" t="s">
        <v>95</v>
      </c>
    </row>
    <row r="704">
      <c r="A704" s="1">
        <v>43282.44464840278</v>
      </c>
      <c r="B704" s="2">
        <v>702.0</v>
      </c>
      <c r="C704" s="2" t="s">
        <v>96</v>
      </c>
      <c r="D704" s="2" t="s">
        <v>5</v>
      </c>
    </row>
    <row r="705">
      <c r="A705" s="1">
        <v>43282.44569324074</v>
      </c>
      <c r="B705" s="2">
        <v>126.0</v>
      </c>
      <c r="C705" s="2" t="s">
        <v>87</v>
      </c>
    </row>
    <row r="706">
      <c r="A706" s="1">
        <v>43282.44853328704</v>
      </c>
      <c r="B706" s="2">
        <v>608.0</v>
      </c>
      <c r="C706" s="2" t="s">
        <v>7</v>
      </c>
    </row>
    <row r="707">
      <c r="A707" s="1">
        <v>43282.449376979166</v>
      </c>
      <c r="B707" s="2">
        <v>708.0</v>
      </c>
      <c r="C707" s="2" t="s">
        <v>4</v>
      </c>
      <c r="D707" s="2" t="s">
        <v>5</v>
      </c>
    </row>
    <row r="708">
      <c r="A708" s="1">
        <v>43282.44953506945</v>
      </c>
      <c r="B708" s="2">
        <v>175.0</v>
      </c>
      <c r="C708" s="2" t="s">
        <v>69</v>
      </c>
    </row>
    <row r="709">
      <c r="A709" s="1">
        <v>43282.45475872685</v>
      </c>
      <c r="B709" s="2">
        <v>719.0</v>
      </c>
      <c r="C709" s="2" t="s">
        <v>106</v>
      </c>
      <c r="D709" s="2" t="s">
        <v>5</v>
      </c>
    </row>
    <row r="710">
      <c r="A710" s="1">
        <v>43282.45485306713</v>
      </c>
      <c r="B710" s="2">
        <v>718.0</v>
      </c>
      <c r="C710" s="2" t="s">
        <v>105</v>
      </c>
      <c r="D710" s="2" t="s">
        <v>5</v>
      </c>
    </row>
    <row r="711">
      <c r="A711" s="1">
        <v>43282.455005138894</v>
      </c>
      <c r="B711" s="2">
        <v>101.0</v>
      </c>
      <c r="C711" s="2" t="s">
        <v>108</v>
      </c>
    </row>
    <row r="712">
      <c r="A712" s="1">
        <v>43282.45520927083</v>
      </c>
      <c r="B712" s="2">
        <v>228.0</v>
      </c>
      <c r="C712" s="2" t="s">
        <v>135</v>
      </c>
    </row>
    <row r="713">
      <c r="A713" s="1">
        <v>43282.45612364583</v>
      </c>
      <c r="B713" s="3" t="s">
        <v>42</v>
      </c>
      <c r="C713" s="2" t="s">
        <v>43</v>
      </c>
    </row>
    <row r="714">
      <c r="A714" s="1">
        <v>43282.47735940972</v>
      </c>
      <c r="B714" s="2">
        <v>243.0</v>
      </c>
      <c r="C714" s="2" t="s">
        <v>171</v>
      </c>
    </row>
    <row r="715">
      <c r="A715" s="1">
        <v>43282.47760758102</v>
      </c>
      <c r="B715" s="2">
        <v>617.0</v>
      </c>
      <c r="C715" s="2" t="s">
        <v>172</v>
      </c>
    </row>
    <row r="716">
      <c r="A716" s="1">
        <v>43282.56025375</v>
      </c>
      <c r="B716" s="2">
        <v>721.0</v>
      </c>
      <c r="C716" s="2" t="s">
        <v>156</v>
      </c>
      <c r="D716" s="2" t="s">
        <v>5</v>
      </c>
    </row>
    <row r="717">
      <c r="A717" s="1">
        <v>43282.57826594907</v>
      </c>
      <c r="B717" s="2">
        <v>619.0</v>
      </c>
      <c r="C717" s="2" t="s">
        <v>46</v>
      </c>
    </row>
    <row r="718">
      <c r="A718" s="1">
        <v>43284.709440624996</v>
      </c>
      <c r="B718" s="2">
        <v>611.0</v>
      </c>
      <c r="C718" s="2" t="s">
        <v>143</v>
      </c>
    </row>
    <row r="719">
      <c r="A719" s="1">
        <v>43285.233260625</v>
      </c>
      <c r="B719" s="2">
        <v>721.0</v>
      </c>
      <c r="C719" s="2" t="s">
        <v>156</v>
      </c>
      <c r="D719" s="2" t="s">
        <v>5</v>
      </c>
    </row>
    <row r="720">
      <c r="A720" s="1">
        <v>43287.63820734953</v>
      </c>
      <c r="B720" s="2">
        <v>709.0</v>
      </c>
      <c r="C720" s="2" t="s">
        <v>20</v>
      </c>
      <c r="D720" s="2" t="s">
        <v>5</v>
      </c>
    </row>
    <row r="721">
      <c r="A721" s="1">
        <v>43287.63829710648</v>
      </c>
      <c r="B721" s="2">
        <v>710.0</v>
      </c>
      <c r="C721" s="2" t="s">
        <v>21</v>
      </c>
      <c r="D721" s="2" t="s">
        <v>5</v>
      </c>
    </row>
    <row r="722">
      <c r="A722" s="1">
        <v>43287.63883971065</v>
      </c>
      <c r="B722" s="3" t="s">
        <v>59</v>
      </c>
      <c r="C722" s="2" t="s">
        <v>60</v>
      </c>
    </row>
    <row r="723">
      <c r="A723" s="1">
        <v>43287.638945300925</v>
      </c>
      <c r="B723" s="3" t="s">
        <v>159</v>
      </c>
      <c r="C723" s="2" t="s">
        <v>160</v>
      </c>
    </row>
    <row r="724">
      <c r="A724" s="1">
        <v>43287.63944252315</v>
      </c>
      <c r="B724" s="3" t="s">
        <v>11</v>
      </c>
      <c r="C724" s="2" t="s">
        <v>12</v>
      </c>
    </row>
    <row r="725">
      <c r="A725" s="1">
        <v>43287.639542372686</v>
      </c>
      <c r="B725" s="3" t="s">
        <v>119</v>
      </c>
      <c r="C725" s="2" t="s">
        <v>120</v>
      </c>
    </row>
    <row r="726">
      <c r="A726" s="1">
        <v>43287.639633969906</v>
      </c>
      <c r="B726" s="3" t="s">
        <v>9</v>
      </c>
      <c r="C726" s="2" t="s">
        <v>10</v>
      </c>
    </row>
    <row r="727">
      <c r="A727" s="1">
        <v>43287.64049613426</v>
      </c>
      <c r="B727" s="2">
        <v>237.0</v>
      </c>
      <c r="C727" s="2" t="s">
        <v>140</v>
      </c>
    </row>
    <row r="728">
      <c r="A728" s="1">
        <v>43287.642174837965</v>
      </c>
      <c r="B728" s="2">
        <v>705.0</v>
      </c>
      <c r="C728" s="2" t="s">
        <v>168</v>
      </c>
      <c r="D728" s="2" t="s">
        <v>5</v>
      </c>
    </row>
    <row r="729">
      <c r="A729" s="1">
        <v>43287.64374342593</v>
      </c>
      <c r="B729" s="2">
        <v>662.0</v>
      </c>
      <c r="C729" s="2" t="s">
        <v>18</v>
      </c>
    </row>
    <row r="730">
      <c r="A730" s="1">
        <v>43287.64388454861</v>
      </c>
      <c r="B730" s="3" t="s">
        <v>51</v>
      </c>
      <c r="C730" s="2" t="s">
        <v>52</v>
      </c>
    </row>
    <row r="731">
      <c r="A731" s="1">
        <v>43287.64449329861</v>
      </c>
      <c r="B731" s="2">
        <v>601.0</v>
      </c>
      <c r="C731" s="2" t="s">
        <v>125</v>
      </c>
    </row>
    <row r="732">
      <c r="A732" s="1">
        <v>43287.64457276621</v>
      </c>
      <c r="B732" s="2">
        <v>244.0</v>
      </c>
      <c r="C732" s="2" t="s">
        <v>38</v>
      </c>
    </row>
    <row r="733">
      <c r="A733" s="1">
        <v>43287.64467616898</v>
      </c>
      <c r="B733" s="2">
        <v>672.0</v>
      </c>
      <c r="C733" s="2" t="s">
        <v>6</v>
      </c>
    </row>
    <row r="734">
      <c r="A734" s="1">
        <v>43287.64600079861</v>
      </c>
      <c r="B734" s="2">
        <v>157.0</v>
      </c>
      <c r="C734" s="2" t="s">
        <v>141</v>
      </c>
    </row>
    <row r="735">
      <c r="A735" s="1">
        <v>43287.64612609954</v>
      </c>
      <c r="B735" s="3" t="s">
        <v>117</v>
      </c>
      <c r="C735" s="2" t="s">
        <v>118</v>
      </c>
    </row>
    <row r="736">
      <c r="A736" s="1">
        <v>43287.64625524306</v>
      </c>
      <c r="B736" s="2">
        <v>714.0</v>
      </c>
      <c r="C736" s="2" t="s">
        <v>122</v>
      </c>
      <c r="D736" s="2" t="s">
        <v>5</v>
      </c>
    </row>
    <row r="737">
      <c r="A737" s="1">
        <v>43287.646385960645</v>
      </c>
      <c r="B737" s="2">
        <v>713.0</v>
      </c>
      <c r="C737" s="2" t="s">
        <v>121</v>
      </c>
      <c r="D737" s="2" t="s">
        <v>5</v>
      </c>
    </row>
    <row r="738">
      <c r="A738" s="1">
        <v>43287.64679569444</v>
      </c>
      <c r="B738" s="2">
        <v>728.0</v>
      </c>
      <c r="C738" s="2" t="s">
        <v>173</v>
      </c>
      <c r="D738" s="2" t="s">
        <v>5</v>
      </c>
    </row>
    <row r="739">
      <c r="A739" s="1">
        <v>43287.64689643518</v>
      </c>
      <c r="B739" s="2">
        <v>716.0</v>
      </c>
      <c r="C739" s="2" t="s">
        <v>123</v>
      </c>
      <c r="D739" s="2" t="s">
        <v>5</v>
      </c>
    </row>
    <row r="740">
      <c r="A740" s="1">
        <v>43287.647116990745</v>
      </c>
      <c r="B740" s="3" t="s">
        <v>113</v>
      </c>
      <c r="C740" s="2" t="s">
        <v>114</v>
      </c>
    </row>
    <row r="741">
      <c r="A741" s="1">
        <v>43287.64766827546</v>
      </c>
      <c r="B741" s="2">
        <v>643.0</v>
      </c>
      <c r="C741" s="2" t="s">
        <v>166</v>
      </c>
    </row>
    <row r="742">
      <c r="A742" s="1">
        <v>43287.654535787035</v>
      </c>
      <c r="B742" s="2">
        <v>167.0</v>
      </c>
      <c r="C742" s="2" t="s">
        <v>39</v>
      </c>
    </row>
    <row r="743">
      <c r="A743" s="1">
        <v>43287.654612812505</v>
      </c>
      <c r="B743" s="2">
        <v>603.0</v>
      </c>
      <c r="C743" s="2" t="s">
        <v>40</v>
      </c>
    </row>
    <row r="744">
      <c r="A744" s="1">
        <v>43287.656089375</v>
      </c>
      <c r="B744" s="2">
        <v>614.0</v>
      </c>
      <c r="C744" s="2" t="s">
        <v>76</v>
      </c>
    </row>
    <row r="745">
      <c r="A745" s="1">
        <v>43287.65650832176</v>
      </c>
      <c r="B745" s="2">
        <v>606.0</v>
      </c>
      <c r="C745" s="2" t="s">
        <v>174</v>
      </c>
    </row>
    <row r="746">
      <c r="A746" s="1">
        <v>43287.65720487268</v>
      </c>
      <c r="B746" s="2">
        <v>635.0</v>
      </c>
      <c r="C746" s="2" t="s">
        <v>165</v>
      </c>
    </row>
    <row r="747">
      <c r="A747" s="1">
        <v>43287.65733657408</v>
      </c>
      <c r="B747" s="2">
        <v>704.0</v>
      </c>
      <c r="C747" s="2" t="s">
        <v>167</v>
      </c>
      <c r="D747" s="2" t="s">
        <v>5</v>
      </c>
    </row>
    <row r="748">
      <c r="A748" s="1">
        <v>43289.41047766204</v>
      </c>
      <c r="B748" s="2">
        <v>611.0</v>
      </c>
      <c r="C748" s="2" t="s">
        <v>143</v>
      </c>
    </row>
    <row r="749">
      <c r="A749" s="1">
        <v>43289.41907412037</v>
      </c>
      <c r="B749" s="3" t="s">
        <v>80</v>
      </c>
      <c r="C749" s="2" t="s">
        <v>81</v>
      </c>
    </row>
    <row r="750">
      <c r="A750" s="1">
        <v>43289.420214212965</v>
      </c>
      <c r="B750" s="2">
        <v>253.0</v>
      </c>
      <c r="C750" s="2" t="s">
        <v>138</v>
      </c>
    </row>
    <row r="751">
      <c r="A751" s="1">
        <v>43289.424975243055</v>
      </c>
      <c r="B751" s="2">
        <v>632.0</v>
      </c>
      <c r="C751" s="2" t="s">
        <v>146</v>
      </c>
    </row>
    <row r="752">
      <c r="A752" s="1">
        <v>43289.42509373843</v>
      </c>
      <c r="B752" s="2">
        <v>708.0</v>
      </c>
      <c r="C752" s="2" t="s">
        <v>4</v>
      </c>
      <c r="D752" s="2" t="s">
        <v>5</v>
      </c>
    </row>
    <row r="753">
      <c r="A753" s="1">
        <v>43289.425093854166</v>
      </c>
      <c r="B753" s="2">
        <v>632.0</v>
      </c>
      <c r="C753" s="2" t="s">
        <v>146</v>
      </c>
    </row>
    <row r="754">
      <c r="A754" s="1">
        <v>43289.42666539352</v>
      </c>
      <c r="B754" s="2">
        <v>607.0</v>
      </c>
      <c r="C754" s="2" t="s">
        <v>68</v>
      </c>
    </row>
    <row r="755">
      <c r="A755" s="1">
        <v>43289.42684612269</v>
      </c>
      <c r="B755" s="2">
        <v>627.0</v>
      </c>
      <c r="C755" s="2" t="s">
        <v>134</v>
      </c>
    </row>
    <row r="756">
      <c r="A756" s="1">
        <v>43289.427035092594</v>
      </c>
      <c r="B756" s="2">
        <v>611.0</v>
      </c>
      <c r="C756" s="2" t="s">
        <v>143</v>
      </c>
    </row>
    <row r="757">
      <c r="A757" s="1">
        <v>43289.42726246528</v>
      </c>
      <c r="B757" s="2">
        <v>604.0</v>
      </c>
      <c r="C757" s="2" t="s">
        <v>36</v>
      </c>
    </row>
    <row r="758">
      <c r="A758" s="1">
        <v>43289.42760030093</v>
      </c>
      <c r="B758" s="2">
        <v>708.0</v>
      </c>
      <c r="C758" s="2" t="s">
        <v>4</v>
      </c>
      <c r="D758" s="2" t="s">
        <v>5</v>
      </c>
    </row>
    <row r="759">
      <c r="A759" s="1">
        <v>43289.42763908565</v>
      </c>
      <c r="B759" s="3" t="s">
        <v>48</v>
      </c>
      <c r="C759" s="2" t="s">
        <v>49</v>
      </c>
    </row>
    <row r="760">
      <c r="A760" s="1">
        <v>43289.42766858796</v>
      </c>
      <c r="B760" s="3" t="s">
        <v>48</v>
      </c>
      <c r="C760" s="2" t="s">
        <v>49</v>
      </c>
    </row>
    <row r="761">
      <c r="A761" s="1">
        <v>43289.42848513889</v>
      </c>
      <c r="B761" s="2">
        <v>708.0</v>
      </c>
      <c r="C761" s="2" t="s">
        <v>4</v>
      </c>
      <c r="D761" s="2" t="s">
        <v>5</v>
      </c>
    </row>
    <row r="762">
      <c r="A762" s="1">
        <v>43289.4288683912</v>
      </c>
      <c r="B762" s="3" t="s">
        <v>51</v>
      </c>
      <c r="C762" s="2" t="s">
        <v>52</v>
      </c>
    </row>
    <row r="763">
      <c r="A763" s="1">
        <v>43289.42922979167</v>
      </c>
      <c r="B763" s="3" t="s">
        <v>159</v>
      </c>
      <c r="C763" s="2" t="s">
        <v>160</v>
      </c>
    </row>
    <row r="764">
      <c r="A764" s="1">
        <v>43289.42930355324</v>
      </c>
      <c r="B764" s="3" t="s">
        <v>111</v>
      </c>
      <c r="C764" s="2" t="s">
        <v>112</v>
      </c>
    </row>
    <row r="765">
      <c r="A765" s="1">
        <v>43289.42936613426</v>
      </c>
      <c r="B765" s="2">
        <v>173.0</v>
      </c>
      <c r="C765" s="2" t="s">
        <v>24</v>
      </c>
    </row>
    <row r="766">
      <c r="A766" s="1">
        <v>43289.42939715278</v>
      </c>
      <c r="B766" s="2">
        <v>173.0</v>
      </c>
      <c r="C766" s="2" t="s">
        <v>24</v>
      </c>
    </row>
    <row r="767">
      <c r="A767" s="1">
        <v>43289.429401608795</v>
      </c>
      <c r="B767" s="2">
        <v>619.0</v>
      </c>
      <c r="C767" s="2" t="s">
        <v>46</v>
      </c>
    </row>
    <row r="768">
      <c r="A768" s="1">
        <v>43289.429448344905</v>
      </c>
      <c r="B768" s="2">
        <v>708.0</v>
      </c>
      <c r="C768" s="2" t="s">
        <v>4</v>
      </c>
      <c r="D768" s="2" t="s">
        <v>5</v>
      </c>
    </row>
    <row r="769">
      <c r="A769" s="1">
        <v>43289.42962109954</v>
      </c>
      <c r="B769" s="2">
        <v>734.0</v>
      </c>
      <c r="C769" s="2" t="s">
        <v>63</v>
      </c>
      <c r="D769" s="2" t="s">
        <v>5</v>
      </c>
    </row>
    <row r="770">
      <c r="A770" s="1">
        <v>43289.429651342594</v>
      </c>
      <c r="B770" s="2">
        <v>734.0</v>
      </c>
      <c r="C770" s="2" t="s">
        <v>63</v>
      </c>
      <c r="D770" s="2" t="s">
        <v>5</v>
      </c>
    </row>
    <row r="771">
      <c r="A771" s="1">
        <v>43289.42968494213</v>
      </c>
      <c r="B771" s="2">
        <v>708.0</v>
      </c>
      <c r="C771" s="2" t="s">
        <v>4</v>
      </c>
      <c r="D771" s="2" t="s">
        <v>5</v>
      </c>
    </row>
    <row r="772">
      <c r="A772" s="1">
        <v>43289.42969085649</v>
      </c>
      <c r="B772" s="2">
        <v>231.0</v>
      </c>
      <c r="C772" s="2" t="s">
        <v>61</v>
      </c>
    </row>
    <row r="773">
      <c r="A773" s="1">
        <v>43289.42969387732</v>
      </c>
      <c r="B773" s="2">
        <v>259.0</v>
      </c>
      <c r="C773" s="2" t="s">
        <v>66</v>
      </c>
    </row>
    <row r="774">
      <c r="A774" s="1">
        <v>43289.42971298611</v>
      </c>
      <c r="B774" s="2">
        <v>259.0</v>
      </c>
      <c r="C774" s="2" t="s">
        <v>66</v>
      </c>
    </row>
    <row r="775">
      <c r="A775" s="1">
        <v>43289.429741388885</v>
      </c>
      <c r="B775" s="2">
        <v>231.0</v>
      </c>
      <c r="C775" s="2" t="s">
        <v>61</v>
      </c>
    </row>
    <row r="776">
      <c r="A776" s="1">
        <v>43289.42974872685</v>
      </c>
      <c r="B776" s="2">
        <v>260.0</v>
      </c>
      <c r="C776" s="2" t="s">
        <v>67</v>
      </c>
    </row>
    <row r="777">
      <c r="A777" s="1">
        <v>43289.429823645834</v>
      </c>
      <c r="B777" s="3" t="s">
        <v>88</v>
      </c>
      <c r="C777" s="2" t="s">
        <v>89</v>
      </c>
    </row>
    <row r="778">
      <c r="A778" s="1">
        <v>43289.42983559028</v>
      </c>
      <c r="B778" s="2">
        <v>165.0</v>
      </c>
      <c r="C778" s="2" t="s">
        <v>50</v>
      </c>
    </row>
    <row r="779">
      <c r="A779" s="1">
        <v>43289.42996458334</v>
      </c>
      <c r="B779" s="3" t="s">
        <v>78</v>
      </c>
      <c r="C779" s="2" t="s">
        <v>79</v>
      </c>
    </row>
    <row r="780">
      <c r="A780" s="1">
        <v>43289.42998833333</v>
      </c>
      <c r="B780" s="3" t="s">
        <v>78</v>
      </c>
      <c r="C780" s="2" t="s">
        <v>79</v>
      </c>
    </row>
    <row r="781">
      <c r="A781" s="1">
        <v>43289.4300149537</v>
      </c>
      <c r="B781" s="2">
        <v>708.0</v>
      </c>
      <c r="C781" s="2" t="s">
        <v>4</v>
      </c>
      <c r="D781" s="2" t="s">
        <v>5</v>
      </c>
    </row>
    <row r="782">
      <c r="A782" s="1">
        <v>43289.43004519676</v>
      </c>
      <c r="B782" s="2">
        <v>723.0</v>
      </c>
      <c r="C782" s="2" t="s">
        <v>84</v>
      </c>
      <c r="D782" s="2" t="s">
        <v>5</v>
      </c>
    </row>
    <row r="783">
      <c r="A783" s="1">
        <v>43289.43006086806</v>
      </c>
      <c r="B783" s="3" t="s">
        <v>82</v>
      </c>
      <c r="C783" s="2" t="s">
        <v>83</v>
      </c>
    </row>
    <row r="784">
      <c r="A784" s="1">
        <v>43289.43021160879</v>
      </c>
      <c r="B784" s="2">
        <v>159.0</v>
      </c>
      <c r="C784" s="2" t="s">
        <v>58</v>
      </c>
    </row>
    <row r="785">
      <c r="A785" s="1">
        <v>43289.43029798611</v>
      </c>
      <c r="B785" s="2">
        <v>215.0</v>
      </c>
      <c r="C785" s="2" t="s">
        <v>137</v>
      </c>
    </row>
    <row r="786">
      <c r="A786" s="1">
        <v>43289.43083055556</v>
      </c>
      <c r="B786" s="2">
        <v>113.0</v>
      </c>
      <c r="C786" s="2" t="s">
        <v>29</v>
      </c>
    </row>
    <row r="787">
      <c r="A787" s="1">
        <v>43289.43088572916</v>
      </c>
      <c r="B787" s="2">
        <v>262.0</v>
      </c>
      <c r="C787" s="2" t="s">
        <v>28</v>
      </c>
    </row>
    <row r="788">
      <c r="A788" s="1">
        <v>43289.43096679398</v>
      </c>
      <c r="B788" s="2">
        <v>214.0</v>
      </c>
      <c r="C788" s="2" t="s">
        <v>47</v>
      </c>
    </row>
    <row r="789">
      <c r="A789" s="1">
        <v>43289.43103346065</v>
      </c>
      <c r="B789" s="2">
        <v>254.0</v>
      </c>
      <c r="C789" s="2" t="s">
        <v>132</v>
      </c>
    </row>
    <row r="790">
      <c r="A790" s="1">
        <v>43289.43109493055</v>
      </c>
      <c r="B790" s="2">
        <v>262.0</v>
      </c>
      <c r="C790" s="2" t="s">
        <v>28</v>
      </c>
    </row>
    <row r="791">
      <c r="A791" s="1">
        <v>43289.4310949537</v>
      </c>
      <c r="B791" s="2">
        <v>210.0</v>
      </c>
      <c r="C791" s="2" t="s">
        <v>64</v>
      </c>
    </row>
    <row r="792">
      <c r="A792" s="1">
        <v>43289.43117164352</v>
      </c>
      <c r="B792" s="2">
        <v>229.0</v>
      </c>
      <c r="C792" s="2" t="s">
        <v>86</v>
      </c>
    </row>
    <row r="793">
      <c r="A793" s="1">
        <v>43289.43118917824</v>
      </c>
      <c r="B793" s="2">
        <v>613.0</v>
      </c>
      <c r="C793" s="2" t="s">
        <v>124</v>
      </c>
    </row>
    <row r="794">
      <c r="A794" s="1">
        <v>43289.431221018516</v>
      </c>
      <c r="B794" s="2">
        <v>172.0</v>
      </c>
      <c r="C794" s="2" t="s">
        <v>65</v>
      </c>
    </row>
    <row r="795">
      <c r="A795" s="1">
        <v>43289.431275358795</v>
      </c>
      <c r="B795" s="2">
        <v>175.0</v>
      </c>
      <c r="C795" s="2" t="s">
        <v>69</v>
      </c>
    </row>
    <row r="796">
      <c r="A796" s="1">
        <v>43289.431495798606</v>
      </c>
      <c r="B796" s="2">
        <v>219.0</v>
      </c>
      <c r="C796" s="2" t="s">
        <v>31</v>
      </c>
    </row>
    <row r="797">
      <c r="A797" s="1">
        <v>43289.431971377315</v>
      </c>
      <c r="B797" s="2">
        <v>172.0</v>
      </c>
      <c r="C797" s="2" t="s">
        <v>65</v>
      </c>
    </row>
    <row r="798">
      <c r="A798" s="1">
        <v>43289.43218725694</v>
      </c>
      <c r="B798" s="3" t="s">
        <v>44</v>
      </c>
      <c r="C798" s="2" t="s">
        <v>45</v>
      </c>
    </row>
    <row r="799">
      <c r="A799" s="1">
        <v>43289.43340819444</v>
      </c>
      <c r="B799" s="2">
        <v>614.0</v>
      </c>
      <c r="C799" s="2" t="s">
        <v>76</v>
      </c>
    </row>
    <row r="800">
      <c r="A800" s="1">
        <v>43289.433970983795</v>
      </c>
      <c r="B800" s="3" t="s">
        <v>32</v>
      </c>
      <c r="C800" s="2" t="s">
        <v>33</v>
      </c>
    </row>
    <row r="801">
      <c r="A801" s="1">
        <v>43289.43466915509</v>
      </c>
      <c r="B801" s="2">
        <v>655.0</v>
      </c>
      <c r="C801" s="2" t="s">
        <v>17</v>
      </c>
    </row>
    <row r="802">
      <c r="A802" s="1">
        <v>43289.43504295139</v>
      </c>
      <c r="B802" s="2">
        <v>663.0</v>
      </c>
      <c r="C802" s="2" t="s">
        <v>109</v>
      </c>
    </row>
    <row r="803">
      <c r="A803" s="1">
        <v>43289.435108645834</v>
      </c>
      <c r="B803" s="2">
        <v>733.0</v>
      </c>
      <c r="C803" s="2" t="s">
        <v>110</v>
      </c>
      <c r="D803" s="2" t="s">
        <v>5</v>
      </c>
    </row>
    <row r="804">
      <c r="A804" s="1">
        <v>43289.43621888889</v>
      </c>
      <c r="B804" s="2">
        <v>153.0</v>
      </c>
      <c r="C804" s="2" t="s">
        <v>148</v>
      </c>
    </row>
    <row r="805">
      <c r="A805" s="1">
        <v>43289.43634162037</v>
      </c>
      <c r="B805" s="3" t="s">
        <v>126</v>
      </c>
      <c r="C805" s="2" t="s">
        <v>127</v>
      </c>
    </row>
    <row r="806">
      <c r="A806" s="1">
        <v>43289.43640295139</v>
      </c>
      <c r="B806" s="3" t="s">
        <v>11</v>
      </c>
      <c r="C806" s="2" t="s">
        <v>12</v>
      </c>
    </row>
    <row r="807">
      <c r="A807" s="1">
        <v>43289.436528680555</v>
      </c>
      <c r="B807" s="2">
        <v>716.0</v>
      </c>
      <c r="C807" s="2" t="s">
        <v>123</v>
      </c>
      <c r="D807" s="2" t="s">
        <v>5</v>
      </c>
    </row>
    <row r="808">
      <c r="A808" s="1">
        <v>43289.43665927083</v>
      </c>
      <c r="B808" s="3" t="s">
        <v>98</v>
      </c>
      <c r="C808" s="2" t="s">
        <v>99</v>
      </c>
    </row>
    <row r="809">
      <c r="A809" s="1">
        <v>43289.436744293984</v>
      </c>
      <c r="B809" s="2">
        <v>147.0</v>
      </c>
      <c r="C809" s="2" t="s">
        <v>100</v>
      </c>
    </row>
    <row r="810">
      <c r="A810" s="1">
        <v>43289.436830289356</v>
      </c>
      <c r="B810" s="2">
        <v>726.0</v>
      </c>
      <c r="C810" s="2" t="s">
        <v>101</v>
      </c>
      <c r="D810" s="2" t="s">
        <v>5</v>
      </c>
    </row>
    <row r="811">
      <c r="A811" s="1">
        <v>43289.43689332176</v>
      </c>
      <c r="B811" s="2">
        <v>732.0</v>
      </c>
      <c r="C811" s="2" t="s">
        <v>102</v>
      </c>
      <c r="D811" s="2" t="s">
        <v>5</v>
      </c>
    </row>
    <row r="812">
      <c r="A812" s="1">
        <v>43289.43805858796</v>
      </c>
      <c r="B812" s="2">
        <v>667.0</v>
      </c>
      <c r="C812" s="2" t="s">
        <v>73</v>
      </c>
    </row>
    <row r="813">
      <c r="A813" s="1">
        <v>43289.438189884255</v>
      </c>
      <c r="B813" s="2">
        <v>722.0</v>
      </c>
      <c r="C813" s="2" t="s">
        <v>25</v>
      </c>
      <c r="D813" s="2" t="s">
        <v>5</v>
      </c>
    </row>
    <row r="814">
      <c r="A814" s="1">
        <v>43289.43820528935</v>
      </c>
      <c r="B814" s="2">
        <v>706.0</v>
      </c>
      <c r="C814" s="2" t="s">
        <v>149</v>
      </c>
      <c r="D814" s="2" t="s">
        <v>5</v>
      </c>
    </row>
    <row r="815">
      <c r="A815" s="1">
        <v>43289.43820685185</v>
      </c>
      <c r="B815" s="2">
        <v>667.0</v>
      </c>
      <c r="C815" s="2" t="s">
        <v>73</v>
      </c>
    </row>
    <row r="816">
      <c r="A816" s="1">
        <v>43289.43823413194</v>
      </c>
      <c r="B816" s="3" t="s">
        <v>13</v>
      </c>
      <c r="C816" s="2" t="s">
        <v>14</v>
      </c>
    </row>
    <row r="817">
      <c r="A817" s="1">
        <v>43289.438265358796</v>
      </c>
      <c r="B817" s="3" t="s">
        <v>13</v>
      </c>
      <c r="C817" s="2" t="s">
        <v>14</v>
      </c>
    </row>
    <row r="818">
      <c r="A818" s="1">
        <v>43289.43828646991</v>
      </c>
      <c r="B818" s="2">
        <v>706.0</v>
      </c>
      <c r="C818" s="2" t="s">
        <v>149</v>
      </c>
      <c r="D818" s="2" t="s">
        <v>5</v>
      </c>
    </row>
    <row r="819">
      <c r="A819" s="1">
        <v>43289.43829561342</v>
      </c>
      <c r="B819" s="2">
        <v>708.0</v>
      </c>
      <c r="C819" s="2" t="s">
        <v>4</v>
      </c>
      <c r="D819" s="2" t="s">
        <v>5</v>
      </c>
    </row>
    <row r="820">
      <c r="A820" s="1">
        <v>43289.438304826384</v>
      </c>
      <c r="B820" s="3" t="s">
        <v>150</v>
      </c>
      <c r="C820" s="2" t="s">
        <v>151</v>
      </c>
    </row>
    <row r="821">
      <c r="A821" s="1">
        <v>43289.43834787037</v>
      </c>
      <c r="B821" s="3" t="s">
        <v>150</v>
      </c>
      <c r="C821" s="2" t="s">
        <v>151</v>
      </c>
    </row>
    <row r="822">
      <c r="A822" s="1">
        <v>43289.43839458333</v>
      </c>
      <c r="B822" s="3" t="s">
        <v>74</v>
      </c>
      <c r="C822" s="2" t="s">
        <v>75</v>
      </c>
    </row>
    <row r="823">
      <c r="A823" s="1">
        <v>43289.43882516204</v>
      </c>
      <c r="B823" s="3" t="s">
        <v>42</v>
      </c>
      <c r="C823" s="2" t="s">
        <v>43</v>
      </c>
    </row>
    <row r="824">
      <c r="A824" s="1">
        <v>43289.43914502315</v>
      </c>
      <c r="B824" s="2">
        <v>654.0</v>
      </c>
      <c r="C824" s="2" t="s">
        <v>115</v>
      </c>
    </row>
    <row r="825">
      <c r="A825" s="1">
        <v>43289.43977363426</v>
      </c>
      <c r="B825" s="2">
        <v>244.0</v>
      </c>
      <c r="C825" s="2" t="s">
        <v>38</v>
      </c>
    </row>
    <row r="826">
      <c r="A826" s="1">
        <v>43289.43987792824</v>
      </c>
      <c r="B826" s="2">
        <v>725.0</v>
      </c>
      <c r="C826" s="2" t="s">
        <v>92</v>
      </c>
      <c r="D826" s="2" t="s">
        <v>5</v>
      </c>
    </row>
    <row r="827">
      <c r="A827" s="1">
        <v>43289.43993688657</v>
      </c>
      <c r="B827" s="2">
        <v>724.0</v>
      </c>
      <c r="C827" s="2" t="s">
        <v>91</v>
      </c>
      <c r="D827" s="2" t="s">
        <v>5</v>
      </c>
    </row>
    <row r="828">
      <c r="A828" s="1">
        <v>43289.44004905093</v>
      </c>
      <c r="B828" s="2">
        <v>624.0</v>
      </c>
      <c r="C828" s="2" t="s">
        <v>90</v>
      </c>
    </row>
    <row r="829">
      <c r="A829" s="1">
        <v>43289.440094571764</v>
      </c>
      <c r="B829" s="2">
        <v>246.0</v>
      </c>
      <c r="C829" s="2" t="s">
        <v>26</v>
      </c>
    </row>
    <row r="830">
      <c r="A830" s="1">
        <v>43289.44036385417</v>
      </c>
      <c r="B830" s="2">
        <v>246.0</v>
      </c>
      <c r="C830" s="2" t="s">
        <v>26</v>
      </c>
    </row>
    <row r="831">
      <c r="A831" s="1">
        <v>43289.44040025463</v>
      </c>
      <c r="B831" s="2">
        <v>246.0</v>
      </c>
      <c r="C831" s="2" t="s">
        <v>26</v>
      </c>
    </row>
    <row r="832">
      <c r="A832" s="1">
        <v>43289.44043336806</v>
      </c>
      <c r="B832" s="2">
        <v>708.0</v>
      </c>
      <c r="C832" s="2" t="s">
        <v>4</v>
      </c>
      <c r="D832" s="2" t="s">
        <v>5</v>
      </c>
    </row>
    <row r="833">
      <c r="A833" s="1">
        <v>43289.442683194444</v>
      </c>
      <c r="B833" s="2">
        <v>189.0</v>
      </c>
      <c r="C833" s="2" t="s">
        <v>128</v>
      </c>
    </row>
    <row r="834">
      <c r="A834" s="1">
        <v>43289.443487372686</v>
      </c>
      <c r="B834" s="2">
        <v>735.0</v>
      </c>
      <c r="C834" s="2" t="s">
        <v>37</v>
      </c>
      <c r="D834" s="2" t="s">
        <v>5</v>
      </c>
    </row>
    <row r="835">
      <c r="A835" s="1">
        <v>43289.44404321759</v>
      </c>
      <c r="B835" s="2">
        <v>124.0</v>
      </c>
      <c r="C835" s="2" t="s">
        <v>107</v>
      </c>
    </row>
    <row r="836">
      <c r="A836" s="1">
        <v>43289.44420564815</v>
      </c>
      <c r="B836" s="2">
        <v>719.0</v>
      </c>
      <c r="C836" s="2" t="s">
        <v>106</v>
      </c>
      <c r="D836" s="2" t="s">
        <v>5</v>
      </c>
    </row>
    <row r="837">
      <c r="A837" s="1">
        <v>43289.4442546875</v>
      </c>
      <c r="B837" s="2">
        <v>718.0</v>
      </c>
      <c r="C837" s="2" t="s">
        <v>105</v>
      </c>
      <c r="D837" s="2" t="s">
        <v>5</v>
      </c>
    </row>
    <row r="838">
      <c r="A838" s="1">
        <v>43289.44447805556</v>
      </c>
      <c r="B838" s="2">
        <v>198.0</v>
      </c>
      <c r="C838" s="2" t="s">
        <v>97</v>
      </c>
    </row>
    <row r="839">
      <c r="A839" s="1">
        <v>43289.44480899305</v>
      </c>
      <c r="B839" s="3" t="s">
        <v>94</v>
      </c>
      <c r="C839" s="2" t="s">
        <v>95</v>
      </c>
    </row>
    <row r="840">
      <c r="A840" s="1">
        <v>43289.44501944444</v>
      </c>
      <c r="B840" s="2">
        <v>702.0</v>
      </c>
      <c r="C840" s="2" t="s">
        <v>96</v>
      </c>
      <c r="D840" s="2" t="s">
        <v>5</v>
      </c>
    </row>
    <row r="841">
      <c r="A841" s="1">
        <v>43289.44754123843</v>
      </c>
      <c r="B841" s="2">
        <v>736.0</v>
      </c>
      <c r="C841" s="2" t="s">
        <v>175</v>
      </c>
      <c r="D841" s="2" t="s">
        <v>5</v>
      </c>
    </row>
    <row r="842">
      <c r="A842" s="1">
        <v>43289.4475949537</v>
      </c>
      <c r="B842" s="2">
        <v>737.0</v>
      </c>
      <c r="C842" s="2" t="s">
        <v>176</v>
      </c>
      <c r="D842" s="2" t="s">
        <v>5</v>
      </c>
    </row>
    <row r="843">
      <c r="A843" s="1">
        <v>43289.44800259259</v>
      </c>
      <c r="B843" s="2">
        <v>649.0</v>
      </c>
      <c r="C843" s="2" t="s">
        <v>177</v>
      </c>
    </row>
    <row r="844">
      <c r="A844" s="1">
        <v>43289.44923652778</v>
      </c>
      <c r="B844" s="2">
        <v>719.0</v>
      </c>
      <c r="C844" s="2" t="s">
        <v>106</v>
      </c>
      <c r="D844" s="2" t="s">
        <v>5</v>
      </c>
    </row>
    <row r="845">
      <c r="A845" s="1">
        <v>43289.44925913194</v>
      </c>
      <c r="B845" s="2">
        <v>719.0</v>
      </c>
      <c r="C845" s="2" t="s">
        <v>106</v>
      </c>
      <c r="D845" s="2" t="s">
        <v>5</v>
      </c>
    </row>
    <row r="846">
      <c r="A846" s="1">
        <v>43289.44927469907</v>
      </c>
      <c r="B846" s="2">
        <v>708.0</v>
      </c>
      <c r="C846" s="2" t="s">
        <v>4</v>
      </c>
      <c r="D846" s="2" t="s">
        <v>5</v>
      </c>
    </row>
    <row r="847">
      <c r="A847" s="1">
        <v>43289.44932372685</v>
      </c>
      <c r="B847" s="2">
        <v>718.0</v>
      </c>
      <c r="C847" s="2" t="s">
        <v>105</v>
      </c>
      <c r="D847" s="2" t="s">
        <v>5</v>
      </c>
    </row>
    <row r="848">
      <c r="A848" s="1">
        <v>43289.44934880787</v>
      </c>
      <c r="B848" s="2">
        <v>718.0</v>
      </c>
      <c r="C848" s="2" t="s">
        <v>105</v>
      </c>
      <c r="D848" s="2" t="s">
        <v>5</v>
      </c>
    </row>
    <row r="849">
      <c r="A849" s="1">
        <v>43289.44944104167</v>
      </c>
      <c r="B849" s="3" t="s">
        <v>113</v>
      </c>
      <c r="C849" s="2" t="s">
        <v>114</v>
      </c>
    </row>
    <row r="850">
      <c r="A850" s="1">
        <v>43289.44944459491</v>
      </c>
      <c r="B850" s="2">
        <v>101.0</v>
      </c>
      <c r="C850" s="2" t="s">
        <v>108</v>
      </c>
    </row>
    <row r="851">
      <c r="A851" s="1">
        <v>43289.44947309028</v>
      </c>
      <c r="B851" s="3" t="s">
        <v>113</v>
      </c>
      <c r="C851" s="2" t="s">
        <v>114</v>
      </c>
    </row>
    <row r="852">
      <c r="A852" s="1">
        <v>43289.452748553245</v>
      </c>
      <c r="B852" s="3" t="s">
        <v>42</v>
      </c>
      <c r="C852" s="2" t="s">
        <v>43</v>
      </c>
    </row>
    <row r="853">
      <c r="A853" s="1">
        <v>43289.460540706015</v>
      </c>
      <c r="B853" s="2">
        <v>672.0</v>
      </c>
      <c r="C853" s="2" t="s">
        <v>6</v>
      </c>
    </row>
    <row r="854">
      <c r="A854" s="1">
        <v>43289.46127685186</v>
      </c>
      <c r="B854" s="2">
        <v>52.0</v>
      </c>
      <c r="C854" s="2" t="s">
        <v>41</v>
      </c>
    </row>
    <row r="855">
      <c r="A855" s="1">
        <v>43289.46186056713</v>
      </c>
      <c r="B855" s="2">
        <v>238.0</v>
      </c>
      <c r="C855" s="2" t="s">
        <v>35</v>
      </c>
    </row>
    <row r="856">
      <c r="A856" s="1">
        <v>43289.46238776621</v>
      </c>
      <c r="B856" s="2">
        <v>624.0</v>
      </c>
      <c r="C856" s="2" t="s">
        <v>90</v>
      </c>
    </row>
    <row r="857">
      <c r="A857" s="1">
        <v>43289.462629201385</v>
      </c>
      <c r="B857" s="3" t="s">
        <v>22</v>
      </c>
      <c r="C857" s="2" t="s">
        <v>23</v>
      </c>
    </row>
    <row r="858">
      <c r="A858" s="1">
        <v>43289.462989050924</v>
      </c>
      <c r="B858" s="2">
        <v>614.0</v>
      </c>
      <c r="C858" s="2" t="s">
        <v>76</v>
      </c>
    </row>
    <row r="859">
      <c r="A859" s="1">
        <v>43289.490116932866</v>
      </c>
      <c r="B859" s="2">
        <v>713.0</v>
      </c>
      <c r="C859" s="2" t="s">
        <v>121</v>
      </c>
      <c r="D859" s="2" t="s">
        <v>5</v>
      </c>
    </row>
    <row r="860">
      <c r="A860" s="1">
        <v>43289.49019159722</v>
      </c>
      <c r="B860" s="2">
        <v>714.0</v>
      </c>
      <c r="C860" s="2" t="s">
        <v>122</v>
      </c>
      <c r="D860" s="2" t="s">
        <v>5</v>
      </c>
    </row>
    <row r="861">
      <c r="A861" s="1">
        <v>43289.49031597222</v>
      </c>
      <c r="B861" s="3" t="s">
        <v>117</v>
      </c>
      <c r="C861" s="2" t="s">
        <v>118</v>
      </c>
    </row>
    <row r="862">
      <c r="A862" s="1">
        <v>43289.490386875</v>
      </c>
      <c r="B862" s="3" t="s">
        <v>119</v>
      </c>
      <c r="C862" s="2" t="s">
        <v>120</v>
      </c>
    </row>
    <row r="863">
      <c r="A863" s="1">
        <v>43289.49978923611</v>
      </c>
      <c r="B863" s="3" t="s">
        <v>22</v>
      </c>
      <c r="C863" s="2" t="s">
        <v>23</v>
      </c>
    </row>
    <row r="864">
      <c r="A864" s="1">
        <v>43289.49986859954</v>
      </c>
      <c r="B864" s="3" t="s">
        <v>22</v>
      </c>
      <c r="C864" s="2" t="s">
        <v>23</v>
      </c>
    </row>
    <row r="865">
      <c r="A865" s="1">
        <v>43289.73563486111</v>
      </c>
      <c r="B865" s="2">
        <v>619.0</v>
      </c>
      <c r="C865" s="2" t="s">
        <v>46</v>
      </c>
    </row>
    <row r="866">
      <c r="A866" s="1">
        <v>43296.39484241898</v>
      </c>
      <c r="B866" s="3" t="s">
        <v>22</v>
      </c>
      <c r="C866" s="2" t="s">
        <v>23</v>
      </c>
    </row>
    <row r="867">
      <c r="A867" s="1">
        <v>43296.394931539355</v>
      </c>
      <c r="B867" s="3" t="s">
        <v>22</v>
      </c>
      <c r="C867" s="2" t="s">
        <v>23</v>
      </c>
    </row>
    <row r="868">
      <c r="A868" s="1">
        <v>43296.39505346065</v>
      </c>
      <c r="B868" s="3" t="s">
        <v>22</v>
      </c>
      <c r="C868" s="2" t="s">
        <v>23</v>
      </c>
    </row>
    <row r="869">
      <c r="A869" s="1">
        <v>43296.410623449076</v>
      </c>
      <c r="B869" s="2">
        <v>165.0</v>
      </c>
      <c r="C869" s="2" t="s">
        <v>50</v>
      </c>
    </row>
    <row r="870">
      <c r="A870" s="1">
        <v>43296.41081810185</v>
      </c>
      <c r="B870" s="2">
        <v>619.0</v>
      </c>
      <c r="C870" s="2" t="s">
        <v>46</v>
      </c>
    </row>
    <row r="871">
      <c r="A871" s="1">
        <v>43296.41583809028</v>
      </c>
      <c r="B871" s="2">
        <v>159.0</v>
      </c>
      <c r="C871" s="2" t="s">
        <v>58</v>
      </c>
    </row>
    <row r="872">
      <c r="A872" s="1">
        <v>43296.41618068287</v>
      </c>
      <c r="B872" s="2">
        <v>708.0</v>
      </c>
      <c r="C872" s="2" t="s">
        <v>4</v>
      </c>
      <c r="D872" s="2" t="s">
        <v>5</v>
      </c>
    </row>
    <row r="873">
      <c r="A873" s="1">
        <v>43296.416313622685</v>
      </c>
      <c r="B873" s="2">
        <v>708.0</v>
      </c>
      <c r="C873" s="2" t="s">
        <v>4</v>
      </c>
      <c r="D873" s="2" t="s">
        <v>5</v>
      </c>
    </row>
    <row r="874">
      <c r="A874" s="1">
        <v>43296.4164902662</v>
      </c>
      <c r="B874" s="2">
        <v>708.0</v>
      </c>
      <c r="C874" s="2" t="s">
        <v>4</v>
      </c>
      <c r="D874" s="2" t="s">
        <v>5</v>
      </c>
    </row>
    <row r="875">
      <c r="A875" s="1">
        <v>43296.41669006944</v>
      </c>
      <c r="B875" s="2">
        <v>708.0</v>
      </c>
      <c r="C875" s="2" t="s">
        <v>4</v>
      </c>
      <c r="D875" s="2" t="s">
        <v>5</v>
      </c>
    </row>
    <row r="876">
      <c r="A876" s="1">
        <v>43296.41777722222</v>
      </c>
      <c r="B876" s="2">
        <v>602.0</v>
      </c>
      <c r="C876" s="2" t="s">
        <v>131</v>
      </c>
    </row>
    <row r="877">
      <c r="A877" s="1">
        <v>43296.41789606481</v>
      </c>
      <c r="B877" s="3" t="s">
        <v>44</v>
      </c>
      <c r="C877" s="2" t="s">
        <v>45</v>
      </c>
    </row>
    <row r="878">
      <c r="A878" s="1">
        <v>43296.41974111111</v>
      </c>
      <c r="B878" s="2">
        <v>708.0</v>
      </c>
      <c r="C878" s="2" t="s">
        <v>4</v>
      </c>
      <c r="D878" s="2" t="s">
        <v>5</v>
      </c>
    </row>
    <row r="879">
      <c r="A879" s="1">
        <v>43296.419965312496</v>
      </c>
      <c r="B879" s="2">
        <v>607.0</v>
      </c>
      <c r="C879" s="2" t="s">
        <v>68</v>
      </c>
    </row>
    <row r="880">
      <c r="A880" s="1">
        <v>43296.42008783565</v>
      </c>
      <c r="B880" s="2">
        <v>259.0</v>
      </c>
      <c r="C880" s="2" t="s">
        <v>66</v>
      </c>
    </row>
    <row r="881">
      <c r="A881" s="1">
        <v>43296.42078262732</v>
      </c>
      <c r="B881" s="2">
        <v>238.0</v>
      </c>
      <c r="C881" s="2" t="s">
        <v>35</v>
      </c>
    </row>
    <row r="882">
      <c r="A882" s="1">
        <v>43296.420945185186</v>
      </c>
      <c r="B882" s="2">
        <v>711.0</v>
      </c>
      <c r="C882" s="2" t="s">
        <v>8</v>
      </c>
      <c r="D882" s="2" t="s">
        <v>5</v>
      </c>
    </row>
    <row r="883">
      <c r="A883" s="1">
        <v>43296.42132472222</v>
      </c>
      <c r="B883" s="2">
        <v>708.0</v>
      </c>
      <c r="C883" s="2" t="s">
        <v>4</v>
      </c>
      <c r="D883" s="2" t="s">
        <v>5</v>
      </c>
    </row>
    <row r="884">
      <c r="A884" s="1">
        <v>43296.421761562495</v>
      </c>
      <c r="B884" s="3" t="s">
        <v>51</v>
      </c>
      <c r="C884" s="2" t="s">
        <v>52</v>
      </c>
    </row>
    <row r="885">
      <c r="A885" s="1">
        <v>43296.424056724536</v>
      </c>
      <c r="B885" s="3" t="s">
        <v>162</v>
      </c>
      <c r="C885" s="2" t="s">
        <v>163</v>
      </c>
    </row>
    <row r="886">
      <c r="A886" s="1">
        <v>43296.42407981481</v>
      </c>
      <c r="B886" s="3" t="s">
        <v>162</v>
      </c>
      <c r="C886" s="2" t="s">
        <v>163</v>
      </c>
    </row>
    <row r="887">
      <c r="A887" s="1">
        <v>43296.42416672454</v>
      </c>
      <c r="B887" s="2">
        <v>160.0</v>
      </c>
      <c r="C887" s="2" t="s">
        <v>154</v>
      </c>
    </row>
    <row r="888">
      <c r="A888" s="1">
        <v>43296.42422545139</v>
      </c>
      <c r="B888" s="2">
        <v>160.0</v>
      </c>
      <c r="C888" s="2" t="s">
        <v>154</v>
      </c>
    </row>
    <row r="889">
      <c r="A889" s="1">
        <v>43296.4242490162</v>
      </c>
      <c r="B889" s="2">
        <v>160.0</v>
      </c>
      <c r="C889" s="2" t="s">
        <v>154</v>
      </c>
    </row>
    <row r="890">
      <c r="A890" s="1">
        <v>43296.424256377315</v>
      </c>
      <c r="B890" s="2">
        <v>603.0</v>
      </c>
      <c r="C890" s="2" t="s">
        <v>40</v>
      </c>
    </row>
    <row r="891">
      <c r="A891" s="1">
        <v>43296.424355219904</v>
      </c>
      <c r="B891" s="2">
        <v>720.0</v>
      </c>
      <c r="C891" s="2" t="s">
        <v>155</v>
      </c>
      <c r="D891" s="2" t="s">
        <v>5</v>
      </c>
    </row>
    <row r="892">
      <c r="A892" s="1">
        <v>43296.42437258102</v>
      </c>
      <c r="B892" s="2">
        <v>720.0</v>
      </c>
      <c r="C892" s="2" t="s">
        <v>155</v>
      </c>
      <c r="D892" s="2" t="s">
        <v>5</v>
      </c>
    </row>
    <row r="893">
      <c r="A893" s="1">
        <v>43296.42445554398</v>
      </c>
      <c r="B893" s="2">
        <v>627.0</v>
      </c>
      <c r="C893" s="2" t="s">
        <v>134</v>
      </c>
    </row>
    <row r="894">
      <c r="A894" s="1">
        <v>43296.42446679398</v>
      </c>
      <c r="B894" s="2">
        <v>721.0</v>
      </c>
      <c r="C894" s="2" t="s">
        <v>156</v>
      </c>
      <c r="D894" s="2" t="s">
        <v>5</v>
      </c>
    </row>
    <row r="895">
      <c r="A895" s="1">
        <v>43296.42452086805</v>
      </c>
      <c r="B895" s="2">
        <v>721.0</v>
      </c>
      <c r="C895" s="2" t="s">
        <v>156</v>
      </c>
      <c r="D895" s="2" t="s">
        <v>5</v>
      </c>
    </row>
    <row r="896">
      <c r="A896" s="1">
        <v>43296.424609270834</v>
      </c>
      <c r="B896" s="2">
        <v>167.0</v>
      </c>
      <c r="C896" s="2" t="s">
        <v>39</v>
      </c>
    </row>
    <row r="897">
      <c r="A897" s="1">
        <v>43296.425825706014</v>
      </c>
      <c r="B897" s="2">
        <v>723.0</v>
      </c>
      <c r="C897" s="2" t="s">
        <v>84</v>
      </c>
      <c r="D897" s="2" t="s">
        <v>5</v>
      </c>
    </row>
    <row r="898">
      <c r="A898" s="1">
        <v>43296.42658806713</v>
      </c>
      <c r="B898" s="2">
        <v>654.0</v>
      </c>
      <c r="C898" s="2" t="s">
        <v>115</v>
      </c>
    </row>
    <row r="899">
      <c r="A899" s="1">
        <v>43296.42676960648</v>
      </c>
      <c r="B899" s="3" t="s">
        <v>78</v>
      </c>
      <c r="C899" s="2" t="s">
        <v>79</v>
      </c>
    </row>
    <row r="900">
      <c r="A900" s="1">
        <v>43296.42696024306</v>
      </c>
      <c r="B900" s="3" t="s">
        <v>82</v>
      </c>
      <c r="C900" s="2" t="s">
        <v>83</v>
      </c>
    </row>
    <row r="901">
      <c r="A901" s="1">
        <v>43296.4270422338</v>
      </c>
      <c r="B901" s="2">
        <v>619.0</v>
      </c>
      <c r="C901" s="2" t="s">
        <v>46</v>
      </c>
    </row>
    <row r="902">
      <c r="A902" s="1">
        <v>43296.42729719907</v>
      </c>
      <c r="B902" s="2">
        <v>708.0</v>
      </c>
      <c r="C902" s="2" t="s">
        <v>4</v>
      </c>
      <c r="D902" s="2" t="s">
        <v>5</v>
      </c>
    </row>
    <row r="903">
      <c r="A903" s="1">
        <v>43296.428045127315</v>
      </c>
      <c r="B903" s="2">
        <v>618.0</v>
      </c>
      <c r="C903" s="2" t="s">
        <v>147</v>
      </c>
    </row>
    <row r="904">
      <c r="A904" s="1">
        <v>43296.428314212964</v>
      </c>
      <c r="B904" s="2">
        <v>618.0</v>
      </c>
      <c r="C904" s="2" t="s">
        <v>147</v>
      </c>
    </row>
    <row r="905">
      <c r="A905" s="1">
        <v>43296.42849685185</v>
      </c>
      <c r="B905" s="2">
        <v>165.0</v>
      </c>
      <c r="C905" s="2" t="s">
        <v>50</v>
      </c>
    </row>
    <row r="906">
      <c r="A906" s="1">
        <v>43296.42953475694</v>
      </c>
      <c r="B906" s="2">
        <v>262.0</v>
      </c>
      <c r="C906" s="2" t="s">
        <v>28</v>
      </c>
    </row>
    <row r="907">
      <c r="A907" s="1">
        <v>43296.43040991898</v>
      </c>
      <c r="B907" s="2">
        <v>717.0</v>
      </c>
      <c r="C907" s="2" t="s">
        <v>152</v>
      </c>
      <c r="D907" s="2" t="s">
        <v>5</v>
      </c>
    </row>
    <row r="908">
      <c r="A908" s="1">
        <v>43296.43067252314</v>
      </c>
      <c r="B908" s="2">
        <v>172.0</v>
      </c>
      <c r="C908" s="2" t="s">
        <v>65</v>
      </c>
    </row>
    <row r="909">
      <c r="A909" s="1">
        <v>43296.43108547454</v>
      </c>
      <c r="B909" s="2">
        <v>173.0</v>
      </c>
      <c r="C909" s="2" t="s">
        <v>24</v>
      </c>
    </row>
    <row r="910">
      <c r="A910" s="1">
        <v>43296.43120355324</v>
      </c>
      <c r="B910" s="2">
        <v>231.0</v>
      </c>
      <c r="C910" s="2" t="s">
        <v>61</v>
      </c>
    </row>
    <row r="911">
      <c r="A911" s="1">
        <v>43296.431439085645</v>
      </c>
      <c r="B911" s="2">
        <v>113.0</v>
      </c>
      <c r="C911" s="2" t="s">
        <v>29</v>
      </c>
    </row>
    <row r="912">
      <c r="A912" s="1">
        <v>43296.431526851855</v>
      </c>
      <c r="B912" s="3" t="s">
        <v>32</v>
      </c>
      <c r="C912" s="2" t="s">
        <v>33</v>
      </c>
    </row>
    <row r="913">
      <c r="A913" s="1">
        <v>43296.43168214121</v>
      </c>
      <c r="B913" s="2">
        <v>214.0</v>
      </c>
      <c r="C913" s="2" t="s">
        <v>47</v>
      </c>
    </row>
    <row r="914">
      <c r="A914" s="1">
        <v>43296.43188822917</v>
      </c>
      <c r="B914" s="3" t="s">
        <v>88</v>
      </c>
      <c r="C914" s="2" t="s">
        <v>89</v>
      </c>
    </row>
    <row r="915">
      <c r="A915" s="1">
        <v>43296.43218260417</v>
      </c>
      <c r="B915" s="2">
        <v>229.0</v>
      </c>
      <c r="C915" s="2" t="s">
        <v>86</v>
      </c>
    </row>
    <row r="916">
      <c r="A916" s="1">
        <v>43296.4328228125</v>
      </c>
      <c r="B916" s="2">
        <v>167.0</v>
      </c>
      <c r="C916" s="2" t="s">
        <v>39</v>
      </c>
    </row>
    <row r="917">
      <c r="A917" s="1">
        <v>43296.432956273144</v>
      </c>
      <c r="B917" s="3" t="s">
        <v>159</v>
      </c>
      <c r="C917" s="2" t="s">
        <v>160</v>
      </c>
    </row>
    <row r="918">
      <c r="A918" s="1">
        <v>43296.43303886574</v>
      </c>
      <c r="B918" s="3" t="s">
        <v>111</v>
      </c>
      <c r="C918" s="2" t="s">
        <v>112</v>
      </c>
    </row>
    <row r="919">
      <c r="A919" s="1">
        <v>43296.43339737269</v>
      </c>
      <c r="B919" s="2">
        <v>207.0</v>
      </c>
      <c r="C919" s="2" t="s">
        <v>85</v>
      </c>
    </row>
    <row r="920">
      <c r="A920" s="1">
        <v>43296.43360001157</v>
      </c>
      <c r="B920" s="2">
        <v>219.0</v>
      </c>
      <c r="C920" s="2" t="s">
        <v>31</v>
      </c>
    </row>
    <row r="921">
      <c r="A921" s="1">
        <v>43296.433696990745</v>
      </c>
      <c r="B921" s="2">
        <v>252.0</v>
      </c>
      <c r="C921" s="2" t="s">
        <v>34</v>
      </c>
    </row>
    <row r="922">
      <c r="A922" s="1">
        <v>43296.4341284375</v>
      </c>
      <c r="B922" s="3" t="s">
        <v>78</v>
      </c>
      <c r="C922" s="2" t="s">
        <v>79</v>
      </c>
    </row>
    <row r="923">
      <c r="A923" s="1">
        <v>43296.43424883102</v>
      </c>
      <c r="B923" s="2">
        <v>723.0</v>
      </c>
      <c r="C923" s="2" t="s">
        <v>84</v>
      </c>
      <c r="D923" s="2" t="s">
        <v>5</v>
      </c>
    </row>
    <row r="924">
      <c r="A924" s="1">
        <v>43296.43431511574</v>
      </c>
      <c r="B924" s="3" t="s">
        <v>82</v>
      </c>
      <c r="C924" s="2" t="s">
        <v>83</v>
      </c>
    </row>
    <row r="925">
      <c r="A925" s="1">
        <v>43296.434687245375</v>
      </c>
      <c r="B925" s="2">
        <v>113.0</v>
      </c>
      <c r="C925" s="2" t="s">
        <v>29</v>
      </c>
    </row>
    <row r="926">
      <c r="A926" s="1">
        <v>43296.435588252316</v>
      </c>
      <c r="B926" s="2">
        <v>712.0</v>
      </c>
      <c r="C926" s="2" t="s">
        <v>116</v>
      </c>
      <c r="D926" s="2" t="s">
        <v>5</v>
      </c>
    </row>
    <row r="927">
      <c r="A927" s="1">
        <v>43296.43600056713</v>
      </c>
      <c r="B927" s="2">
        <v>257.0</v>
      </c>
      <c r="C927" s="2" t="s">
        <v>27</v>
      </c>
    </row>
    <row r="928">
      <c r="A928" s="1">
        <v>43296.43651699074</v>
      </c>
      <c r="B928" s="2">
        <v>667.0</v>
      </c>
      <c r="C928" s="2" t="s">
        <v>73</v>
      </c>
    </row>
    <row r="929">
      <c r="A929" s="1">
        <v>43296.43661841435</v>
      </c>
      <c r="B929" s="2">
        <v>706.0</v>
      </c>
      <c r="C929" s="2" t="s">
        <v>149</v>
      </c>
      <c r="D929" s="2" t="s">
        <v>5</v>
      </c>
    </row>
    <row r="930">
      <c r="A930" s="1">
        <v>43296.43672168981</v>
      </c>
      <c r="B930" s="3" t="s">
        <v>150</v>
      </c>
      <c r="C930" s="2" t="s">
        <v>151</v>
      </c>
    </row>
    <row r="931">
      <c r="A931" s="1">
        <v>43296.43700100694</v>
      </c>
      <c r="B931" s="3" t="s">
        <v>150</v>
      </c>
      <c r="C931" s="2" t="s">
        <v>151</v>
      </c>
    </row>
    <row r="932">
      <c r="A932" s="1">
        <v>43296.43716325231</v>
      </c>
      <c r="B932" s="2">
        <v>706.0</v>
      </c>
      <c r="C932" s="2" t="s">
        <v>149</v>
      </c>
      <c r="D932" s="2" t="s">
        <v>5</v>
      </c>
    </row>
    <row r="933">
      <c r="A933" s="1">
        <v>43296.43722759259</v>
      </c>
      <c r="B933" s="2">
        <v>667.0</v>
      </c>
      <c r="C933" s="2" t="s">
        <v>73</v>
      </c>
    </row>
    <row r="934">
      <c r="A934" s="1">
        <v>43296.438373564815</v>
      </c>
      <c r="B934" s="2">
        <v>210.0</v>
      </c>
      <c r="C934" s="2" t="s">
        <v>64</v>
      </c>
    </row>
    <row r="935">
      <c r="A935" s="1">
        <v>43296.43846462963</v>
      </c>
      <c r="B935" s="2">
        <v>611.0</v>
      </c>
      <c r="C935" s="2" t="s">
        <v>143</v>
      </c>
    </row>
    <row r="936">
      <c r="A936" s="1">
        <v>43296.43920121528</v>
      </c>
      <c r="B936" s="3" t="s">
        <v>80</v>
      </c>
      <c r="C936" s="2" t="s">
        <v>81</v>
      </c>
    </row>
    <row r="937">
      <c r="A937" s="1">
        <v>43296.439345810184</v>
      </c>
      <c r="B937" s="2">
        <v>254.0</v>
      </c>
      <c r="C937" s="2" t="s">
        <v>132</v>
      </c>
    </row>
    <row r="938">
      <c r="A938" s="1">
        <v>43296.43945546296</v>
      </c>
      <c r="B938" s="3" t="s">
        <v>42</v>
      </c>
      <c r="C938" s="2" t="s">
        <v>43</v>
      </c>
    </row>
    <row r="939">
      <c r="A939" s="1">
        <v>43296.44064696759</v>
      </c>
      <c r="B939" s="3" t="s">
        <v>74</v>
      </c>
      <c r="C939" s="2" t="s">
        <v>75</v>
      </c>
    </row>
    <row r="940">
      <c r="A940" s="1">
        <v>43296.44162924768</v>
      </c>
      <c r="B940" s="2">
        <v>126.0</v>
      </c>
      <c r="C940" s="2" t="s">
        <v>87</v>
      </c>
    </row>
    <row r="941">
      <c r="A941" s="1">
        <v>43296.44200510417</v>
      </c>
      <c r="B941" s="3" t="s">
        <v>94</v>
      </c>
      <c r="C941" s="2" t="s">
        <v>95</v>
      </c>
    </row>
    <row r="942">
      <c r="A942" s="1">
        <v>43296.44289451389</v>
      </c>
      <c r="B942" s="2">
        <v>198.0</v>
      </c>
      <c r="C942" s="2" t="s">
        <v>97</v>
      </c>
    </row>
    <row r="943">
      <c r="A943" s="1">
        <v>43296.44297420139</v>
      </c>
      <c r="B943" s="2">
        <v>114.0</v>
      </c>
      <c r="C943" s="2" t="s">
        <v>15</v>
      </c>
    </row>
    <row r="944">
      <c r="A944" s="1">
        <v>43296.44309797454</v>
      </c>
      <c r="B944" s="2">
        <v>702.0</v>
      </c>
      <c r="C944" s="2" t="s">
        <v>96</v>
      </c>
      <c r="D944" s="2" t="s">
        <v>5</v>
      </c>
    </row>
    <row r="945">
      <c r="A945" s="1">
        <v>43296.44332262731</v>
      </c>
      <c r="B945" s="3" t="s">
        <v>9</v>
      </c>
      <c r="C945" s="2" t="s">
        <v>10</v>
      </c>
    </row>
    <row r="946">
      <c r="A946" s="1">
        <v>43296.44333554398</v>
      </c>
      <c r="B946" s="3" t="s">
        <v>94</v>
      </c>
      <c r="C946" s="2" t="s">
        <v>95</v>
      </c>
    </row>
    <row r="947">
      <c r="A947" s="1">
        <v>43296.44357884259</v>
      </c>
      <c r="B947" s="2">
        <v>708.0</v>
      </c>
      <c r="C947" s="2" t="s">
        <v>4</v>
      </c>
      <c r="D947" s="2" t="s">
        <v>5</v>
      </c>
    </row>
    <row r="948">
      <c r="A948" s="1">
        <v>43296.443654884264</v>
      </c>
      <c r="B948" s="2">
        <v>709.0</v>
      </c>
      <c r="C948" s="2" t="s">
        <v>20</v>
      </c>
      <c r="D948" s="2" t="s">
        <v>5</v>
      </c>
    </row>
    <row r="949">
      <c r="A949" s="1">
        <v>43296.4446990625</v>
      </c>
      <c r="B949" s="2">
        <v>643.0</v>
      </c>
      <c r="C949" s="2" t="s">
        <v>166</v>
      </c>
    </row>
    <row r="950">
      <c r="A950" s="1">
        <v>43296.44485434028</v>
      </c>
      <c r="B950" s="2">
        <v>653.0</v>
      </c>
      <c r="C950" s="2" t="s">
        <v>77</v>
      </c>
    </row>
    <row r="951">
      <c r="A951" s="1">
        <v>43296.44488885417</v>
      </c>
      <c r="B951" s="2">
        <v>722.0</v>
      </c>
      <c r="C951" s="2" t="s">
        <v>25</v>
      </c>
      <c r="D951" s="2" t="s">
        <v>5</v>
      </c>
    </row>
    <row r="952">
      <c r="A952" s="1">
        <v>43296.44504291667</v>
      </c>
      <c r="B952" s="2">
        <v>246.0</v>
      </c>
      <c r="C952" s="2" t="s">
        <v>26</v>
      </c>
    </row>
    <row r="953">
      <c r="A953" s="1">
        <v>43296.44521884259</v>
      </c>
      <c r="B953" s="2">
        <v>126.0</v>
      </c>
      <c r="C953" s="2" t="s">
        <v>87</v>
      </c>
    </row>
    <row r="954">
      <c r="A954" s="1">
        <v>43296.4473353125</v>
      </c>
      <c r="B954" s="2">
        <v>663.0</v>
      </c>
      <c r="C954" s="2" t="s">
        <v>109</v>
      </c>
    </row>
    <row r="955">
      <c r="A955" s="1">
        <v>43296.44766613426</v>
      </c>
      <c r="B955" s="2">
        <v>733.0</v>
      </c>
      <c r="C955" s="2" t="s">
        <v>110</v>
      </c>
      <c r="D955" s="2" t="s">
        <v>5</v>
      </c>
    </row>
    <row r="956">
      <c r="A956" s="1">
        <v>43296.44780724537</v>
      </c>
      <c r="B956" s="2">
        <v>244.0</v>
      </c>
      <c r="C956" s="2" t="s">
        <v>38</v>
      </c>
    </row>
    <row r="957">
      <c r="A957" s="1">
        <v>43296.44816486111</v>
      </c>
      <c r="B957" s="2">
        <v>215.0</v>
      </c>
      <c r="C957" s="2" t="s">
        <v>137</v>
      </c>
    </row>
    <row r="958">
      <c r="A958" s="1">
        <v>43296.44827143518</v>
      </c>
      <c r="B958" s="2">
        <v>193.0</v>
      </c>
      <c r="C958" s="2" t="s">
        <v>30</v>
      </c>
    </row>
    <row r="959">
      <c r="A959" s="1">
        <v>43296.4491537963</v>
      </c>
      <c r="B959" s="2">
        <v>710.0</v>
      </c>
      <c r="C959" s="2" t="s">
        <v>21</v>
      </c>
      <c r="D959" s="2" t="s">
        <v>5</v>
      </c>
    </row>
    <row r="960">
      <c r="A960" s="1">
        <v>43296.45100564815</v>
      </c>
      <c r="B960" s="2">
        <v>52.0</v>
      </c>
      <c r="C960" s="2" t="s">
        <v>41</v>
      </c>
    </row>
    <row r="961">
      <c r="A961" s="1">
        <v>43296.45202833333</v>
      </c>
      <c r="B961" s="2">
        <v>672.0</v>
      </c>
      <c r="C961" s="2" t="s">
        <v>6</v>
      </c>
    </row>
    <row r="962">
      <c r="A962" s="1">
        <v>43296.45273744213</v>
      </c>
      <c r="B962" s="2">
        <v>718.0</v>
      </c>
      <c r="C962" s="2" t="s">
        <v>105</v>
      </c>
      <c r="D962" s="2" t="s">
        <v>5</v>
      </c>
    </row>
    <row r="963">
      <c r="A963" s="1">
        <v>43296.45284633102</v>
      </c>
      <c r="B963" s="2">
        <v>719.0</v>
      </c>
      <c r="C963" s="2" t="s">
        <v>106</v>
      </c>
      <c r="D963" s="2" t="s">
        <v>5</v>
      </c>
    </row>
    <row r="964">
      <c r="A964" s="1">
        <v>43296.45304770833</v>
      </c>
      <c r="B964" s="2">
        <v>228.0</v>
      </c>
      <c r="C964" s="2" t="s">
        <v>135</v>
      </c>
    </row>
    <row r="965">
      <c r="A965" s="1">
        <v>43296.45318167824</v>
      </c>
      <c r="B965" s="2">
        <v>101.0</v>
      </c>
      <c r="C965" s="2" t="s">
        <v>108</v>
      </c>
    </row>
    <row r="966">
      <c r="A966" s="1">
        <v>43296.4538487963</v>
      </c>
      <c r="B966" s="2">
        <v>736.0</v>
      </c>
      <c r="C966" s="2" t="s">
        <v>175</v>
      </c>
      <c r="D966" s="2" t="s">
        <v>5</v>
      </c>
    </row>
    <row r="967">
      <c r="A967" s="1">
        <v>43296.45394478009</v>
      </c>
      <c r="B967" s="2">
        <v>737.0</v>
      </c>
      <c r="C967" s="2" t="s">
        <v>176</v>
      </c>
      <c r="D967" s="2" t="s">
        <v>5</v>
      </c>
    </row>
    <row r="968">
      <c r="A968" s="1">
        <v>43296.45494819444</v>
      </c>
      <c r="B968" s="2">
        <v>738.0</v>
      </c>
      <c r="C968" s="2" t="s">
        <v>161</v>
      </c>
    </row>
    <row r="969">
      <c r="A969" s="1">
        <v>43296.45542038194</v>
      </c>
      <c r="B969" s="2">
        <v>124.0</v>
      </c>
      <c r="C969" s="2" t="s">
        <v>107</v>
      </c>
    </row>
    <row r="970">
      <c r="A970" s="1">
        <v>43296.45590865741</v>
      </c>
      <c r="B970" s="2">
        <v>631.0</v>
      </c>
      <c r="C970" s="2" t="s">
        <v>178</v>
      </c>
    </row>
    <row r="971">
      <c r="A971" s="1">
        <v>43296.45688459491</v>
      </c>
      <c r="B971" s="3" t="s">
        <v>59</v>
      </c>
      <c r="C971" s="2" t="s">
        <v>60</v>
      </c>
    </row>
    <row r="972">
      <c r="A972" s="1">
        <v>43296.45726596065</v>
      </c>
      <c r="B972" s="2">
        <v>726.0</v>
      </c>
      <c r="C972" s="2" t="s">
        <v>101</v>
      </c>
      <c r="D972" s="2" t="s">
        <v>5</v>
      </c>
    </row>
    <row r="973">
      <c r="A973" s="1">
        <v>43296.4573753588</v>
      </c>
      <c r="B973" s="2">
        <v>732.0</v>
      </c>
      <c r="C973" s="2" t="s">
        <v>102</v>
      </c>
      <c r="D973" s="2" t="s">
        <v>5</v>
      </c>
    </row>
    <row r="974">
      <c r="A974" s="1">
        <v>43296.45753835648</v>
      </c>
      <c r="B974" s="3" t="s">
        <v>98</v>
      </c>
      <c r="C974" s="2" t="s">
        <v>99</v>
      </c>
    </row>
    <row r="975">
      <c r="A975" s="1">
        <v>43296.458439131944</v>
      </c>
      <c r="B975" s="2">
        <v>643.0</v>
      </c>
      <c r="C975" s="2" t="s">
        <v>166</v>
      </c>
    </row>
    <row r="976">
      <c r="A976" s="1">
        <v>43296.45890576389</v>
      </c>
      <c r="B976" s="3" t="s">
        <v>42</v>
      </c>
      <c r="C976" s="2" t="s">
        <v>43</v>
      </c>
    </row>
    <row r="977">
      <c r="A977" s="1">
        <v>43296.45977208333</v>
      </c>
      <c r="B977" s="2">
        <v>259.0</v>
      </c>
      <c r="C977" s="2" t="s">
        <v>66</v>
      </c>
    </row>
    <row r="978">
      <c r="A978" s="1">
        <v>43296.46018523148</v>
      </c>
      <c r="B978" s="2">
        <v>661.0</v>
      </c>
      <c r="C978" s="2" t="s">
        <v>153</v>
      </c>
    </row>
    <row r="979">
      <c r="A979" s="1">
        <v>43296.46326413195</v>
      </c>
      <c r="B979" s="2">
        <v>625.0</v>
      </c>
      <c r="C979" s="2" t="s">
        <v>136</v>
      </c>
    </row>
    <row r="980">
      <c r="A980" s="1">
        <v>43296.46362226852</v>
      </c>
      <c r="B980" s="2">
        <v>662.0</v>
      </c>
      <c r="C980" s="2" t="s">
        <v>18</v>
      </c>
    </row>
    <row r="981">
      <c r="A981" s="1">
        <v>43296.46395333333</v>
      </c>
      <c r="B981" s="2">
        <v>655.0</v>
      </c>
      <c r="C981" s="2" t="s">
        <v>17</v>
      </c>
    </row>
    <row r="982">
      <c r="A982" s="1">
        <v>43296.474464074076</v>
      </c>
      <c r="B982" s="2">
        <v>253.0</v>
      </c>
      <c r="C982" s="2" t="s">
        <v>138</v>
      </c>
    </row>
    <row r="983">
      <c r="A983" s="1">
        <v>43300.490171701385</v>
      </c>
      <c r="B983" s="2">
        <v>649.0</v>
      </c>
      <c r="C983" s="2" t="s">
        <v>177</v>
      </c>
    </row>
    <row r="984">
      <c r="A984" s="1">
        <v>43300.49125363426</v>
      </c>
      <c r="B984" s="3" t="s">
        <v>113</v>
      </c>
      <c r="C984" s="2" t="s">
        <v>114</v>
      </c>
    </row>
    <row r="985">
      <c r="A985" s="1">
        <v>43303.40372783565</v>
      </c>
      <c r="B985" s="2">
        <v>611.0</v>
      </c>
      <c r="C985" s="2" t="s">
        <v>143</v>
      </c>
    </row>
    <row r="986">
      <c r="A986" s="1">
        <v>43303.403860439816</v>
      </c>
      <c r="B986" s="2">
        <v>611.0</v>
      </c>
      <c r="C986" s="2" t="s">
        <v>143</v>
      </c>
    </row>
    <row r="987">
      <c r="A987" s="1">
        <v>43303.4122403125</v>
      </c>
      <c r="B987" s="2">
        <v>635.0</v>
      </c>
      <c r="C987" s="2" t="s">
        <v>165</v>
      </c>
    </row>
    <row r="988">
      <c r="A988" s="1">
        <v>43303.41229494213</v>
      </c>
      <c r="B988" s="2">
        <v>704.0</v>
      </c>
      <c r="C988" s="2" t="s">
        <v>167</v>
      </c>
      <c r="D988" s="2" t="s">
        <v>5</v>
      </c>
    </row>
    <row r="989">
      <c r="A989" s="1">
        <v>43303.41298675926</v>
      </c>
      <c r="B989" s="2">
        <v>735.0</v>
      </c>
      <c r="C989" s="2" t="s">
        <v>37</v>
      </c>
      <c r="D989" s="2" t="s">
        <v>5</v>
      </c>
    </row>
    <row r="990">
      <c r="A990" s="1">
        <v>43303.415293645834</v>
      </c>
      <c r="B990" s="3" t="s">
        <v>32</v>
      </c>
      <c r="C990" s="2" t="s">
        <v>33</v>
      </c>
    </row>
    <row r="991">
      <c r="A991" s="1">
        <v>43303.41567055555</v>
      </c>
      <c r="B991" s="3" t="s">
        <v>80</v>
      </c>
      <c r="C991" s="2" t="s">
        <v>81</v>
      </c>
    </row>
    <row r="992">
      <c r="A992" s="1">
        <v>43303.41579131944</v>
      </c>
      <c r="B992" s="3" t="s">
        <v>51</v>
      </c>
      <c r="C992" s="2" t="s">
        <v>52</v>
      </c>
    </row>
    <row r="993">
      <c r="A993" s="1">
        <v>43303.415979791665</v>
      </c>
      <c r="B993" s="2">
        <v>153.0</v>
      </c>
      <c r="C993" s="2" t="s">
        <v>148</v>
      </c>
    </row>
    <row r="994">
      <c r="A994" s="1">
        <v>43303.41913184027</v>
      </c>
      <c r="B994" s="2">
        <v>173.0</v>
      </c>
      <c r="C994" s="2" t="s">
        <v>24</v>
      </c>
    </row>
    <row r="995">
      <c r="A995" s="1">
        <v>43303.419516504626</v>
      </c>
      <c r="B995" s="3" t="s">
        <v>159</v>
      </c>
      <c r="C995" s="2" t="s">
        <v>160</v>
      </c>
    </row>
    <row r="996">
      <c r="A996" s="1">
        <v>43303.41968998843</v>
      </c>
      <c r="B996" s="2">
        <v>229.0</v>
      </c>
      <c r="C996" s="2" t="s">
        <v>86</v>
      </c>
    </row>
    <row r="997">
      <c r="A997" s="1">
        <v>43303.41978285879</v>
      </c>
      <c r="B997" s="2">
        <v>113.0</v>
      </c>
      <c r="C997" s="2" t="s">
        <v>29</v>
      </c>
    </row>
    <row r="998">
      <c r="A998" s="1">
        <v>43303.41998731482</v>
      </c>
      <c r="B998" s="2">
        <v>238.0</v>
      </c>
      <c r="C998" s="2" t="s">
        <v>35</v>
      </c>
    </row>
    <row r="999">
      <c r="A999" s="1">
        <v>43303.420092500004</v>
      </c>
      <c r="B999" s="2">
        <v>214.0</v>
      </c>
      <c r="C999" s="2" t="s">
        <v>47</v>
      </c>
    </row>
    <row r="1000">
      <c r="A1000" s="1">
        <v>43303.42023579861</v>
      </c>
      <c r="B1000" s="2">
        <v>611.0</v>
      </c>
      <c r="C1000" s="2" t="s">
        <v>143</v>
      </c>
    </row>
    <row r="1001">
      <c r="A1001" s="1">
        <v>43303.420659560186</v>
      </c>
      <c r="B1001" s="3" t="s">
        <v>111</v>
      </c>
      <c r="C1001" s="2" t="s">
        <v>112</v>
      </c>
    </row>
    <row r="1002">
      <c r="A1002" s="1">
        <v>43303.4215830787</v>
      </c>
      <c r="B1002" s="2">
        <v>215.0</v>
      </c>
      <c r="C1002" s="2" t="s">
        <v>137</v>
      </c>
    </row>
    <row r="1003">
      <c r="A1003" s="1">
        <v>43303.42202975694</v>
      </c>
      <c r="B1003" s="2">
        <v>219.0</v>
      </c>
      <c r="C1003" s="2" t="s">
        <v>31</v>
      </c>
    </row>
    <row r="1004">
      <c r="A1004" s="1">
        <v>43303.422165185184</v>
      </c>
      <c r="B1004" s="2">
        <v>207.0</v>
      </c>
      <c r="C1004" s="2" t="s">
        <v>85</v>
      </c>
    </row>
    <row r="1005">
      <c r="A1005" s="1">
        <v>43303.42253210648</v>
      </c>
      <c r="B1005" s="2">
        <v>52.0</v>
      </c>
      <c r="C1005" s="2" t="s">
        <v>41</v>
      </c>
    </row>
    <row r="1006">
      <c r="A1006" s="1">
        <v>43303.42253614584</v>
      </c>
      <c r="B1006" s="3" t="s">
        <v>44</v>
      </c>
      <c r="C1006" s="2" t="s">
        <v>45</v>
      </c>
    </row>
    <row r="1007">
      <c r="A1007" s="1">
        <v>43303.42537881945</v>
      </c>
      <c r="B1007" s="3" t="s">
        <v>48</v>
      </c>
      <c r="C1007" s="2" t="s">
        <v>49</v>
      </c>
    </row>
    <row r="1008">
      <c r="A1008" s="1">
        <v>43303.425465520835</v>
      </c>
      <c r="B1008" s="2">
        <v>708.0</v>
      </c>
      <c r="C1008" s="2" t="s">
        <v>4</v>
      </c>
      <c r="D1008" s="2" t="s">
        <v>5</v>
      </c>
    </row>
    <row r="1009">
      <c r="A1009" s="1">
        <v>43303.425465844906</v>
      </c>
      <c r="B1009" s="3" t="s">
        <v>48</v>
      </c>
      <c r="C1009" s="2" t="s">
        <v>49</v>
      </c>
    </row>
    <row r="1010">
      <c r="A1010" s="1">
        <v>43303.42749306713</v>
      </c>
      <c r="B1010" s="3" t="s">
        <v>162</v>
      </c>
      <c r="C1010" s="2" t="s">
        <v>163</v>
      </c>
    </row>
    <row r="1011">
      <c r="A1011" s="1">
        <v>43303.42751729167</v>
      </c>
      <c r="B1011" s="3" t="s">
        <v>162</v>
      </c>
      <c r="C1011" s="2" t="s">
        <v>163</v>
      </c>
    </row>
    <row r="1012">
      <c r="A1012" s="1">
        <v>43303.42760763889</v>
      </c>
      <c r="B1012" s="3" t="s">
        <v>162</v>
      </c>
      <c r="C1012" s="2" t="s">
        <v>163</v>
      </c>
    </row>
    <row r="1013">
      <c r="A1013" s="1">
        <v>43303.42770356481</v>
      </c>
      <c r="B1013" s="3" t="s">
        <v>162</v>
      </c>
      <c r="C1013" s="2" t="s">
        <v>163</v>
      </c>
    </row>
    <row r="1014">
      <c r="A1014" s="1">
        <v>43303.42781096065</v>
      </c>
      <c r="B1014" s="2">
        <v>160.0</v>
      </c>
      <c r="C1014" s="2" t="s">
        <v>154</v>
      </c>
    </row>
    <row r="1015">
      <c r="A1015" s="1">
        <v>43303.42783806713</v>
      </c>
      <c r="B1015" s="2">
        <v>160.0</v>
      </c>
      <c r="C1015" s="2" t="s">
        <v>154</v>
      </c>
    </row>
    <row r="1016">
      <c r="A1016" s="1">
        <v>43303.427917152774</v>
      </c>
      <c r="B1016" s="2">
        <v>720.0</v>
      </c>
      <c r="C1016" s="2" t="s">
        <v>155</v>
      </c>
      <c r="D1016" s="2" t="s">
        <v>5</v>
      </c>
    </row>
    <row r="1017">
      <c r="A1017" s="1">
        <v>43303.42795320602</v>
      </c>
      <c r="B1017" s="2">
        <v>720.0</v>
      </c>
      <c r="C1017" s="2" t="s">
        <v>155</v>
      </c>
      <c r="D1017" s="2" t="s">
        <v>5</v>
      </c>
    </row>
    <row r="1018">
      <c r="A1018" s="1">
        <v>43303.428031793985</v>
      </c>
      <c r="B1018" s="2">
        <v>721.0</v>
      </c>
      <c r="C1018" s="2" t="s">
        <v>156</v>
      </c>
      <c r="D1018" s="2" t="s">
        <v>5</v>
      </c>
    </row>
    <row r="1019">
      <c r="A1019" s="1">
        <v>43303.428060046295</v>
      </c>
      <c r="B1019" s="2">
        <v>721.0</v>
      </c>
      <c r="C1019" s="2" t="s">
        <v>156</v>
      </c>
      <c r="D1019" s="2" t="s">
        <v>5</v>
      </c>
    </row>
    <row r="1020">
      <c r="A1020" s="1">
        <v>43303.42827611111</v>
      </c>
      <c r="B1020" s="2">
        <v>165.0</v>
      </c>
      <c r="C1020" s="2" t="s">
        <v>50</v>
      </c>
    </row>
    <row r="1021">
      <c r="A1021" s="1">
        <v>43303.4292937037</v>
      </c>
      <c r="B1021" s="3" t="s">
        <v>78</v>
      </c>
      <c r="C1021" s="2" t="s">
        <v>79</v>
      </c>
    </row>
    <row r="1022">
      <c r="A1022" s="1">
        <v>43303.429424675924</v>
      </c>
      <c r="B1022" s="3" t="s">
        <v>82</v>
      </c>
      <c r="C1022" s="2" t="s">
        <v>83</v>
      </c>
    </row>
    <row r="1023">
      <c r="A1023" s="1">
        <v>43303.429745914356</v>
      </c>
      <c r="B1023" s="3" t="s">
        <v>88</v>
      </c>
      <c r="C1023" s="2" t="s">
        <v>89</v>
      </c>
    </row>
    <row r="1024">
      <c r="A1024" s="1">
        <v>43303.430000844906</v>
      </c>
      <c r="B1024" s="3" t="s">
        <v>22</v>
      </c>
      <c r="C1024" s="2" t="s">
        <v>23</v>
      </c>
    </row>
    <row r="1025">
      <c r="A1025" s="1">
        <v>43303.430077488425</v>
      </c>
      <c r="B1025" s="3" t="s">
        <v>22</v>
      </c>
      <c r="C1025" s="2" t="s">
        <v>23</v>
      </c>
    </row>
    <row r="1026">
      <c r="A1026" s="1">
        <v>43303.43016329861</v>
      </c>
    </row>
    <row r="1027">
      <c r="A1027" s="1">
        <v>43303.43018056713</v>
      </c>
      <c r="B1027" s="3" t="s">
        <v>82</v>
      </c>
      <c r="C1027" s="2" t="s">
        <v>83</v>
      </c>
    </row>
    <row r="1028">
      <c r="A1028" s="1">
        <v>43303.430726412036</v>
      </c>
      <c r="B1028" s="2">
        <v>708.0</v>
      </c>
      <c r="C1028" s="2" t="s">
        <v>4</v>
      </c>
      <c r="D1028" s="2" t="s">
        <v>5</v>
      </c>
    </row>
    <row r="1029">
      <c r="A1029" s="1">
        <v>43303.43094280093</v>
      </c>
      <c r="B1029" s="2">
        <v>262.0</v>
      </c>
      <c r="C1029" s="2" t="s">
        <v>28</v>
      </c>
    </row>
    <row r="1030">
      <c r="A1030" s="1">
        <v>43303.431089942125</v>
      </c>
      <c r="B1030" s="2">
        <v>158.0</v>
      </c>
      <c r="C1030" s="2" t="s">
        <v>62</v>
      </c>
    </row>
    <row r="1031">
      <c r="A1031" s="1">
        <v>43303.43123428241</v>
      </c>
      <c r="B1031" s="2">
        <v>654.0</v>
      </c>
      <c r="C1031" s="2" t="s">
        <v>115</v>
      </c>
    </row>
    <row r="1032">
      <c r="A1032" s="1">
        <v>43303.43132145834</v>
      </c>
      <c r="B1032" s="3" t="s">
        <v>103</v>
      </c>
      <c r="C1032" s="2" t="s">
        <v>104</v>
      </c>
    </row>
    <row r="1033">
      <c r="A1033" s="1">
        <v>43303.431333263885</v>
      </c>
      <c r="B1033" s="2">
        <v>661.0</v>
      </c>
      <c r="C1033" s="2" t="s">
        <v>153</v>
      </c>
    </row>
    <row r="1034">
      <c r="A1034" s="1">
        <v>43303.43142528935</v>
      </c>
      <c r="B1034" s="2">
        <v>717.0</v>
      </c>
      <c r="C1034" s="2" t="s">
        <v>152</v>
      </c>
      <c r="D1034" s="2" t="s">
        <v>5</v>
      </c>
    </row>
    <row r="1035">
      <c r="A1035" s="1">
        <v>43303.43157537037</v>
      </c>
      <c r="B1035" s="2">
        <v>153.0</v>
      </c>
      <c r="C1035" s="2" t="s">
        <v>148</v>
      </c>
    </row>
    <row r="1036">
      <c r="A1036" s="1">
        <v>43303.43220170139</v>
      </c>
      <c r="B1036" s="2">
        <v>643.0</v>
      </c>
      <c r="C1036" s="2" t="s">
        <v>166</v>
      </c>
    </row>
    <row r="1037">
      <c r="A1037" s="1">
        <v>43303.433568125</v>
      </c>
      <c r="B1037" s="2">
        <v>159.0</v>
      </c>
      <c r="C1037" s="2" t="s">
        <v>58</v>
      </c>
    </row>
    <row r="1038">
      <c r="A1038" s="1">
        <v>43303.434657164355</v>
      </c>
      <c r="B1038" s="3" t="s">
        <v>169</v>
      </c>
      <c r="C1038" s="2" t="s">
        <v>170</v>
      </c>
    </row>
    <row r="1039">
      <c r="A1039" s="1">
        <v>43303.43594253472</v>
      </c>
      <c r="B1039" s="3" t="s">
        <v>150</v>
      </c>
      <c r="C1039" s="2" t="s">
        <v>151</v>
      </c>
    </row>
    <row r="1040">
      <c r="A1040" s="1">
        <v>43303.436156180556</v>
      </c>
      <c r="B1040" s="2">
        <v>244.0</v>
      </c>
      <c r="C1040" s="2" t="s">
        <v>38</v>
      </c>
    </row>
    <row r="1041">
      <c r="A1041" s="1">
        <v>43303.43770206018</v>
      </c>
      <c r="B1041" s="2">
        <v>246.0</v>
      </c>
      <c r="C1041" s="2" t="s">
        <v>26</v>
      </c>
    </row>
    <row r="1042">
      <c r="A1042" s="1">
        <v>43303.437763553244</v>
      </c>
      <c r="B1042" s="2">
        <v>246.0</v>
      </c>
      <c r="C1042" s="2" t="s">
        <v>26</v>
      </c>
    </row>
    <row r="1043">
      <c r="A1043" s="1">
        <v>43303.438907881944</v>
      </c>
      <c r="B1043" s="3" t="s">
        <v>150</v>
      </c>
      <c r="C1043" s="2" t="s">
        <v>151</v>
      </c>
    </row>
    <row r="1044">
      <c r="A1044" s="1">
        <v>43303.438972187505</v>
      </c>
      <c r="B1044" s="2">
        <v>706.0</v>
      </c>
      <c r="C1044" s="2" t="s">
        <v>149</v>
      </c>
      <c r="D1044" s="2" t="s">
        <v>5</v>
      </c>
    </row>
    <row r="1045">
      <c r="A1045" s="1">
        <v>43303.43899940972</v>
      </c>
      <c r="B1045" s="2">
        <v>244.0</v>
      </c>
      <c r="C1045" s="2" t="s">
        <v>38</v>
      </c>
    </row>
    <row r="1046">
      <c r="A1046" s="1">
        <v>43303.4390112963</v>
      </c>
      <c r="B1046" s="2">
        <v>632.0</v>
      </c>
      <c r="C1046" s="2" t="s">
        <v>146</v>
      </c>
    </row>
    <row r="1047">
      <c r="A1047" s="1">
        <v>43303.43903753472</v>
      </c>
      <c r="B1047" s="2">
        <v>667.0</v>
      </c>
      <c r="C1047" s="2" t="s">
        <v>73</v>
      </c>
    </row>
    <row r="1048">
      <c r="A1048" s="1">
        <v>43303.43961105324</v>
      </c>
      <c r="B1048" s="2">
        <v>244.0</v>
      </c>
      <c r="C1048" s="2" t="s">
        <v>38</v>
      </c>
    </row>
    <row r="1049">
      <c r="A1049" s="1">
        <v>43303.43968063657</v>
      </c>
      <c r="B1049" s="2">
        <v>653.0</v>
      </c>
      <c r="C1049" s="2" t="s">
        <v>77</v>
      </c>
    </row>
    <row r="1050">
      <c r="A1050" s="1">
        <v>43303.44094369213</v>
      </c>
      <c r="B1050" s="2">
        <v>667.0</v>
      </c>
      <c r="C1050" s="2" t="s">
        <v>73</v>
      </c>
    </row>
    <row r="1051">
      <c r="A1051" s="1">
        <v>43303.44106895833</v>
      </c>
      <c r="B1051" s="2">
        <v>706.0</v>
      </c>
      <c r="C1051" s="2" t="s">
        <v>149</v>
      </c>
      <c r="D1051" s="2" t="s">
        <v>5</v>
      </c>
    </row>
    <row r="1052">
      <c r="A1052" s="1">
        <v>43303.441163298616</v>
      </c>
      <c r="B1052" s="3" t="s">
        <v>150</v>
      </c>
      <c r="C1052" s="2" t="s">
        <v>151</v>
      </c>
    </row>
    <row r="1053">
      <c r="A1053" s="1">
        <v>43303.44126453703</v>
      </c>
      <c r="B1053" s="3" t="s">
        <v>74</v>
      </c>
      <c r="C1053" s="2" t="s">
        <v>75</v>
      </c>
    </row>
    <row r="1054">
      <c r="A1054" s="1">
        <v>43303.44206828704</v>
      </c>
      <c r="B1054" s="2">
        <v>244.0</v>
      </c>
      <c r="C1054" s="2" t="s">
        <v>38</v>
      </c>
    </row>
    <row r="1055">
      <c r="A1055" s="1">
        <v>43303.442481805556</v>
      </c>
      <c r="B1055" s="3" t="s">
        <v>74</v>
      </c>
      <c r="C1055" s="2" t="s">
        <v>75</v>
      </c>
    </row>
    <row r="1056">
      <c r="A1056" s="1">
        <v>43303.44251270834</v>
      </c>
      <c r="B1056" s="2">
        <v>244.0</v>
      </c>
      <c r="C1056" s="2" t="s">
        <v>38</v>
      </c>
    </row>
    <row r="1057">
      <c r="A1057" s="1">
        <v>43303.4430300463</v>
      </c>
      <c r="B1057" s="3" t="s">
        <v>42</v>
      </c>
      <c r="C1057" s="2" t="s">
        <v>43</v>
      </c>
    </row>
    <row r="1058">
      <c r="A1058" s="1">
        <v>43303.450894594906</v>
      </c>
      <c r="B1058" s="2">
        <v>711.0</v>
      </c>
      <c r="C1058" s="2" t="s">
        <v>8</v>
      </c>
      <c r="D1058" s="2" t="s">
        <v>5</v>
      </c>
    </row>
    <row r="1059">
      <c r="A1059" s="1">
        <v>43303.45444292824</v>
      </c>
      <c r="B1059" s="2">
        <v>604.0</v>
      </c>
      <c r="C1059" s="2" t="s">
        <v>36</v>
      </c>
    </row>
    <row r="1060">
      <c r="A1060" s="1">
        <v>43303.45447540509</v>
      </c>
      <c r="B1060" s="2">
        <v>711.0</v>
      </c>
      <c r="C1060" s="2" t="s">
        <v>8</v>
      </c>
      <c r="D1060" s="2" t="s">
        <v>5</v>
      </c>
    </row>
    <row r="1061">
      <c r="A1061" s="1">
        <v>43303.463601111114</v>
      </c>
      <c r="B1061" s="2">
        <v>201.0</v>
      </c>
      <c r="C1061" s="2" t="s">
        <v>70</v>
      </c>
    </row>
    <row r="1062">
      <c r="A1062" s="1">
        <v>43303.463632430554</v>
      </c>
      <c r="B1062" s="2">
        <v>711.0</v>
      </c>
      <c r="C1062" s="2" t="s">
        <v>8</v>
      </c>
      <c r="D1062" s="2" t="s">
        <v>5</v>
      </c>
    </row>
    <row r="1063">
      <c r="A1063" s="1">
        <v>43303.55858197917</v>
      </c>
      <c r="B1063" s="3" t="s">
        <v>82</v>
      </c>
      <c r="C1063" s="2" t="s">
        <v>83</v>
      </c>
    </row>
    <row r="1064">
      <c r="A1064" s="1">
        <v>43305.02126662037</v>
      </c>
      <c r="B1064" s="3" t="s">
        <v>9</v>
      </c>
      <c r="C1064" s="2" t="s">
        <v>10</v>
      </c>
    </row>
    <row r="1065">
      <c r="A1065" s="1">
        <v>43305.02152918981</v>
      </c>
      <c r="B1065" s="2">
        <v>114.0</v>
      </c>
      <c r="C1065" s="2" t="s">
        <v>15</v>
      </c>
    </row>
    <row r="1066">
      <c r="A1066" s="1">
        <v>43305.02162591435</v>
      </c>
      <c r="B1066" s="2">
        <v>709.0</v>
      </c>
      <c r="C1066" s="2" t="s">
        <v>20</v>
      </c>
      <c r="D1066" s="2" t="s">
        <v>5</v>
      </c>
    </row>
    <row r="1067">
      <c r="A1067" s="1">
        <v>43305.02169858797</v>
      </c>
      <c r="B1067" s="2">
        <v>710.0</v>
      </c>
      <c r="C1067" s="2" t="s">
        <v>21</v>
      </c>
      <c r="D1067" s="2" t="s">
        <v>5</v>
      </c>
    </row>
    <row r="1068">
      <c r="A1068" s="1">
        <v>43305.02222924768</v>
      </c>
      <c r="B1068" s="2">
        <v>609.0</v>
      </c>
      <c r="C1068" s="2" t="s">
        <v>179</v>
      </c>
    </row>
    <row r="1069">
      <c r="A1069" s="1">
        <v>43305.02508493056</v>
      </c>
      <c r="B1069" s="3" t="s">
        <v>117</v>
      </c>
      <c r="C1069" s="2" t="s">
        <v>118</v>
      </c>
    </row>
    <row r="1070">
      <c r="A1070" s="1">
        <v>43305.02513790509</v>
      </c>
      <c r="B1070" s="3" t="s">
        <v>119</v>
      </c>
      <c r="C1070" s="2" t="s">
        <v>120</v>
      </c>
    </row>
    <row r="1071">
      <c r="A1071" s="1">
        <v>43305.025229108796</v>
      </c>
      <c r="B1071" s="2">
        <v>713.0</v>
      </c>
      <c r="C1071" s="2" t="s">
        <v>121</v>
      </c>
      <c r="D1071" s="2" t="s">
        <v>5</v>
      </c>
    </row>
    <row r="1072">
      <c r="A1072" s="1">
        <v>43305.02529885416</v>
      </c>
      <c r="B1072" s="2">
        <v>714.0</v>
      </c>
      <c r="C1072" s="2" t="s">
        <v>122</v>
      </c>
      <c r="D1072" s="2" t="s">
        <v>5</v>
      </c>
    </row>
    <row r="1073">
      <c r="A1073" s="1">
        <v>43305.02885155093</v>
      </c>
      <c r="B1073" s="2">
        <v>649.0</v>
      </c>
      <c r="C1073" s="2" t="s">
        <v>177</v>
      </c>
    </row>
    <row r="1074">
      <c r="A1074" s="1">
        <v>43305.028955057875</v>
      </c>
      <c r="B1074" s="2">
        <v>736.0</v>
      </c>
      <c r="C1074" s="2" t="s">
        <v>175</v>
      </c>
      <c r="D1074" s="2" t="s">
        <v>5</v>
      </c>
    </row>
    <row r="1075">
      <c r="A1075" s="1">
        <v>43310.39607096065</v>
      </c>
      <c r="B1075" s="2">
        <v>238.0</v>
      </c>
      <c r="C1075" s="2" t="s">
        <v>35</v>
      </c>
    </row>
    <row r="1076">
      <c r="A1076" s="1">
        <v>43310.396125011575</v>
      </c>
      <c r="B1076" s="2">
        <v>711.0</v>
      </c>
      <c r="C1076" s="2" t="s">
        <v>8</v>
      </c>
      <c r="D1076" s="2" t="s">
        <v>5</v>
      </c>
    </row>
    <row r="1077">
      <c r="A1077" s="1">
        <v>43310.39625633102</v>
      </c>
      <c r="B1077" s="3" t="s">
        <v>159</v>
      </c>
      <c r="C1077" s="2" t="s">
        <v>160</v>
      </c>
    </row>
    <row r="1078">
      <c r="A1078" s="1">
        <v>43310.396302395835</v>
      </c>
      <c r="B1078" s="2">
        <v>711.0</v>
      </c>
      <c r="C1078" s="2" t="s">
        <v>8</v>
      </c>
      <c r="D1078" s="2" t="s">
        <v>5</v>
      </c>
    </row>
    <row r="1079">
      <c r="A1079" s="1">
        <v>43310.408314988425</v>
      </c>
      <c r="B1079" s="2">
        <v>252.0</v>
      </c>
      <c r="C1079" s="2" t="s">
        <v>34</v>
      </c>
    </row>
    <row r="1080">
      <c r="A1080" s="1">
        <v>43310.411595011574</v>
      </c>
      <c r="B1080" s="3" t="s">
        <v>74</v>
      </c>
      <c r="C1080" s="2" t="s">
        <v>75</v>
      </c>
    </row>
    <row r="1081">
      <c r="A1081" s="1">
        <v>43310.4116315625</v>
      </c>
      <c r="B1081" s="2">
        <v>711.0</v>
      </c>
      <c r="C1081" s="2" t="s">
        <v>8</v>
      </c>
      <c r="D1081" s="2" t="s">
        <v>5</v>
      </c>
    </row>
    <row r="1082">
      <c r="A1082" s="1">
        <v>43310.412262847225</v>
      </c>
      <c r="B1082" s="2">
        <v>604.0</v>
      </c>
      <c r="C1082" s="2" t="s">
        <v>36</v>
      </c>
    </row>
    <row r="1083">
      <c r="A1083" s="1">
        <v>43310.412297048606</v>
      </c>
      <c r="B1083" s="2">
        <v>711.0</v>
      </c>
      <c r="C1083" s="2" t="s">
        <v>8</v>
      </c>
      <c r="D1083" s="2" t="s">
        <v>5</v>
      </c>
    </row>
    <row r="1084">
      <c r="A1084" s="1">
        <v>43310.41569013889</v>
      </c>
      <c r="B1084" s="2">
        <v>722.0</v>
      </c>
      <c r="C1084" s="2" t="s">
        <v>25</v>
      </c>
      <c r="D1084" s="2" t="s">
        <v>5</v>
      </c>
    </row>
    <row r="1085">
      <c r="A1085" s="1">
        <v>43310.416520115745</v>
      </c>
      <c r="B1085" s="2">
        <v>246.0</v>
      </c>
      <c r="C1085" s="2" t="s">
        <v>26</v>
      </c>
    </row>
    <row r="1086">
      <c r="A1086" s="1">
        <v>43310.41686592593</v>
      </c>
      <c r="B1086" s="2">
        <v>167.0</v>
      </c>
      <c r="C1086" s="2" t="s">
        <v>39</v>
      </c>
    </row>
    <row r="1087">
      <c r="A1087" s="1">
        <v>43310.419150381946</v>
      </c>
      <c r="B1087" s="3" t="s">
        <v>111</v>
      </c>
      <c r="C1087" s="2" t="s">
        <v>112</v>
      </c>
    </row>
    <row r="1088">
      <c r="A1088" s="1">
        <v>43310.41946002315</v>
      </c>
      <c r="B1088" s="2">
        <v>113.0</v>
      </c>
      <c r="C1088" s="2" t="s">
        <v>29</v>
      </c>
    </row>
    <row r="1089">
      <c r="A1089" s="1">
        <v>43310.42100913194</v>
      </c>
      <c r="B1089" s="2">
        <v>246.0</v>
      </c>
      <c r="C1089" s="2" t="s">
        <v>26</v>
      </c>
    </row>
    <row r="1090">
      <c r="A1090" s="1">
        <v>43310.42100913194</v>
      </c>
      <c r="B1090" s="2">
        <v>113.0</v>
      </c>
      <c r="C1090" s="2" t="s">
        <v>29</v>
      </c>
    </row>
    <row r="1091">
      <c r="A1091" s="1">
        <v>43310.42131773148</v>
      </c>
      <c r="B1091" s="2">
        <v>246.0</v>
      </c>
      <c r="C1091" s="2" t="s">
        <v>26</v>
      </c>
    </row>
    <row r="1092">
      <c r="A1092" s="1">
        <v>43310.421401342595</v>
      </c>
      <c r="B1092" s="2">
        <v>173.0</v>
      </c>
      <c r="C1092" s="2" t="s">
        <v>24</v>
      </c>
    </row>
    <row r="1093">
      <c r="A1093" s="1">
        <v>43310.421618368055</v>
      </c>
      <c r="B1093" s="2">
        <v>214.0</v>
      </c>
      <c r="C1093" s="2" t="s">
        <v>47</v>
      </c>
    </row>
    <row r="1094">
      <c r="A1094" s="1">
        <v>43310.421773842594</v>
      </c>
      <c r="B1094" s="2">
        <v>193.0</v>
      </c>
      <c r="C1094" s="2" t="s">
        <v>30</v>
      </c>
    </row>
    <row r="1095">
      <c r="A1095" s="1">
        <v>43310.42198491898</v>
      </c>
      <c r="B1095" s="3" t="s">
        <v>32</v>
      </c>
      <c r="C1095" s="2" t="s">
        <v>33</v>
      </c>
    </row>
    <row r="1096">
      <c r="A1096" s="1">
        <v>43310.42230171296</v>
      </c>
      <c r="B1096" s="2">
        <v>229.0</v>
      </c>
      <c r="C1096" s="2" t="s">
        <v>86</v>
      </c>
    </row>
    <row r="1097">
      <c r="A1097" s="1">
        <v>43310.42282431713</v>
      </c>
      <c r="B1097" s="3" t="s">
        <v>88</v>
      </c>
      <c r="C1097" s="2" t="s">
        <v>89</v>
      </c>
    </row>
    <row r="1098">
      <c r="A1098" s="1">
        <v>43310.42312021991</v>
      </c>
      <c r="B1098" s="2">
        <v>219.0</v>
      </c>
      <c r="C1098" s="2" t="s">
        <v>31</v>
      </c>
    </row>
    <row r="1099">
      <c r="A1099" s="1">
        <v>43310.42348803241</v>
      </c>
      <c r="B1099" s="2">
        <v>124.0</v>
      </c>
      <c r="C1099" s="2" t="s">
        <v>107</v>
      </c>
    </row>
    <row r="1100">
      <c r="A1100" s="1">
        <v>43310.42368335648</v>
      </c>
      <c r="B1100" s="2">
        <v>207.0</v>
      </c>
      <c r="C1100" s="2" t="s">
        <v>85</v>
      </c>
    </row>
    <row r="1101">
      <c r="A1101" s="1">
        <v>43310.42426487269</v>
      </c>
      <c r="B1101" s="2">
        <v>246.0</v>
      </c>
      <c r="C1101" s="2" t="s">
        <v>26</v>
      </c>
    </row>
    <row r="1102">
      <c r="A1102" s="1">
        <v>43310.42451989584</v>
      </c>
      <c r="B1102" s="2">
        <v>671.0</v>
      </c>
      <c r="C1102" s="2" t="s">
        <v>129</v>
      </c>
    </row>
    <row r="1103">
      <c r="A1103" s="1">
        <v>43310.42460626157</v>
      </c>
      <c r="B1103" s="2">
        <v>671.0</v>
      </c>
      <c r="C1103" s="2" t="s">
        <v>129</v>
      </c>
    </row>
    <row r="1104">
      <c r="A1104" s="1">
        <v>43310.425110613425</v>
      </c>
      <c r="B1104" s="2">
        <v>708.0</v>
      </c>
      <c r="C1104" s="2" t="s">
        <v>4</v>
      </c>
      <c r="D1104" s="2" t="s">
        <v>5</v>
      </c>
    </row>
    <row r="1105">
      <c r="A1105" s="1">
        <v>43310.425940092595</v>
      </c>
      <c r="B1105" s="2">
        <v>731.0</v>
      </c>
      <c r="C1105" s="2" t="s">
        <v>164</v>
      </c>
      <c r="D1105" s="2" t="s">
        <v>5</v>
      </c>
    </row>
    <row r="1106">
      <c r="A1106" s="1">
        <v>43310.426654421295</v>
      </c>
      <c r="B1106" s="2">
        <v>717.0</v>
      </c>
      <c r="C1106" s="2" t="s">
        <v>152</v>
      </c>
      <c r="D1106" s="2" t="s">
        <v>5</v>
      </c>
    </row>
    <row r="1107">
      <c r="A1107" s="1">
        <v>43310.42704671297</v>
      </c>
      <c r="B1107" s="2">
        <v>661.0</v>
      </c>
      <c r="C1107" s="2" t="s">
        <v>153</v>
      </c>
    </row>
    <row r="1108">
      <c r="A1108" s="1">
        <v>43310.42753756944</v>
      </c>
      <c r="B1108" s="3" t="s">
        <v>48</v>
      </c>
      <c r="C1108" s="2" t="s">
        <v>49</v>
      </c>
    </row>
    <row r="1109">
      <c r="A1109" s="1">
        <v>43310.42776152778</v>
      </c>
      <c r="B1109" s="2">
        <v>158.0</v>
      </c>
      <c r="C1109" s="2" t="s">
        <v>62</v>
      </c>
    </row>
    <row r="1110">
      <c r="A1110" s="1">
        <v>43310.429962187496</v>
      </c>
      <c r="B1110" s="2">
        <v>708.0</v>
      </c>
      <c r="C1110" s="2" t="s">
        <v>4</v>
      </c>
      <c r="D1110" s="2" t="s">
        <v>5</v>
      </c>
    </row>
    <row r="1111">
      <c r="A1111" s="1">
        <v>43310.429962187496</v>
      </c>
      <c r="B1111" s="2">
        <v>158.0</v>
      </c>
      <c r="C1111" s="2" t="s">
        <v>62</v>
      </c>
    </row>
    <row r="1112">
      <c r="A1112" s="1">
        <v>43310.43031549768</v>
      </c>
      <c r="B1112" s="2">
        <v>708.0</v>
      </c>
      <c r="C1112" s="2" t="s">
        <v>4</v>
      </c>
      <c r="D1112" s="2" t="s">
        <v>5</v>
      </c>
    </row>
    <row r="1113">
      <c r="A1113" s="1">
        <v>43310.43061743055</v>
      </c>
      <c r="B1113" s="2">
        <v>262.0</v>
      </c>
      <c r="C1113" s="2" t="s">
        <v>28</v>
      </c>
    </row>
    <row r="1114">
      <c r="A1114" s="1">
        <v>43310.43075131944</v>
      </c>
      <c r="B1114" s="2">
        <v>172.0</v>
      </c>
      <c r="C1114" s="2" t="s">
        <v>65</v>
      </c>
    </row>
    <row r="1115">
      <c r="A1115" s="1">
        <v>43310.431226493056</v>
      </c>
      <c r="B1115" s="2">
        <v>607.0</v>
      </c>
      <c r="C1115" s="2" t="s">
        <v>68</v>
      </c>
    </row>
    <row r="1116">
      <c r="A1116" s="1">
        <v>43310.43160815972</v>
      </c>
      <c r="B1116" s="2">
        <v>165.0</v>
      </c>
      <c r="C1116" s="2" t="s">
        <v>50</v>
      </c>
    </row>
    <row r="1117">
      <c r="A1117" s="1">
        <v>43310.43178106481</v>
      </c>
      <c r="B1117" s="2">
        <v>618.0</v>
      </c>
      <c r="C1117" s="2" t="s">
        <v>147</v>
      </c>
    </row>
    <row r="1118">
      <c r="A1118" s="1">
        <v>43310.43194388889</v>
      </c>
      <c r="B1118" s="2">
        <v>159.0</v>
      </c>
      <c r="C1118" s="2" t="s">
        <v>58</v>
      </c>
    </row>
    <row r="1119">
      <c r="A1119" s="1">
        <v>43310.433174363425</v>
      </c>
      <c r="B1119" s="2">
        <v>723.0</v>
      </c>
      <c r="C1119" s="2" t="s">
        <v>84</v>
      </c>
      <c r="D1119" s="2" t="s">
        <v>5</v>
      </c>
    </row>
    <row r="1120">
      <c r="A1120" s="1">
        <v>43310.43348369213</v>
      </c>
      <c r="B1120" s="3" t="s">
        <v>78</v>
      </c>
      <c r="C1120" s="2" t="s">
        <v>79</v>
      </c>
    </row>
    <row r="1121">
      <c r="A1121" s="1">
        <v>43310.43353650463</v>
      </c>
      <c r="B1121" s="2">
        <v>723.0</v>
      </c>
      <c r="C1121" s="2" t="s">
        <v>84</v>
      </c>
      <c r="D1121" s="2" t="s">
        <v>5</v>
      </c>
    </row>
    <row r="1122">
      <c r="A1122" s="1">
        <v>43310.43357700232</v>
      </c>
      <c r="B1122" s="3" t="s">
        <v>82</v>
      </c>
      <c r="C1122" s="2" t="s">
        <v>83</v>
      </c>
    </row>
    <row r="1123">
      <c r="A1123" s="1">
        <v>43310.433995046296</v>
      </c>
      <c r="B1123" s="2">
        <v>627.0</v>
      </c>
      <c r="C1123" s="2" t="s">
        <v>134</v>
      </c>
    </row>
    <row r="1124">
      <c r="A1124" s="1">
        <v>43310.43414157408</v>
      </c>
      <c r="B1124" s="2">
        <v>716.0</v>
      </c>
      <c r="C1124" s="2" t="s">
        <v>123</v>
      </c>
      <c r="D1124" s="2" t="s">
        <v>5</v>
      </c>
    </row>
    <row r="1125">
      <c r="A1125" s="1">
        <v>43310.43433960648</v>
      </c>
      <c r="B1125" s="3" t="s">
        <v>98</v>
      </c>
      <c r="C1125" s="2" t="s">
        <v>99</v>
      </c>
    </row>
    <row r="1126">
      <c r="A1126" s="1">
        <v>43310.43447494213</v>
      </c>
      <c r="B1126" s="2">
        <v>147.0</v>
      </c>
      <c r="C1126" s="2" t="s">
        <v>100</v>
      </c>
    </row>
    <row r="1127">
      <c r="A1127" s="1">
        <v>43310.4346628125</v>
      </c>
      <c r="B1127" s="2">
        <v>726.0</v>
      </c>
      <c r="C1127" s="2" t="s">
        <v>101</v>
      </c>
      <c r="D1127" s="2" t="s">
        <v>5</v>
      </c>
    </row>
    <row r="1128">
      <c r="A1128" s="1">
        <v>43310.4346628125</v>
      </c>
      <c r="B1128" s="3" t="s">
        <v>162</v>
      </c>
      <c r="C1128" s="2" t="s">
        <v>163</v>
      </c>
    </row>
    <row r="1129">
      <c r="A1129" s="1">
        <v>43310.43469137732</v>
      </c>
      <c r="B1129" s="3" t="s">
        <v>162</v>
      </c>
      <c r="C1129" s="2" t="s">
        <v>163</v>
      </c>
    </row>
    <row r="1130">
      <c r="A1130" s="1">
        <v>43310.43478405093</v>
      </c>
      <c r="B1130" s="2">
        <v>160.0</v>
      </c>
      <c r="C1130" s="2" t="s">
        <v>154</v>
      </c>
    </row>
    <row r="1131">
      <c r="A1131" s="1">
        <v>43310.43480739583</v>
      </c>
      <c r="B1131" s="2">
        <v>160.0</v>
      </c>
      <c r="C1131" s="2" t="s">
        <v>154</v>
      </c>
    </row>
    <row r="1132">
      <c r="A1132" s="1">
        <v>43310.4348837963</v>
      </c>
      <c r="B1132" s="2">
        <v>720.0</v>
      </c>
      <c r="C1132" s="2" t="s">
        <v>155</v>
      </c>
      <c r="D1132" s="2" t="s">
        <v>5</v>
      </c>
    </row>
    <row r="1133">
      <c r="A1133" s="1">
        <v>43310.434956701385</v>
      </c>
      <c r="B1133" s="2">
        <v>720.0</v>
      </c>
      <c r="C1133" s="2" t="s">
        <v>155</v>
      </c>
      <c r="D1133" s="2" t="s">
        <v>5</v>
      </c>
    </row>
    <row r="1134">
      <c r="A1134" s="1">
        <v>43310.43503424768</v>
      </c>
      <c r="B1134" s="2">
        <v>257.0</v>
      </c>
      <c r="C1134" s="2" t="s">
        <v>27</v>
      </c>
    </row>
    <row r="1135">
      <c r="A1135" s="1">
        <v>43310.435039918986</v>
      </c>
      <c r="B1135" s="2">
        <v>721.0</v>
      </c>
      <c r="C1135" s="2" t="s">
        <v>156</v>
      </c>
      <c r="D1135" s="2" t="s">
        <v>5</v>
      </c>
    </row>
    <row r="1136">
      <c r="A1136" s="1">
        <v>43310.43506310185</v>
      </c>
      <c r="B1136" s="2">
        <v>721.0</v>
      </c>
      <c r="C1136" s="2" t="s">
        <v>156</v>
      </c>
      <c r="D1136" s="2" t="s">
        <v>5</v>
      </c>
    </row>
    <row r="1137">
      <c r="A1137" s="1">
        <v>43310.43600590278</v>
      </c>
      <c r="B1137" s="2">
        <v>735.0</v>
      </c>
      <c r="C1137" s="2" t="s">
        <v>37</v>
      </c>
      <c r="D1137" s="2" t="s">
        <v>5</v>
      </c>
    </row>
    <row r="1138">
      <c r="A1138" s="1">
        <v>43310.43614719907</v>
      </c>
      <c r="B1138" s="2">
        <v>735.0</v>
      </c>
      <c r="C1138" s="2" t="s">
        <v>37</v>
      </c>
      <c r="D1138" s="2" t="s">
        <v>5</v>
      </c>
    </row>
    <row r="1139">
      <c r="A1139" s="1">
        <v>43310.43627821759</v>
      </c>
      <c r="B1139" s="2">
        <v>708.0</v>
      </c>
      <c r="C1139" s="2" t="s">
        <v>4</v>
      </c>
      <c r="D1139" s="2" t="s">
        <v>5</v>
      </c>
    </row>
    <row r="1140">
      <c r="A1140" s="1">
        <v>43310.43651890046</v>
      </c>
      <c r="B1140" s="2">
        <v>643.0</v>
      </c>
      <c r="C1140" s="2" t="s">
        <v>166</v>
      </c>
    </row>
    <row r="1141">
      <c r="A1141" s="1">
        <v>43310.43686596065</v>
      </c>
      <c r="B1141" s="2">
        <v>653.0</v>
      </c>
      <c r="C1141" s="2" t="s">
        <v>77</v>
      </c>
    </row>
    <row r="1142">
      <c r="A1142" s="1">
        <v>43310.43708894676</v>
      </c>
      <c r="B1142" s="2">
        <v>602.0</v>
      </c>
      <c r="C1142" s="2" t="s">
        <v>131</v>
      </c>
    </row>
    <row r="1143">
      <c r="A1143" s="1">
        <v>43310.437436990745</v>
      </c>
      <c r="B1143" s="2">
        <v>667.0</v>
      </c>
      <c r="C1143" s="2" t="s">
        <v>73</v>
      </c>
    </row>
    <row r="1144">
      <c r="A1144" s="1">
        <v>43310.43758810185</v>
      </c>
      <c r="B1144" s="3" t="s">
        <v>150</v>
      </c>
      <c r="C1144" s="2" t="s">
        <v>151</v>
      </c>
    </row>
    <row r="1145">
      <c r="A1145" s="1">
        <v>43310.437698622685</v>
      </c>
      <c r="B1145" s="2">
        <v>706.0</v>
      </c>
      <c r="C1145" s="2" t="s">
        <v>149</v>
      </c>
      <c r="D1145" s="2" t="s">
        <v>5</v>
      </c>
    </row>
    <row r="1146">
      <c r="A1146" s="1">
        <v>43310.437810347226</v>
      </c>
      <c r="B1146" s="2">
        <v>667.0</v>
      </c>
      <c r="C1146" s="2" t="s">
        <v>73</v>
      </c>
    </row>
    <row r="1147">
      <c r="A1147" s="1">
        <v>43310.438558368056</v>
      </c>
      <c r="B1147" s="3" t="s">
        <v>11</v>
      </c>
      <c r="C1147" s="2" t="s">
        <v>12</v>
      </c>
    </row>
    <row r="1148">
      <c r="A1148" s="1">
        <v>43310.43876255787</v>
      </c>
      <c r="B1148" s="2">
        <v>175.0</v>
      </c>
      <c r="C1148" s="2" t="s">
        <v>69</v>
      </c>
    </row>
    <row r="1149">
      <c r="A1149" s="1">
        <v>43310.439111238426</v>
      </c>
      <c r="B1149" s="2">
        <v>175.0</v>
      </c>
      <c r="C1149" s="2" t="s">
        <v>69</v>
      </c>
    </row>
    <row r="1150">
      <c r="A1150" s="1">
        <v>43310.43951939815</v>
      </c>
      <c r="B1150" s="2">
        <v>708.0</v>
      </c>
      <c r="C1150" s="2" t="s">
        <v>4</v>
      </c>
      <c r="D1150" s="2" t="s">
        <v>5</v>
      </c>
    </row>
    <row r="1151">
      <c r="A1151" s="1">
        <v>43310.43959822917</v>
      </c>
      <c r="B1151" s="2">
        <v>254.0</v>
      </c>
      <c r="C1151" s="2" t="s">
        <v>132</v>
      </c>
    </row>
    <row r="1152">
      <c r="A1152" s="1">
        <v>43310.43969254629</v>
      </c>
      <c r="B1152" s="3" t="s">
        <v>126</v>
      </c>
      <c r="C1152" s="2" t="s">
        <v>127</v>
      </c>
    </row>
    <row r="1153">
      <c r="A1153" s="1">
        <v>43310.43971885416</v>
      </c>
      <c r="B1153" s="3" t="s">
        <v>126</v>
      </c>
      <c r="C1153" s="2" t="s">
        <v>127</v>
      </c>
    </row>
    <row r="1154">
      <c r="A1154" s="1">
        <v>43310.440318900466</v>
      </c>
      <c r="B1154" s="2">
        <v>708.0</v>
      </c>
      <c r="C1154" s="2" t="s">
        <v>4</v>
      </c>
      <c r="D1154" s="2" t="s">
        <v>5</v>
      </c>
    </row>
    <row r="1155">
      <c r="A1155" s="1">
        <v>43310.44233734954</v>
      </c>
      <c r="B1155" s="3" t="s">
        <v>13</v>
      </c>
      <c r="C1155" s="2" t="s">
        <v>14</v>
      </c>
    </row>
    <row r="1156">
      <c r="A1156" s="1">
        <v>43310.44450671296</v>
      </c>
      <c r="B1156" s="2">
        <v>663.0</v>
      </c>
      <c r="C1156" s="2" t="s">
        <v>109</v>
      </c>
    </row>
    <row r="1157">
      <c r="A1157" s="1">
        <v>43310.444609004626</v>
      </c>
      <c r="B1157" s="2">
        <v>663.0</v>
      </c>
      <c r="C1157" s="2" t="s">
        <v>109</v>
      </c>
    </row>
    <row r="1158">
      <c r="A1158" s="1">
        <v>43310.4448253125</v>
      </c>
      <c r="B1158" s="2">
        <v>708.0</v>
      </c>
      <c r="C1158" s="2" t="s">
        <v>4</v>
      </c>
      <c r="D1158" s="2" t="s">
        <v>5</v>
      </c>
    </row>
    <row r="1159">
      <c r="A1159" s="1">
        <v>43310.44488607639</v>
      </c>
      <c r="B1159" s="2">
        <v>733.0</v>
      </c>
      <c r="C1159" s="2" t="s">
        <v>110</v>
      </c>
      <c r="D1159" s="2" t="s">
        <v>5</v>
      </c>
    </row>
    <row r="1160">
      <c r="A1160" s="1">
        <v>43310.44623371528</v>
      </c>
      <c r="B1160" s="2">
        <v>733.0</v>
      </c>
      <c r="C1160" s="2" t="s">
        <v>110</v>
      </c>
      <c r="D1160" s="2" t="s">
        <v>5</v>
      </c>
    </row>
    <row r="1161">
      <c r="A1161" s="1">
        <v>43310.44994763889</v>
      </c>
      <c r="B1161" s="2">
        <v>603.0</v>
      </c>
      <c r="C1161" s="2" t="s">
        <v>40</v>
      </c>
    </row>
    <row r="1162">
      <c r="A1162" s="1">
        <v>43310.449973263894</v>
      </c>
      <c r="B1162" s="2">
        <v>711.0</v>
      </c>
      <c r="C1162" s="2" t="s">
        <v>8</v>
      </c>
      <c r="D1162" s="2" t="s">
        <v>5</v>
      </c>
    </row>
    <row r="1163">
      <c r="A1163" s="1">
        <v>43310.465111875004</v>
      </c>
      <c r="B1163" s="3" t="s">
        <v>22</v>
      </c>
      <c r="C1163" s="2" t="s">
        <v>23</v>
      </c>
    </row>
    <row r="1164">
      <c r="A1164" s="1">
        <v>43310.465180046296</v>
      </c>
      <c r="B1164" s="3" t="s">
        <v>22</v>
      </c>
      <c r="C1164" s="2" t="s">
        <v>23</v>
      </c>
    </row>
    <row r="1165">
      <c r="A1165" s="1">
        <v>43310.46525298611</v>
      </c>
    </row>
    <row r="1166">
      <c r="A1166" s="1">
        <v>43310.5800181713</v>
      </c>
      <c r="B1166" s="2">
        <v>667.0</v>
      </c>
      <c r="C1166" s="2" t="s">
        <v>73</v>
      </c>
    </row>
    <row r="1167">
      <c r="A1167" s="1">
        <v>43310.580109560186</v>
      </c>
      <c r="B1167" s="2">
        <v>706.0</v>
      </c>
      <c r="C1167" s="2" t="s">
        <v>149</v>
      </c>
      <c r="D1167" s="2" t="s">
        <v>5</v>
      </c>
    </row>
    <row r="1168">
      <c r="A1168" s="1">
        <v>43310.580195347226</v>
      </c>
      <c r="B1168" s="3" t="s">
        <v>74</v>
      </c>
      <c r="C1168" s="2" t="s">
        <v>75</v>
      </c>
    </row>
    <row r="1169">
      <c r="A1169" s="1">
        <v>43310.58027740741</v>
      </c>
      <c r="B1169" s="3" t="s">
        <v>150</v>
      </c>
      <c r="C1169" s="2" t="s">
        <v>151</v>
      </c>
    </row>
    <row r="1170">
      <c r="A1170" s="1">
        <v>43313.86536401621</v>
      </c>
      <c r="B1170" s="2">
        <v>733.0</v>
      </c>
      <c r="C1170" s="2" t="s">
        <v>110</v>
      </c>
      <c r="D1170" s="2" t="s">
        <v>5</v>
      </c>
    </row>
    <row r="1171">
      <c r="A1171" s="1">
        <v>43313.97994118056</v>
      </c>
      <c r="B1171" s="2">
        <v>732.0</v>
      </c>
      <c r="C1171" s="2" t="s">
        <v>102</v>
      </c>
      <c r="D1171" s="2" t="s">
        <v>5</v>
      </c>
    </row>
    <row r="1172">
      <c r="A1172" s="1">
        <v>43313.98857876158</v>
      </c>
      <c r="B1172" s="2">
        <v>670.0</v>
      </c>
      <c r="C1172" s="2" t="s">
        <v>139</v>
      </c>
    </row>
    <row r="1173">
      <c r="A1173" s="1">
        <v>43313.991196539355</v>
      </c>
      <c r="B1173" s="3" t="s">
        <v>180</v>
      </c>
      <c r="C1173" s="2" t="s">
        <v>181</v>
      </c>
    </row>
    <row r="1174">
      <c r="A1174" s="1">
        <v>43313.996777673616</v>
      </c>
      <c r="B1174" s="2">
        <v>611.0</v>
      </c>
      <c r="C1174" s="2" t="s">
        <v>143</v>
      </c>
    </row>
    <row r="1175">
      <c r="A1175" s="1">
        <v>43313.99746721065</v>
      </c>
      <c r="B1175" s="2">
        <v>237.0</v>
      </c>
      <c r="C1175" s="2" t="s">
        <v>140</v>
      </c>
    </row>
    <row r="1176">
      <c r="A1176" s="1">
        <v>43313.997677314816</v>
      </c>
      <c r="B1176" s="2">
        <v>157.0</v>
      </c>
      <c r="C1176" s="2" t="s">
        <v>141</v>
      </c>
    </row>
    <row r="1177">
      <c r="A1177" s="1">
        <v>43313.999629363425</v>
      </c>
      <c r="B1177" s="3" t="s">
        <v>117</v>
      </c>
      <c r="C1177" s="2" t="s">
        <v>118</v>
      </c>
    </row>
    <row r="1178">
      <c r="A1178" s="1">
        <v>43313.9996947801</v>
      </c>
      <c r="B1178" s="3" t="s">
        <v>119</v>
      </c>
      <c r="C1178" s="2" t="s">
        <v>120</v>
      </c>
    </row>
    <row r="1179">
      <c r="A1179" s="1">
        <v>43313.99983734953</v>
      </c>
      <c r="B1179" s="2">
        <v>713.0</v>
      </c>
      <c r="C1179" s="2" t="s">
        <v>121</v>
      </c>
      <c r="D1179" s="2" t="s">
        <v>5</v>
      </c>
    </row>
    <row r="1180">
      <c r="A1180" s="1">
        <v>43313.99990943287</v>
      </c>
      <c r="B1180" s="2">
        <v>714.0</v>
      </c>
      <c r="C1180" s="2" t="s">
        <v>122</v>
      </c>
      <c r="D1180" s="2" t="s">
        <v>5</v>
      </c>
    </row>
    <row r="1181">
      <c r="A1181" s="1">
        <v>43317.427400659726</v>
      </c>
      <c r="B1181" s="2">
        <v>165.0</v>
      </c>
      <c r="C1181" s="2" t="s">
        <v>50</v>
      </c>
    </row>
    <row r="1182">
      <c r="A1182" s="1">
        <v>43317.42818831019</v>
      </c>
      <c r="B1182" s="2">
        <v>257.0</v>
      </c>
      <c r="C1182" s="2" t="s">
        <v>27</v>
      </c>
    </row>
    <row r="1183">
      <c r="A1183" s="1">
        <v>43317.42841958333</v>
      </c>
      <c r="B1183" s="2">
        <v>201.0</v>
      </c>
      <c r="C1183" s="2" t="s">
        <v>70</v>
      </c>
    </row>
    <row r="1184">
      <c r="A1184" s="1">
        <v>43317.42870542824</v>
      </c>
      <c r="B1184" s="2">
        <v>173.0</v>
      </c>
      <c r="C1184" s="2" t="s">
        <v>24</v>
      </c>
    </row>
    <row r="1185">
      <c r="A1185" s="1">
        <v>43317.42999834491</v>
      </c>
      <c r="B1185" s="2">
        <v>721.0</v>
      </c>
      <c r="C1185" s="2" t="s">
        <v>156</v>
      </c>
      <c r="D1185" s="2" t="s">
        <v>5</v>
      </c>
    </row>
    <row r="1186">
      <c r="A1186" s="1">
        <v>43317.430021203705</v>
      </c>
      <c r="B1186" s="2">
        <v>721.0</v>
      </c>
      <c r="C1186" s="2" t="s">
        <v>156</v>
      </c>
      <c r="D1186" s="2" t="s">
        <v>5</v>
      </c>
    </row>
    <row r="1187">
      <c r="A1187" s="1">
        <v>43317.43014326389</v>
      </c>
      <c r="B1187" s="2">
        <v>720.0</v>
      </c>
      <c r="C1187" s="2" t="s">
        <v>155</v>
      </c>
      <c r="D1187" s="2" t="s">
        <v>5</v>
      </c>
    </row>
    <row r="1188">
      <c r="A1188" s="1">
        <v>43317.43016788195</v>
      </c>
      <c r="B1188" s="2">
        <v>720.0</v>
      </c>
      <c r="C1188" s="2" t="s">
        <v>155</v>
      </c>
      <c r="D1188" s="2" t="s">
        <v>5</v>
      </c>
    </row>
    <row r="1189">
      <c r="A1189" s="1">
        <v>43317.43024462963</v>
      </c>
      <c r="B1189" s="3" t="s">
        <v>162</v>
      </c>
      <c r="C1189" s="2" t="s">
        <v>163</v>
      </c>
    </row>
    <row r="1190">
      <c r="A1190" s="1">
        <v>43317.430287407406</v>
      </c>
      <c r="B1190" s="3" t="s">
        <v>162</v>
      </c>
      <c r="C1190" s="2" t="s">
        <v>163</v>
      </c>
    </row>
    <row r="1191">
      <c r="A1191" s="1">
        <v>43317.43035545139</v>
      </c>
      <c r="B1191" s="2">
        <v>160.0</v>
      </c>
      <c r="C1191" s="2" t="s">
        <v>154</v>
      </c>
    </row>
    <row r="1192">
      <c r="A1192" s="1">
        <v>43317.43036917824</v>
      </c>
      <c r="B1192" s="2">
        <v>160.0</v>
      </c>
      <c r="C1192" s="2" t="s">
        <v>154</v>
      </c>
    </row>
    <row r="1193">
      <c r="A1193" s="1">
        <v>43317.43240672453</v>
      </c>
      <c r="B1193" s="2">
        <v>246.0</v>
      </c>
      <c r="C1193" s="2" t="s">
        <v>26</v>
      </c>
    </row>
    <row r="1194">
      <c r="A1194" s="1">
        <v>43317.43334034723</v>
      </c>
      <c r="B1194" s="2">
        <v>717.0</v>
      </c>
      <c r="C1194" s="2" t="s">
        <v>152</v>
      </c>
      <c r="D1194" s="2" t="s">
        <v>5</v>
      </c>
    </row>
    <row r="1195">
      <c r="A1195" s="1">
        <v>43317.43350983797</v>
      </c>
      <c r="B1195" s="2">
        <v>262.0</v>
      </c>
      <c r="C1195" s="2" t="s">
        <v>28</v>
      </c>
    </row>
    <row r="1196">
      <c r="A1196" s="1">
        <v>43317.433581296296</v>
      </c>
      <c r="B1196" s="2">
        <v>661.0</v>
      </c>
      <c r="C1196" s="2" t="s">
        <v>153</v>
      </c>
    </row>
    <row r="1197">
      <c r="A1197" s="1">
        <v>43317.433619664356</v>
      </c>
      <c r="B1197" s="2">
        <v>711.0</v>
      </c>
      <c r="C1197" s="2" t="s">
        <v>8</v>
      </c>
      <c r="D1197" s="2" t="s">
        <v>5</v>
      </c>
    </row>
    <row r="1198">
      <c r="A1198" s="1">
        <v>43317.43393944444</v>
      </c>
      <c r="B1198" s="3" t="s">
        <v>48</v>
      </c>
      <c r="C1198" s="2" t="s">
        <v>49</v>
      </c>
    </row>
    <row r="1199">
      <c r="A1199" s="1">
        <v>43317.43396751158</v>
      </c>
      <c r="B1199" s="2">
        <v>711.0</v>
      </c>
      <c r="C1199" s="2" t="s">
        <v>8</v>
      </c>
      <c r="D1199" s="2" t="s">
        <v>5</v>
      </c>
    </row>
    <row r="1200">
      <c r="A1200" s="1">
        <v>43317.434047939816</v>
      </c>
      <c r="B1200" s="2">
        <v>159.0</v>
      </c>
      <c r="C1200" s="2" t="s">
        <v>58</v>
      </c>
    </row>
    <row r="1201">
      <c r="A1201" s="1">
        <v>43317.43407498843</v>
      </c>
      <c r="B1201" s="2">
        <v>711.0</v>
      </c>
      <c r="C1201" s="2" t="s">
        <v>8</v>
      </c>
      <c r="D1201" s="2" t="s">
        <v>5</v>
      </c>
    </row>
    <row r="1202">
      <c r="A1202" s="1">
        <v>43317.43420445602</v>
      </c>
      <c r="B1202" s="2">
        <v>215.0</v>
      </c>
      <c r="C1202" s="2" t="s">
        <v>137</v>
      </c>
    </row>
    <row r="1203">
      <c r="A1203" s="1">
        <v>43317.434232893516</v>
      </c>
      <c r="B1203" s="2">
        <v>711.0</v>
      </c>
      <c r="C1203" s="2" t="s">
        <v>8</v>
      </c>
      <c r="D1203" s="2" t="s">
        <v>5</v>
      </c>
    </row>
    <row r="1204">
      <c r="A1204" s="1">
        <v>43317.43508429398</v>
      </c>
      <c r="B1204" s="2">
        <v>607.0</v>
      </c>
      <c r="C1204" s="2" t="s">
        <v>68</v>
      </c>
    </row>
    <row r="1205">
      <c r="A1205" s="1">
        <v>43317.43516907407</v>
      </c>
      <c r="B1205" s="2">
        <v>711.0</v>
      </c>
      <c r="C1205" s="2" t="s">
        <v>8</v>
      </c>
      <c r="D1205" s="2" t="s">
        <v>5</v>
      </c>
    </row>
    <row r="1206">
      <c r="A1206" s="1">
        <v>43317.43540836805</v>
      </c>
      <c r="B1206" s="2">
        <v>627.0</v>
      </c>
      <c r="C1206" s="2" t="s">
        <v>134</v>
      </c>
    </row>
    <row r="1207">
      <c r="A1207" s="1">
        <v>43317.43545160879</v>
      </c>
      <c r="B1207" s="2">
        <v>711.0</v>
      </c>
      <c r="C1207" s="2" t="s">
        <v>8</v>
      </c>
      <c r="D1207" s="2" t="s">
        <v>5</v>
      </c>
    </row>
    <row r="1208">
      <c r="A1208" s="1">
        <v>43317.43595943287</v>
      </c>
      <c r="B1208" s="2">
        <v>193.0</v>
      </c>
      <c r="C1208" s="2" t="s">
        <v>30</v>
      </c>
    </row>
    <row r="1209">
      <c r="A1209" s="1">
        <v>43317.4359927662</v>
      </c>
      <c r="B1209" s="2">
        <v>711.0</v>
      </c>
      <c r="C1209" s="2" t="s">
        <v>8</v>
      </c>
      <c r="D1209" s="2" t="s">
        <v>5</v>
      </c>
    </row>
    <row r="1210">
      <c r="A1210" s="1">
        <v>43317.436321180554</v>
      </c>
      <c r="B1210" s="3" t="s">
        <v>159</v>
      </c>
      <c r="C1210" s="2" t="s">
        <v>160</v>
      </c>
    </row>
    <row r="1211">
      <c r="A1211" s="1">
        <v>43317.43634612269</v>
      </c>
      <c r="B1211" s="2">
        <v>711.0</v>
      </c>
      <c r="C1211" s="2" t="s">
        <v>8</v>
      </c>
      <c r="D1211" s="2" t="s">
        <v>5</v>
      </c>
    </row>
    <row r="1212">
      <c r="A1212" s="1">
        <v>43317.437091493055</v>
      </c>
      <c r="B1212" s="3" t="s">
        <v>32</v>
      </c>
      <c r="C1212" s="2" t="s">
        <v>33</v>
      </c>
    </row>
    <row r="1213">
      <c r="A1213" s="1">
        <v>43317.437165868054</v>
      </c>
      <c r="B1213" s="2">
        <v>711.0</v>
      </c>
      <c r="C1213" s="2" t="s">
        <v>8</v>
      </c>
      <c r="D1213" s="2" t="s">
        <v>5</v>
      </c>
    </row>
    <row r="1214">
      <c r="A1214" s="1">
        <v>43317.438069606476</v>
      </c>
      <c r="B1214" s="2">
        <v>613.0</v>
      </c>
      <c r="C1214" s="2" t="s">
        <v>124</v>
      </c>
    </row>
    <row r="1215">
      <c r="A1215" s="1">
        <v>43317.43812237268</v>
      </c>
      <c r="B1215" s="2">
        <v>711.0</v>
      </c>
      <c r="C1215" s="2" t="s">
        <v>8</v>
      </c>
      <c r="D1215" s="2" t="s">
        <v>5</v>
      </c>
    </row>
    <row r="1216">
      <c r="A1216" s="1">
        <v>43317.43822324074</v>
      </c>
      <c r="B1216" s="2">
        <v>175.0</v>
      </c>
      <c r="C1216" s="2" t="s">
        <v>69</v>
      </c>
    </row>
    <row r="1217">
      <c r="A1217" s="1">
        <v>43317.43825493056</v>
      </c>
      <c r="B1217" s="2">
        <v>711.0</v>
      </c>
      <c r="C1217" s="2" t="s">
        <v>8</v>
      </c>
      <c r="D1217" s="2" t="s">
        <v>5</v>
      </c>
    </row>
    <row r="1218">
      <c r="A1218" s="1">
        <v>43317.438321574075</v>
      </c>
      <c r="B1218" s="2">
        <v>172.0</v>
      </c>
      <c r="C1218" s="2" t="s">
        <v>65</v>
      </c>
    </row>
    <row r="1219">
      <c r="A1219" s="1">
        <v>43317.43845052083</v>
      </c>
      <c r="B1219" s="2">
        <v>238.0</v>
      </c>
      <c r="C1219" s="2" t="s">
        <v>35</v>
      </c>
    </row>
    <row r="1220">
      <c r="A1220" s="1">
        <v>43317.438594363426</v>
      </c>
      <c r="B1220" s="2">
        <v>167.0</v>
      </c>
      <c r="C1220" s="2" t="s">
        <v>39</v>
      </c>
    </row>
    <row r="1221">
      <c r="A1221" s="1">
        <v>43317.43880506944</v>
      </c>
      <c r="B1221" s="2">
        <v>722.0</v>
      </c>
      <c r="C1221" s="2" t="s">
        <v>25</v>
      </c>
      <c r="D1221" s="2" t="s">
        <v>5</v>
      </c>
    </row>
    <row r="1222">
      <c r="A1222" s="1">
        <v>43317.43891652778</v>
      </c>
      <c r="B1222" s="2">
        <v>189.0</v>
      </c>
      <c r="C1222" s="2" t="s">
        <v>128</v>
      </c>
    </row>
    <row r="1223">
      <c r="A1223" s="1">
        <v>43317.438964050925</v>
      </c>
      <c r="B1223" s="2">
        <v>711.0</v>
      </c>
      <c r="C1223" s="2" t="s">
        <v>8</v>
      </c>
      <c r="D1223" s="2" t="s">
        <v>5</v>
      </c>
    </row>
    <row r="1224">
      <c r="A1224" s="1">
        <v>43317.43903381945</v>
      </c>
      <c r="B1224" s="2">
        <v>113.0</v>
      </c>
      <c r="C1224" s="2" t="s">
        <v>29</v>
      </c>
    </row>
    <row r="1225">
      <c r="A1225" s="1">
        <v>43317.43912425926</v>
      </c>
      <c r="B1225" s="2">
        <v>711.0</v>
      </c>
      <c r="C1225" s="2" t="s">
        <v>8</v>
      </c>
      <c r="D1225" s="2" t="s">
        <v>5</v>
      </c>
    </row>
    <row r="1226">
      <c r="A1226" s="1">
        <v>43317.439188425924</v>
      </c>
      <c r="B1226" s="3" t="s">
        <v>22</v>
      </c>
      <c r="C1226" s="2" t="s">
        <v>23</v>
      </c>
    </row>
    <row r="1227">
      <c r="A1227" s="1">
        <v>43317.43924490741</v>
      </c>
      <c r="B1227" s="2">
        <v>711.0</v>
      </c>
      <c r="C1227" s="2" t="s">
        <v>8</v>
      </c>
      <c r="D1227" s="2" t="s">
        <v>5</v>
      </c>
    </row>
    <row r="1228">
      <c r="A1228" s="1">
        <v>43317.43936962963</v>
      </c>
      <c r="B1228" s="2">
        <v>207.0</v>
      </c>
      <c r="C1228" s="2" t="s">
        <v>85</v>
      </c>
    </row>
    <row r="1229">
      <c r="A1229" s="1">
        <v>43317.43944126157</v>
      </c>
      <c r="B1229" s="2">
        <v>711.0</v>
      </c>
      <c r="C1229" s="2" t="s">
        <v>8</v>
      </c>
      <c r="D1229" s="2" t="s">
        <v>5</v>
      </c>
    </row>
    <row r="1230">
      <c r="A1230" s="1">
        <v>43317.44011091435</v>
      </c>
      <c r="B1230" s="2">
        <v>229.0</v>
      </c>
      <c r="C1230" s="2" t="s">
        <v>86</v>
      </c>
    </row>
    <row r="1231">
      <c r="A1231" s="1">
        <v>43317.440167974535</v>
      </c>
      <c r="B1231" s="2">
        <v>711.0</v>
      </c>
      <c r="C1231" s="2" t="s">
        <v>8</v>
      </c>
      <c r="D1231" s="2" t="s">
        <v>5</v>
      </c>
    </row>
    <row r="1232">
      <c r="A1232" s="1">
        <v>43317.44021998842</v>
      </c>
      <c r="B1232" s="2">
        <v>214.0</v>
      </c>
      <c r="C1232" s="2" t="s">
        <v>47</v>
      </c>
    </row>
    <row r="1233">
      <c r="A1233" s="1">
        <v>43317.440347048614</v>
      </c>
      <c r="B1233" s="2">
        <v>707.0</v>
      </c>
      <c r="C1233" s="2" t="s">
        <v>57</v>
      </c>
      <c r="D1233" s="2" t="s">
        <v>5</v>
      </c>
    </row>
    <row r="1234">
      <c r="A1234" s="1">
        <v>43317.44040519676</v>
      </c>
      <c r="B1234" s="2">
        <v>711.0</v>
      </c>
      <c r="C1234" s="2" t="s">
        <v>8</v>
      </c>
      <c r="D1234" s="2" t="s">
        <v>5</v>
      </c>
    </row>
    <row r="1235">
      <c r="A1235" s="1">
        <v>43317.440479895835</v>
      </c>
      <c r="B1235" s="2">
        <v>158.0</v>
      </c>
      <c r="C1235" s="2" t="s">
        <v>62</v>
      </c>
    </row>
    <row r="1236">
      <c r="A1236" s="1">
        <v>43317.44053689815</v>
      </c>
      <c r="B1236" s="2">
        <v>711.0</v>
      </c>
      <c r="C1236" s="2" t="s">
        <v>8</v>
      </c>
      <c r="D1236" s="2" t="s">
        <v>5</v>
      </c>
    </row>
    <row r="1237">
      <c r="A1237" s="1">
        <v>43317.44063738426</v>
      </c>
      <c r="B1237" s="3" t="s">
        <v>55</v>
      </c>
      <c r="C1237" s="2" t="s">
        <v>56</v>
      </c>
    </row>
    <row r="1238">
      <c r="A1238" s="1">
        <v>43317.44074106481</v>
      </c>
      <c r="B1238" s="3" t="s">
        <v>103</v>
      </c>
      <c r="C1238" s="2" t="s">
        <v>104</v>
      </c>
    </row>
    <row r="1239">
      <c r="A1239" s="1">
        <v>43317.44086751157</v>
      </c>
      <c r="B1239" s="2">
        <v>701.0</v>
      </c>
      <c r="C1239" s="2" t="s">
        <v>93</v>
      </c>
      <c r="D1239" s="2" t="s">
        <v>5</v>
      </c>
    </row>
    <row r="1240">
      <c r="A1240" s="1">
        <v>43317.44089508102</v>
      </c>
      <c r="B1240" s="2">
        <v>253.0</v>
      </c>
      <c r="C1240" s="2" t="s">
        <v>138</v>
      </c>
    </row>
    <row r="1241">
      <c r="A1241" s="1">
        <v>43317.44096127315</v>
      </c>
      <c r="B1241" s="2">
        <v>711.0</v>
      </c>
      <c r="C1241" s="2" t="s">
        <v>8</v>
      </c>
      <c r="D1241" s="2" t="s">
        <v>5</v>
      </c>
    </row>
    <row r="1242">
      <c r="A1242" s="1">
        <v>43317.44106358796</v>
      </c>
      <c r="B1242" s="2">
        <v>716.0</v>
      </c>
      <c r="C1242" s="2" t="s">
        <v>123</v>
      </c>
      <c r="D1242" s="2" t="s">
        <v>5</v>
      </c>
    </row>
    <row r="1243">
      <c r="A1243" s="1">
        <v>43317.44112855324</v>
      </c>
      <c r="B1243" s="2">
        <v>711.0</v>
      </c>
      <c r="C1243" s="2" t="s">
        <v>8</v>
      </c>
      <c r="D1243" s="2" t="s">
        <v>5</v>
      </c>
    </row>
    <row r="1244">
      <c r="A1244" s="1">
        <v>43317.44134019676</v>
      </c>
      <c r="B1244" s="2">
        <v>114.0</v>
      </c>
      <c r="C1244" s="2" t="s">
        <v>15</v>
      </c>
    </row>
    <row r="1245">
      <c r="A1245" s="1">
        <v>43317.44156482639</v>
      </c>
      <c r="B1245" s="2">
        <v>711.0</v>
      </c>
      <c r="C1245" s="2" t="s">
        <v>8</v>
      </c>
      <c r="D1245" s="2" t="s">
        <v>5</v>
      </c>
    </row>
    <row r="1246">
      <c r="A1246" s="1">
        <v>43317.441750694445</v>
      </c>
      <c r="B1246" s="3" t="s">
        <v>103</v>
      </c>
      <c r="C1246" s="2" t="s">
        <v>104</v>
      </c>
    </row>
    <row r="1247">
      <c r="A1247" s="1">
        <v>43317.44202165509</v>
      </c>
      <c r="B1247" s="2">
        <v>711.0</v>
      </c>
      <c r="C1247" s="2" t="s">
        <v>8</v>
      </c>
      <c r="D1247" s="2" t="s">
        <v>5</v>
      </c>
    </row>
    <row r="1248">
      <c r="A1248" s="1">
        <v>43317.44209244213</v>
      </c>
      <c r="B1248" s="2">
        <v>625.0</v>
      </c>
      <c r="C1248" s="2" t="s">
        <v>136</v>
      </c>
    </row>
    <row r="1249">
      <c r="A1249" s="1">
        <v>43317.44216445602</v>
      </c>
      <c r="B1249" s="2">
        <v>711.0</v>
      </c>
      <c r="C1249" s="2" t="s">
        <v>8</v>
      </c>
      <c r="D1249" s="2" t="s">
        <v>5</v>
      </c>
    </row>
    <row r="1250">
      <c r="A1250" s="1">
        <v>43317.44225918982</v>
      </c>
      <c r="B1250" s="3" t="s">
        <v>80</v>
      </c>
      <c r="C1250" s="2" t="s">
        <v>81</v>
      </c>
    </row>
    <row r="1251">
      <c r="A1251" s="1">
        <v>43317.442641331014</v>
      </c>
      <c r="B1251" s="3" t="s">
        <v>126</v>
      </c>
      <c r="C1251" s="2" t="s">
        <v>127</v>
      </c>
    </row>
    <row r="1252">
      <c r="A1252" s="1">
        <v>43317.44267751157</v>
      </c>
      <c r="B1252" s="2">
        <v>711.0</v>
      </c>
      <c r="C1252" s="2" t="s">
        <v>8</v>
      </c>
      <c r="D1252" s="2" t="s">
        <v>5</v>
      </c>
    </row>
    <row r="1253">
      <c r="A1253" s="1">
        <v>43317.442728009264</v>
      </c>
      <c r="B1253" s="3" t="s">
        <v>11</v>
      </c>
      <c r="C1253" s="2" t="s">
        <v>12</v>
      </c>
    </row>
    <row r="1254">
      <c r="A1254" s="1">
        <v>43317.44277905092</v>
      </c>
      <c r="B1254" s="2">
        <v>711.0</v>
      </c>
      <c r="C1254" s="2" t="s">
        <v>8</v>
      </c>
      <c r="D1254" s="2" t="s">
        <v>5</v>
      </c>
    </row>
    <row r="1255">
      <c r="A1255" s="1">
        <v>43317.442889212965</v>
      </c>
      <c r="B1255" s="2">
        <v>124.0</v>
      </c>
      <c r="C1255" s="2" t="s">
        <v>107</v>
      </c>
    </row>
    <row r="1256">
      <c r="A1256" s="1">
        <v>43317.44303846065</v>
      </c>
      <c r="B1256" s="2">
        <v>608.0</v>
      </c>
      <c r="C1256" s="2" t="s">
        <v>7</v>
      </c>
    </row>
    <row r="1257">
      <c r="A1257" s="1">
        <v>43317.443149722225</v>
      </c>
      <c r="B1257" s="2">
        <v>711.0</v>
      </c>
      <c r="C1257" s="2" t="s">
        <v>8</v>
      </c>
      <c r="D1257" s="2" t="s">
        <v>5</v>
      </c>
    </row>
    <row r="1258">
      <c r="A1258" s="1">
        <v>43317.443263368055</v>
      </c>
      <c r="B1258" s="2">
        <v>735.0</v>
      </c>
      <c r="C1258" s="2" t="s">
        <v>37</v>
      </c>
      <c r="D1258" s="2" t="s">
        <v>5</v>
      </c>
    </row>
    <row r="1259">
      <c r="A1259" s="1">
        <v>43317.44329841435</v>
      </c>
      <c r="B1259" s="2">
        <v>711.0</v>
      </c>
      <c r="C1259" s="2" t="s">
        <v>8</v>
      </c>
      <c r="D1259" s="2" t="s">
        <v>5</v>
      </c>
    </row>
    <row r="1260">
      <c r="A1260" s="1">
        <v>43317.44345539351</v>
      </c>
      <c r="B1260" s="3" t="s">
        <v>111</v>
      </c>
      <c r="C1260" s="2" t="s">
        <v>112</v>
      </c>
    </row>
    <row r="1261">
      <c r="A1261" s="1">
        <v>43317.4434862037</v>
      </c>
      <c r="B1261" s="2">
        <v>711.0</v>
      </c>
      <c r="C1261" s="2" t="s">
        <v>8</v>
      </c>
      <c r="D1261" s="2" t="s">
        <v>5</v>
      </c>
    </row>
    <row r="1262">
      <c r="A1262" s="1">
        <v>43317.444274988426</v>
      </c>
      <c r="B1262" s="2">
        <v>231.0</v>
      </c>
      <c r="C1262" s="2" t="s">
        <v>61</v>
      </c>
    </row>
    <row r="1263">
      <c r="A1263" s="1">
        <v>43317.44446010416</v>
      </c>
      <c r="B1263" s="2">
        <v>219.0</v>
      </c>
      <c r="C1263" s="2" t="s">
        <v>31</v>
      </c>
    </row>
    <row r="1264">
      <c r="A1264" s="1">
        <v>43317.44449248843</v>
      </c>
      <c r="B1264" s="2">
        <v>711.0</v>
      </c>
      <c r="C1264" s="2" t="s">
        <v>8</v>
      </c>
      <c r="D1264" s="2" t="s">
        <v>5</v>
      </c>
    </row>
    <row r="1265">
      <c r="A1265" s="1">
        <v>43317.444617291665</v>
      </c>
      <c r="B1265" s="2">
        <v>254.0</v>
      </c>
      <c r="C1265" s="2" t="s">
        <v>132</v>
      </c>
    </row>
    <row r="1266">
      <c r="A1266" s="1">
        <v>43317.44470238426</v>
      </c>
      <c r="B1266" s="2">
        <v>711.0</v>
      </c>
      <c r="C1266" s="2" t="s">
        <v>8</v>
      </c>
      <c r="D1266" s="2" t="s">
        <v>5</v>
      </c>
    </row>
    <row r="1267">
      <c r="A1267" s="1">
        <v>43317.444810497684</v>
      </c>
      <c r="B1267" s="2">
        <v>52.0</v>
      </c>
      <c r="C1267" s="2" t="s">
        <v>41</v>
      </c>
    </row>
    <row r="1268">
      <c r="A1268" s="1">
        <v>43317.444845798615</v>
      </c>
      <c r="B1268" s="2">
        <v>711.0</v>
      </c>
      <c r="C1268" s="2" t="s">
        <v>8</v>
      </c>
      <c r="D1268" s="2" t="s">
        <v>5</v>
      </c>
    </row>
    <row r="1269">
      <c r="A1269" s="1">
        <v>43317.4450416551</v>
      </c>
      <c r="B1269" s="2">
        <v>602.0</v>
      </c>
      <c r="C1269" s="2" t="s">
        <v>131</v>
      </c>
    </row>
    <row r="1270">
      <c r="A1270" s="1">
        <v>43317.445070347225</v>
      </c>
      <c r="B1270" s="2">
        <v>711.0</v>
      </c>
      <c r="C1270" s="2" t="s">
        <v>8</v>
      </c>
      <c r="D1270" s="2" t="s">
        <v>5</v>
      </c>
    </row>
    <row r="1271">
      <c r="A1271" s="1">
        <v>43317.445188321755</v>
      </c>
      <c r="B1271" s="3" t="s">
        <v>98</v>
      </c>
      <c r="C1271" s="2" t="s">
        <v>99</v>
      </c>
    </row>
    <row r="1272">
      <c r="A1272" s="1">
        <v>43317.445235983796</v>
      </c>
      <c r="B1272" s="2">
        <v>711.0</v>
      </c>
      <c r="C1272" s="2" t="s">
        <v>8</v>
      </c>
      <c r="D1272" s="2" t="s">
        <v>5</v>
      </c>
    </row>
    <row r="1273">
      <c r="A1273" s="1">
        <v>43317.44530467593</v>
      </c>
      <c r="B1273" s="2">
        <v>147.0</v>
      </c>
      <c r="C1273" s="2" t="s">
        <v>100</v>
      </c>
    </row>
    <row r="1274">
      <c r="A1274" s="1">
        <v>43317.445464212964</v>
      </c>
      <c r="B1274" s="2">
        <v>726.0</v>
      </c>
      <c r="C1274" s="2" t="s">
        <v>101</v>
      </c>
      <c r="D1274" s="2" t="s">
        <v>5</v>
      </c>
    </row>
    <row r="1275">
      <c r="A1275" s="1">
        <v>43317.44583493056</v>
      </c>
      <c r="B1275" s="2">
        <v>101.0</v>
      </c>
      <c r="C1275" s="2" t="s">
        <v>108</v>
      </c>
    </row>
    <row r="1276">
      <c r="A1276" s="1">
        <v>43317.44584085648</v>
      </c>
      <c r="B1276" s="2">
        <v>126.0</v>
      </c>
      <c r="C1276" s="2" t="s">
        <v>87</v>
      </c>
    </row>
    <row r="1277">
      <c r="A1277" s="1">
        <v>43317.44588247685</v>
      </c>
      <c r="B1277" s="2">
        <v>718.0</v>
      </c>
      <c r="C1277" s="2" t="s">
        <v>105</v>
      </c>
      <c r="D1277" s="2" t="s">
        <v>5</v>
      </c>
    </row>
    <row r="1278">
      <c r="A1278" s="1">
        <v>43317.44593253473</v>
      </c>
      <c r="B1278" s="2">
        <v>719.0</v>
      </c>
      <c r="C1278" s="2" t="s">
        <v>106</v>
      </c>
      <c r="D1278" s="2" t="s">
        <v>5</v>
      </c>
    </row>
    <row r="1279">
      <c r="A1279" s="1">
        <v>43317.446021180556</v>
      </c>
      <c r="B1279" s="2">
        <v>101.0</v>
      </c>
      <c r="C1279" s="2" t="s">
        <v>108</v>
      </c>
    </row>
    <row r="1280">
      <c r="A1280" s="1">
        <v>43317.44623739584</v>
      </c>
      <c r="B1280" s="2">
        <v>718.0</v>
      </c>
      <c r="C1280" s="2" t="s">
        <v>105</v>
      </c>
      <c r="D1280" s="2" t="s">
        <v>5</v>
      </c>
    </row>
    <row r="1281">
      <c r="A1281" s="1">
        <v>43317.446374837964</v>
      </c>
      <c r="B1281" s="2">
        <v>719.0</v>
      </c>
      <c r="C1281" s="2" t="s">
        <v>106</v>
      </c>
      <c r="D1281" s="2" t="s">
        <v>5</v>
      </c>
    </row>
    <row r="1282">
      <c r="A1282" s="1">
        <v>43317.4464734838</v>
      </c>
      <c r="B1282" s="2">
        <v>228.0</v>
      </c>
      <c r="C1282" s="2" t="s">
        <v>135</v>
      </c>
    </row>
    <row r="1283">
      <c r="A1283" s="1">
        <v>43317.44652423611</v>
      </c>
      <c r="B1283" s="2">
        <v>711.0</v>
      </c>
      <c r="C1283" s="2" t="s">
        <v>8</v>
      </c>
      <c r="D1283" s="2" t="s">
        <v>5</v>
      </c>
    </row>
    <row r="1284">
      <c r="A1284" s="1">
        <v>43317.446579131945</v>
      </c>
      <c r="B1284" s="2">
        <v>726.0</v>
      </c>
      <c r="C1284" s="2" t="s">
        <v>101</v>
      </c>
      <c r="D1284" s="2" t="s">
        <v>5</v>
      </c>
    </row>
    <row r="1285">
      <c r="A1285" s="1">
        <v>43317.44668034722</v>
      </c>
      <c r="B1285" s="2">
        <v>732.0</v>
      </c>
      <c r="C1285" s="2" t="s">
        <v>102</v>
      </c>
      <c r="D1285" s="2" t="s">
        <v>5</v>
      </c>
    </row>
    <row r="1286">
      <c r="A1286" s="1">
        <v>43317.44948201389</v>
      </c>
      <c r="B1286" s="2">
        <v>711.0</v>
      </c>
      <c r="C1286" s="2" t="s">
        <v>8</v>
      </c>
      <c r="D1286" s="2" t="s">
        <v>5</v>
      </c>
    </row>
    <row r="1287">
      <c r="A1287" s="1">
        <v>43317.44953347222</v>
      </c>
      <c r="B1287" s="2">
        <v>711.0</v>
      </c>
      <c r="C1287" s="2" t="s">
        <v>8</v>
      </c>
      <c r="D1287" s="2" t="s">
        <v>5</v>
      </c>
    </row>
    <row r="1288">
      <c r="A1288" s="1">
        <v>43317.44961003472</v>
      </c>
      <c r="B1288" s="2">
        <v>603.0</v>
      </c>
      <c r="C1288" s="2" t="s">
        <v>40</v>
      </c>
    </row>
    <row r="1289">
      <c r="A1289" s="1">
        <v>43317.44964306713</v>
      </c>
      <c r="B1289" s="2">
        <v>711.0</v>
      </c>
      <c r="C1289" s="2" t="s">
        <v>8</v>
      </c>
      <c r="D1289" s="2" t="s">
        <v>5</v>
      </c>
    </row>
    <row r="1290">
      <c r="A1290" s="1">
        <v>43317.46112666666</v>
      </c>
      <c r="B1290" s="2">
        <v>198.0</v>
      </c>
      <c r="C1290" s="2" t="s">
        <v>97</v>
      </c>
    </row>
    <row r="1291">
      <c r="A1291" s="1">
        <v>43317.46122240741</v>
      </c>
      <c r="B1291" s="2">
        <v>702.0</v>
      </c>
      <c r="C1291" s="2" t="s">
        <v>96</v>
      </c>
      <c r="D1291" s="2" t="s">
        <v>5</v>
      </c>
    </row>
    <row r="1292">
      <c r="A1292" s="1">
        <v>43317.461305034725</v>
      </c>
      <c r="B1292" s="3" t="s">
        <v>94</v>
      </c>
      <c r="C1292" s="2" t="s">
        <v>95</v>
      </c>
    </row>
    <row r="1293">
      <c r="A1293" s="1">
        <v>43317.475129375</v>
      </c>
      <c r="B1293" s="2">
        <v>663.0</v>
      </c>
      <c r="C1293" s="2" t="s">
        <v>109</v>
      </c>
    </row>
    <row r="1294">
      <c r="A1294" s="1">
        <v>43317.47520368056</v>
      </c>
      <c r="B1294" s="2">
        <v>733.0</v>
      </c>
      <c r="C1294" s="2" t="s">
        <v>110</v>
      </c>
      <c r="D1294" s="2" t="s">
        <v>5</v>
      </c>
    </row>
    <row r="1295">
      <c r="A1295" s="1">
        <v>43317.47520503472</v>
      </c>
      <c r="B1295" s="2">
        <v>663.0</v>
      </c>
      <c r="C1295" s="2" t="s">
        <v>109</v>
      </c>
    </row>
    <row r="1296">
      <c r="A1296" s="1">
        <v>43317.47526644676</v>
      </c>
      <c r="B1296" s="2">
        <v>733.0</v>
      </c>
      <c r="C1296" s="2" t="s">
        <v>110</v>
      </c>
      <c r="D1296" s="2" t="s">
        <v>5</v>
      </c>
    </row>
    <row r="1297">
      <c r="A1297" s="1">
        <v>43317.475450555554</v>
      </c>
      <c r="B1297" s="2">
        <v>733.0</v>
      </c>
      <c r="C1297" s="2" t="s">
        <v>110</v>
      </c>
      <c r="D1297" s="2" t="s">
        <v>5</v>
      </c>
    </row>
    <row r="1298">
      <c r="A1298" s="1">
        <v>43317.47771788195</v>
      </c>
      <c r="B1298" s="2">
        <v>711.0</v>
      </c>
      <c r="C1298" s="2" t="s">
        <v>8</v>
      </c>
      <c r="D1298" s="2" t="s">
        <v>5</v>
      </c>
    </row>
    <row r="1299">
      <c r="A1299" s="1">
        <v>43317.61726505787</v>
      </c>
      <c r="B1299" s="3" t="s">
        <v>22</v>
      </c>
      <c r="C1299" s="2" t="s">
        <v>23</v>
      </c>
    </row>
    <row r="1300">
      <c r="A1300" s="1">
        <v>43317.617334062496</v>
      </c>
      <c r="B1300" s="3" t="s">
        <v>22</v>
      </c>
      <c r="C1300" s="2" t="s">
        <v>23</v>
      </c>
    </row>
    <row r="1301">
      <c r="A1301" s="1">
        <v>43320.710016770834</v>
      </c>
      <c r="B1301" s="2">
        <v>210.0</v>
      </c>
      <c r="C1301" s="2" t="s">
        <v>64</v>
      </c>
    </row>
    <row r="1302">
      <c r="A1302" s="1">
        <v>43320.710594108794</v>
      </c>
      <c r="B1302" s="3" t="s">
        <v>44</v>
      </c>
      <c r="C1302" s="2" t="s">
        <v>45</v>
      </c>
    </row>
    <row r="1303">
      <c r="A1303" s="1">
        <v>43320.71082689815</v>
      </c>
      <c r="B1303" s="3" t="s">
        <v>42</v>
      </c>
      <c r="C1303" s="2" t="s">
        <v>43</v>
      </c>
    </row>
    <row r="1304">
      <c r="A1304" s="1">
        <v>43320.71121987268</v>
      </c>
      <c r="B1304" s="2">
        <v>231.0</v>
      </c>
      <c r="C1304" s="2" t="s">
        <v>61</v>
      </c>
    </row>
    <row r="1305">
      <c r="A1305" s="1">
        <v>43320.711363993054</v>
      </c>
      <c r="B1305" s="2">
        <v>244.0</v>
      </c>
      <c r="C1305" s="2" t="s">
        <v>38</v>
      </c>
    </row>
    <row r="1306">
      <c r="A1306" s="1">
        <v>43320.71166372685</v>
      </c>
      <c r="B1306" s="2">
        <v>609.0</v>
      </c>
      <c r="C1306" s="2" t="s">
        <v>179</v>
      </c>
    </row>
    <row r="1307">
      <c r="A1307" s="1">
        <v>43320.71198207176</v>
      </c>
      <c r="B1307" s="2">
        <v>656.0</v>
      </c>
      <c r="C1307" s="2" t="s">
        <v>144</v>
      </c>
    </row>
    <row r="1308">
      <c r="A1308" s="1">
        <v>43320.71207327546</v>
      </c>
      <c r="B1308" s="2">
        <v>655.0</v>
      </c>
      <c r="C1308" s="2" t="s">
        <v>17</v>
      </c>
    </row>
    <row r="1309">
      <c r="A1309" s="1">
        <v>43320.71216591435</v>
      </c>
      <c r="B1309" s="2">
        <v>654.0</v>
      </c>
      <c r="C1309" s="2" t="s">
        <v>115</v>
      </c>
    </row>
    <row r="1310">
      <c r="A1310" s="1">
        <v>43320.7142962963</v>
      </c>
      <c r="B1310" s="3" t="s">
        <v>117</v>
      </c>
      <c r="C1310" s="2" t="s">
        <v>118</v>
      </c>
    </row>
    <row r="1311">
      <c r="A1311" s="1">
        <v>43320.71440221065</v>
      </c>
      <c r="B1311" s="3" t="s">
        <v>119</v>
      </c>
      <c r="C1311" s="2" t="s">
        <v>120</v>
      </c>
    </row>
    <row r="1312">
      <c r="A1312" s="1">
        <v>43320.7145049074</v>
      </c>
      <c r="B1312" s="2">
        <v>713.0</v>
      </c>
      <c r="C1312" s="2" t="s">
        <v>121</v>
      </c>
      <c r="D1312" s="2" t="s">
        <v>5</v>
      </c>
    </row>
    <row r="1313">
      <c r="A1313" s="1">
        <v>43320.71459189815</v>
      </c>
      <c r="B1313" s="2">
        <v>714.0</v>
      </c>
      <c r="C1313" s="2" t="s">
        <v>122</v>
      </c>
      <c r="D1313" s="2" t="s">
        <v>5</v>
      </c>
    </row>
    <row r="1314">
      <c r="A1314" s="1">
        <v>43320.71634157407</v>
      </c>
      <c r="B1314" s="3" t="s">
        <v>9</v>
      </c>
      <c r="C1314" s="2" t="s">
        <v>10</v>
      </c>
    </row>
    <row r="1315">
      <c r="A1315" s="1">
        <v>43320.71664576389</v>
      </c>
      <c r="B1315" s="2">
        <v>114.0</v>
      </c>
      <c r="C1315" s="2" t="s">
        <v>15</v>
      </c>
    </row>
    <row r="1316">
      <c r="A1316" s="1">
        <v>43320.716721122684</v>
      </c>
      <c r="B1316" s="2">
        <v>708.0</v>
      </c>
      <c r="C1316" s="2" t="s">
        <v>4</v>
      </c>
      <c r="D1316" s="2" t="s">
        <v>5</v>
      </c>
    </row>
    <row r="1317">
      <c r="A1317" s="1">
        <v>43320.71679859953</v>
      </c>
      <c r="B1317" s="2">
        <v>709.0</v>
      </c>
      <c r="C1317" s="2" t="s">
        <v>20</v>
      </c>
      <c r="D1317" s="2" t="s">
        <v>5</v>
      </c>
    </row>
    <row r="1318">
      <c r="A1318" s="1">
        <v>43320.71685824074</v>
      </c>
      <c r="B1318" s="2">
        <v>710.0</v>
      </c>
      <c r="C1318" s="2" t="s">
        <v>21</v>
      </c>
      <c r="D1318" s="2" t="s">
        <v>5</v>
      </c>
    </row>
    <row r="1319">
      <c r="A1319" s="1">
        <v>43320.71728510417</v>
      </c>
      <c r="B1319" s="3" t="s">
        <v>88</v>
      </c>
      <c r="C1319" s="2" t="s">
        <v>89</v>
      </c>
    </row>
    <row r="1320">
      <c r="A1320" s="1">
        <v>43320.7587153125</v>
      </c>
      <c r="B1320" s="3" t="s">
        <v>113</v>
      </c>
      <c r="C1320" s="2" t="s">
        <v>114</v>
      </c>
    </row>
    <row r="1321">
      <c r="A1321" s="1">
        <v>43320.75957944445</v>
      </c>
      <c r="B1321" s="2">
        <v>208.0</v>
      </c>
      <c r="C1321" s="2" t="s">
        <v>182</v>
      </c>
    </row>
    <row r="1322">
      <c r="A1322" s="1">
        <v>43320.760905937495</v>
      </c>
      <c r="B1322" s="2">
        <v>653.0</v>
      </c>
      <c r="C1322" s="2" t="s">
        <v>77</v>
      </c>
    </row>
    <row r="1323">
      <c r="A1323" s="1">
        <v>43320.76113694445</v>
      </c>
      <c r="B1323" s="2">
        <v>662.0</v>
      </c>
      <c r="C1323" s="2" t="s">
        <v>18</v>
      </c>
    </row>
    <row r="1324">
      <c r="A1324" s="1">
        <v>43320.761328865745</v>
      </c>
      <c r="B1324" s="2">
        <v>672.0</v>
      </c>
      <c r="C1324" s="2" t="s">
        <v>6</v>
      </c>
    </row>
    <row r="1325">
      <c r="A1325" s="1">
        <v>43324.41466900463</v>
      </c>
      <c r="B1325" s="2">
        <v>165.0</v>
      </c>
      <c r="C1325" s="2" t="s">
        <v>50</v>
      </c>
    </row>
    <row r="1326">
      <c r="A1326" s="1">
        <v>43324.415238981484</v>
      </c>
      <c r="B1326" s="2">
        <v>711.0</v>
      </c>
      <c r="C1326" s="2" t="s">
        <v>8</v>
      </c>
      <c r="D1326" s="2" t="s">
        <v>5</v>
      </c>
    </row>
    <row r="1327">
      <c r="A1327" s="1">
        <v>43324.41762206018</v>
      </c>
      <c r="B1327" s="2">
        <v>167.0</v>
      </c>
      <c r="C1327" s="2" t="s">
        <v>39</v>
      </c>
    </row>
    <row r="1328">
      <c r="A1328" s="1">
        <v>43324.41767203704</v>
      </c>
      <c r="B1328" s="2">
        <v>711.0</v>
      </c>
      <c r="C1328" s="2" t="s">
        <v>8</v>
      </c>
      <c r="D1328" s="2" t="s">
        <v>5</v>
      </c>
    </row>
    <row r="1329">
      <c r="A1329" s="1">
        <v>43324.41772730324</v>
      </c>
      <c r="B1329" s="2">
        <v>172.0</v>
      </c>
      <c r="C1329" s="2" t="s">
        <v>65</v>
      </c>
    </row>
    <row r="1330">
      <c r="A1330" s="1">
        <v>43324.41804413195</v>
      </c>
      <c r="B1330" s="2">
        <v>711.0</v>
      </c>
      <c r="C1330" s="2" t="s">
        <v>8</v>
      </c>
      <c r="D1330" s="2" t="s">
        <v>5</v>
      </c>
    </row>
    <row r="1331">
      <c r="A1331" s="1">
        <v>43324.41848079861</v>
      </c>
      <c r="B1331" s="2">
        <v>70.0</v>
      </c>
      <c r="C1331" s="2" t="s">
        <v>183</v>
      </c>
    </row>
    <row r="1332">
      <c r="A1332" s="1">
        <v>43324.4185506713</v>
      </c>
      <c r="B1332" s="2">
        <v>711.0</v>
      </c>
      <c r="C1332" s="2" t="s">
        <v>8</v>
      </c>
      <c r="D1332" s="2" t="s">
        <v>5</v>
      </c>
    </row>
    <row r="1333">
      <c r="A1333" s="1">
        <v>43324.42020084491</v>
      </c>
      <c r="B1333" s="2">
        <v>244.0</v>
      </c>
      <c r="C1333" s="2" t="s">
        <v>38</v>
      </c>
    </row>
    <row r="1334">
      <c r="A1334" s="1">
        <v>43324.42034490741</v>
      </c>
      <c r="B1334" s="2">
        <v>711.0</v>
      </c>
      <c r="C1334" s="2" t="s">
        <v>8</v>
      </c>
      <c r="D1334" s="2" t="s">
        <v>5</v>
      </c>
    </row>
    <row r="1335">
      <c r="A1335" s="1">
        <v>43324.42071104167</v>
      </c>
      <c r="B1335" s="2">
        <v>712.0</v>
      </c>
      <c r="C1335" s="2" t="s">
        <v>116</v>
      </c>
      <c r="D1335" s="2" t="s">
        <v>5</v>
      </c>
    </row>
    <row r="1336">
      <c r="A1336" s="1">
        <v>43324.42103442129</v>
      </c>
      <c r="B1336" s="2">
        <v>711.0</v>
      </c>
      <c r="C1336" s="2" t="s">
        <v>8</v>
      </c>
      <c r="D1336" s="2" t="s">
        <v>5</v>
      </c>
    </row>
    <row r="1337">
      <c r="A1337" s="1">
        <v>43324.423514560185</v>
      </c>
      <c r="B1337" s="3" t="s">
        <v>88</v>
      </c>
      <c r="C1337" s="2" t="s">
        <v>89</v>
      </c>
    </row>
    <row r="1338">
      <c r="A1338" s="1">
        <v>43324.42395458333</v>
      </c>
      <c r="B1338" s="2">
        <v>711.0</v>
      </c>
      <c r="C1338" s="2" t="s">
        <v>8</v>
      </c>
      <c r="D1338" s="2" t="s">
        <v>5</v>
      </c>
    </row>
    <row r="1339">
      <c r="A1339" s="1">
        <v>43324.42466870371</v>
      </c>
      <c r="B1339" s="3" t="s">
        <v>111</v>
      </c>
      <c r="C1339" s="2" t="s">
        <v>112</v>
      </c>
    </row>
    <row r="1340">
      <c r="A1340" s="1">
        <v>43324.42474361111</v>
      </c>
      <c r="B1340" s="2">
        <v>711.0</v>
      </c>
      <c r="C1340" s="2" t="s">
        <v>8</v>
      </c>
      <c r="D1340" s="2" t="s">
        <v>5</v>
      </c>
    </row>
    <row r="1341">
      <c r="A1341" s="1">
        <v>43324.425269259256</v>
      </c>
      <c r="B1341" s="2">
        <v>113.0</v>
      </c>
      <c r="C1341" s="2" t="s">
        <v>29</v>
      </c>
    </row>
    <row r="1342">
      <c r="A1342" s="1">
        <v>43324.425425821755</v>
      </c>
      <c r="B1342" s="2">
        <v>711.0</v>
      </c>
      <c r="C1342" s="2" t="s">
        <v>8</v>
      </c>
      <c r="D1342" s="2" t="s">
        <v>5</v>
      </c>
    </row>
    <row r="1343">
      <c r="A1343" s="1">
        <v>43324.42597362268</v>
      </c>
      <c r="B1343" s="2">
        <v>193.0</v>
      </c>
      <c r="C1343" s="2" t="s">
        <v>30</v>
      </c>
    </row>
    <row r="1344">
      <c r="A1344" s="1">
        <v>43324.426009780094</v>
      </c>
      <c r="B1344" s="2">
        <v>711.0</v>
      </c>
      <c r="C1344" s="2" t="s">
        <v>8</v>
      </c>
      <c r="D1344" s="2" t="s">
        <v>5</v>
      </c>
    </row>
    <row r="1345">
      <c r="A1345" s="1">
        <v>43324.426129155094</v>
      </c>
      <c r="B1345" s="3" t="s">
        <v>44</v>
      </c>
      <c r="C1345" s="2" t="s">
        <v>45</v>
      </c>
    </row>
    <row r="1346">
      <c r="A1346" s="1">
        <v>43324.42617276621</v>
      </c>
      <c r="B1346" s="2">
        <v>711.0</v>
      </c>
      <c r="C1346" s="2" t="s">
        <v>8</v>
      </c>
      <c r="D1346" s="2" t="s">
        <v>5</v>
      </c>
    </row>
    <row r="1347">
      <c r="A1347" s="1">
        <v>43324.42639263889</v>
      </c>
      <c r="B1347" s="2">
        <v>173.0</v>
      </c>
      <c r="C1347" s="2" t="s">
        <v>24</v>
      </c>
    </row>
    <row r="1348">
      <c r="A1348" s="1">
        <v>43324.426576342594</v>
      </c>
      <c r="B1348" s="2">
        <v>711.0</v>
      </c>
      <c r="C1348" s="2" t="s">
        <v>8</v>
      </c>
      <c r="D1348" s="2" t="s">
        <v>5</v>
      </c>
    </row>
    <row r="1349">
      <c r="A1349" s="1">
        <v>43324.42658107639</v>
      </c>
      <c r="B1349" s="2">
        <v>214.0</v>
      </c>
      <c r="C1349" s="2" t="s">
        <v>47</v>
      </c>
    </row>
    <row r="1350">
      <c r="A1350" s="1">
        <v>43324.426952951384</v>
      </c>
      <c r="B1350" s="2">
        <v>609.0</v>
      </c>
      <c r="C1350" s="2" t="s">
        <v>179</v>
      </c>
    </row>
    <row r="1351">
      <c r="A1351" s="1">
        <v>43324.427112164354</v>
      </c>
      <c r="B1351" s="2">
        <v>733.0</v>
      </c>
      <c r="C1351" s="2" t="s">
        <v>110</v>
      </c>
      <c r="D1351" s="2" t="s">
        <v>5</v>
      </c>
    </row>
    <row r="1352">
      <c r="A1352" s="1">
        <v>43324.42711263889</v>
      </c>
      <c r="B1352" s="2">
        <v>609.0</v>
      </c>
      <c r="C1352" s="2" t="s">
        <v>179</v>
      </c>
    </row>
    <row r="1353">
      <c r="A1353" s="1">
        <v>43324.42716432871</v>
      </c>
      <c r="B1353" s="2">
        <v>733.0</v>
      </c>
      <c r="C1353" s="2" t="s">
        <v>110</v>
      </c>
      <c r="D1353" s="2" t="s">
        <v>5</v>
      </c>
    </row>
    <row r="1354">
      <c r="A1354" s="1">
        <v>43324.427204074076</v>
      </c>
      <c r="B1354" s="2">
        <v>609.0</v>
      </c>
      <c r="C1354" s="2" t="s">
        <v>179</v>
      </c>
    </row>
    <row r="1355">
      <c r="A1355" s="1">
        <v>43324.42732425926</v>
      </c>
      <c r="B1355" s="3" t="s">
        <v>22</v>
      </c>
      <c r="C1355" s="2" t="s">
        <v>23</v>
      </c>
    </row>
    <row r="1356">
      <c r="A1356" s="1">
        <v>43324.428271377314</v>
      </c>
      <c r="B1356" s="3" t="s">
        <v>32</v>
      </c>
      <c r="C1356" s="2" t="s">
        <v>33</v>
      </c>
    </row>
    <row r="1357">
      <c r="A1357" s="1">
        <v>43324.433635821755</v>
      </c>
      <c r="B1357" s="2">
        <v>141.0</v>
      </c>
      <c r="C1357" s="2" t="s">
        <v>53</v>
      </c>
    </row>
    <row r="1358">
      <c r="A1358" s="1">
        <v>43324.43401114583</v>
      </c>
      <c r="B1358" s="2">
        <v>707.0</v>
      </c>
      <c r="C1358" s="2" t="s">
        <v>57</v>
      </c>
      <c r="D1358" s="2" t="s">
        <v>5</v>
      </c>
    </row>
    <row r="1359">
      <c r="A1359" s="1">
        <v>43324.43413263889</v>
      </c>
      <c r="B1359" s="2">
        <v>707.0</v>
      </c>
      <c r="C1359" s="2" t="s">
        <v>57</v>
      </c>
      <c r="D1359" s="2" t="s">
        <v>5</v>
      </c>
    </row>
    <row r="1360">
      <c r="A1360" s="1">
        <v>43324.43441189815</v>
      </c>
      <c r="B1360" s="2">
        <v>141.0</v>
      </c>
      <c r="C1360" s="2" t="s">
        <v>53</v>
      </c>
    </row>
    <row r="1361">
      <c r="A1361" s="1">
        <v>43324.43452297454</v>
      </c>
      <c r="B1361" s="2">
        <v>141.0</v>
      </c>
      <c r="C1361" s="2" t="s">
        <v>53</v>
      </c>
    </row>
    <row r="1362">
      <c r="A1362" s="1">
        <v>43324.434585532406</v>
      </c>
      <c r="B1362" s="3" t="s">
        <v>82</v>
      </c>
      <c r="C1362" s="2" t="s">
        <v>83</v>
      </c>
    </row>
    <row r="1363">
      <c r="A1363" s="1">
        <v>43324.43464258102</v>
      </c>
      <c r="B1363" s="2">
        <v>711.0</v>
      </c>
      <c r="C1363" s="2" t="s">
        <v>8</v>
      </c>
      <c r="D1363" s="2" t="s">
        <v>5</v>
      </c>
    </row>
    <row r="1364">
      <c r="A1364" s="1">
        <v>43324.43483489583</v>
      </c>
      <c r="B1364" s="3" t="s">
        <v>78</v>
      </c>
      <c r="C1364" s="2" t="s">
        <v>79</v>
      </c>
    </row>
    <row r="1365">
      <c r="A1365" s="1">
        <v>43324.4348759375</v>
      </c>
      <c r="B1365" s="2">
        <v>711.0</v>
      </c>
      <c r="C1365" s="2" t="s">
        <v>8</v>
      </c>
      <c r="D1365" s="2" t="s">
        <v>5</v>
      </c>
    </row>
    <row r="1366">
      <c r="A1366" s="1">
        <v>43324.43502116898</v>
      </c>
      <c r="B1366" s="2">
        <v>723.0</v>
      </c>
      <c r="C1366" s="2" t="s">
        <v>84</v>
      </c>
      <c r="D1366" s="2" t="s">
        <v>5</v>
      </c>
    </row>
    <row r="1367">
      <c r="A1367" s="1">
        <v>43324.43505033565</v>
      </c>
      <c r="B1367" s="2">
        <v>711.0</v>
      </c>
      <c r="C1367" s="2" t="s">
        <v>8</v>
      </c>
      <c r="D1367" s="2" t="s">
        <v>5</v>
      </c>
    </row>
    <row r="1368">
      <c r="A1368" s="1">
        <v>43324.435115925924</v>
      </c>
      <c r="B1368" s="3" t="s">
        <v>51</v>
      </c>
      <c r="C1368" s="2" t="s">
        <v>52</v>
      </c>
    </row>
    <row r="1369">
      <c r="A1369" s="1">
        <v>43324.43614348379</v>
      </c>
      <c r="B1369" s="2">
        <v>711.0</v>
      </c>
      <c r="C1369" s="2" t="s">
        <v>8</v>
      </c>
      <c r="D1369" s="2" t="s">
        <v>5</v>
      </c>
    </row>
    <row r="1370">
      <c r="A1370" s="1">
        <v>43324.436211886576</v>
      </c>
      <c r="B1370" s="3" t="s">
        <v>42</v>
      </c>
      <c r="C1370" s="2" t="s">
        <v>43</v>
      </c>
    </row>
    <row r="1371">
      <c r="A1371" s="1">
        <v>43324.43625274306</v>
      </c>
      <c r="B1371" s="2">
        <v>711.0</v>
      </c>
      <c r="C1371" s="2" t="s">
        <v>8</v>
      </c>
      <c r="D1371" s="2" t="s">
        <v>5</v>
      </c>
    </row>
    <row r="1372">
      <c r="A1372" s="1">
        <v>43324.436317581014</v>
      </c>
      <c r="B1372" s="3" t="s">
        <v>80</v>
      </c>
      <c r="C1372" s="2" t="s">
        <v>81</v>
      </c>
    </row>
    <row r="1373">
      <c r="A1373" s="1">
        <v>43324.43645462963</v>
      </c>
      <c r="B1373" s="2">
        <v>711.0</v>
      </c>
      <c r="C1373" s="2" t="s">
        <v>8</v>
      </c>
      <c r="D1373" s="2" t="s">
        <v>5</v>
      </c>
    </row>
    <row r="1374">
      <c r="A1374" s="1">
        <v>43324.436690104165</v>
      </c>
      <c r="B1374" s="3" t="s">
        <v>59</v>
      </c>
      <c r="C1374" s="2" t="s">
        <v>60</v>
      </c>
    </row>
    <row r="1375">
      <c r="A1375" s="1">
        <v>43324.43692457176</v>
      </c>
      <c r="B1375" s="2">
        <v>711.0</v>
      </c>
      <c r="C1375" s="2" t="s">
        <v>8</v>
      </c>
      <c r="D1375" s="2" t="s">
        <v>5</v>
      </c>
    </row>
    <row r="1376">
      <c r="A1376" s="1">
        <v>43324.43706950231</v>
      </c>
      <c r="B1376" s="3" t="s">
        <v>169</v>
      </c>
      <c r="C1376" s="2" t="s">
        <v>170</v>
      </c>
    </row>
    <row r="1377">
      <c r="A1377" s="1">
        <v>43324.437115023145</v>
      </c>
      <c r="B1377" s="2">
        <v>711.0</v>
      </c>
      <c r="C1377" s="2" t="s">
        <v>8</v>
      </c>
      <c r="D1377" s="2" t="s">
        <v>5</v>
      </c>
    </row>
    <row r="1378">
      <c r="A1378" s="1">
        <v>43324.437703958334</v>
      </c>
      <c r="B1378" s="2">
        <v>624.0</v>
      </c>
      <c r="C1378" s="2" t="s">
        <v>90</v>
      </c>
    </row>
    <row r="1379">
      <c r="A1379" s="1">
        <v>43324.437755810184</v>
      </c>
      <c r="B1379" s="2">
        <v>711.0</v>
      </c>
      <c r="C1379" s="2" t="s">
        <v>8</v>
      </c>
      <c r="D1379" s="2" t="s">
        <v>5</v>
      </c>
    </row>
    <row r="1380">
      <c r="A1380" s="1">
        <v>43324.437886898144</v>
      </c>
      <c r="B1380" s="2">
        <v>724.0</v>
      </c>
      <c r="C1380" s="2" t="s">
        <v>91</v>
      </c>
      <c r="D1380" s="2" t="s">
        <v>5</v>
      </c>
    </row>
    <row r="1381">
      <c r="A1381" s="1">
        <v>43324.437931504624</v>
      </c>
      <c r="B1381" s="2">
        <v>711.0</v>
      </c>
      <c r="C1381" s="2" t="s">
        <v>8</v>
      </c>
      <c r="D1381" s="2" t="s">
        <v>5</v>
      </c>
    </row>
    <row r="1382">
      <c r="A1382" s="1">
        <v>43324.43796293982</v>
      </c>
      <c r="B1382" s="2">
        <v>725.0</v>
      </c>
      <c r="C1382" s="2" t="s">
        <v>92</v>
      </c>
      <c r="D1382" s="2" t="s">
        <v>5</v>
      </c>
    </row>
    <row r="1383">
      <c r="A1383" s="1">
        <v>43324.4380612963</v>
      </c>
      <c r="B1383" s="2">
        <v>711.0</v>
      </c>
      <c r="C1383" s="2" t="s">
        <v>8</v>
      </c>
      <c r="D1383" s="2" t="s">
        <v>5</v>
      </c>
    </row>
    <row r="1384">
      <c r="A1384" s="1">
        <v>43324.43830673611</v>
      </c>
      <c r="B1384" s="2">
        <v>141.0</v>
      </c>
      <c r="C1384" s="2" t="s">
        <v>53</v>
      </c>
    </row>
    <row r="1385">
      <c r="A1385" s="1">
        <v>43324.43834606481</v>
      </c>
      <c r="B1385" s="2">
        <v>711.0</v>
      </c>
      <c r="C1385" s="2" t="s">
        <v>8</v>
      </c>
      <c r="D1385" s="2" t="s">
        <v>5</v>
      </c>
    </row>
    <row r="1386">
      <c r="A1386" s="1">
        <v>43324.43877861111</v>
      </c>
      <c r="B1386" s="2">
        <v>729.0</v>
      </c>
      <c r="C1386" s="2" t="s">
        <v>54</v>
      </c>
      <c r="D1386" s="2" t="s">
        <v>5</v>
      </c>
    </row>
    <row r="1387">
      <c r="A1387" s="1">
        <v>43324.4388294213</v>
      </c>
      <c r="B1387" s="2">
        <v>711.0</v>
      </c>
      <c r="C1387" s="2" t="s">
        <v>8</v>
      </c>
      <c r="D1387" s="2" t="s">
        <v>5</v>
      </c>
    </row>
    <row r="1388">
      <c r="A1388" s="1">
        <v>43324.4392590162</v>
      </c>
      <c r="B1388" s="2">
        <v>618.0</v>
      </c>
      <c r="C1388" s="2" t="s">
        <v>147</v>
      </c>
    </row>
    <row r="1389">
      <c r="A1389" s="1">
        <v>43324.43932513889</v>
      </c>
      <c r="B1389" s="2">
        <v>711.0</v>
      </c>
      <c r="C1389" s="2" t="s">
        <v>8</v>
      </c>
      <c r="D1389" s="2" t="s">
        <v>5</v>
      </c>
    </row>
    <row r="1390">
      <c r="A1390" s="1">
        <v>43324.44026087963</v>
      </c>
      <c r="B1390" s="2">
        <v>707.0</v>
      </c>
      <c r="C1390" s="2" t="s">
        <v>57</v>
      </c>
      <c r="D1390" s="2" t="s">
        <v>5</v>
      </c>
    </row>
    <row r="1391">
      <c r="A1391" s="1">
        <v>43324.44033881945</v>
      </c>
      <c r="B1391" s="2">
        <v>711.0</v>
      </c>
      <c r="C1391" s="2" t="s">
        <v>8</v>
      </c>
      <c r="D1391" s="2" t="s">
        <v>5</v>
      </c>
    </row>
    <row r="1392">
      <c r="A1392" s="1">
        <v>43324.44143247685</v>
      </c>
      <c r="B1392" s="2">
        <v>158.0</v>
      </c>
      <c r="C1392" s="2" t="s">
        <v>62</v>
      </c>
    </row>
    <row r="1393">
      <c r="A1393" s="1">
        <v>43324.442284791665</v>
      </c>
      <c r="B1393" s="2">
        <v>229.0</v>
      </c>
      <c r="C1393" s="2" t="s">
        <v>86</v>
      </c>
    </row>
    <row r="1394">
      <c r="A1394" s="1">
        <v>43324.44388875</v>
      </c>
      <c r="B1394" s="2">
        <v>608.0</v>
      </c>
      <c r="C1394" s="2" t="s">
        <v>7</v>
      </c>
    </row>
    <row r="1395">
      <c r="A1395" s="1">
        <v>43324.44403293981</v>
      </c>
      <c r="B1395" s="2">
        <v>711.0</v>
      </c>
      <c r="C1395" s="2" t="s">
        <v>8</v>
      </c>
      <c r="D1395" s="2" t="s">
        <v>5</v>
      </c>
    </row>
    <row r="1396">
      <c r="A1396" s="1">
        <v>43324.447160682874</v>
      </c>
      <c r="B1396" s="3" t="s">
        <v>103</v>
      </c>
      <c r="C1396" s="2" t="s">
        <v>104</v>
      </c>
    </row>
    <row r="1397">
      <c r="A1397" s="1">
        <v>43324.44721204861</v>
      </c>
      <c r="B1397" s="3" t="s">
        <v>103</v>
      </c>
      <c r="C1397" s="2" t="s">
        <v>104</v>
      </c>
    </row>
    <row r="1398">
      <c r="A1398" s="1">
        <v>43324.447802731476</v>
      </c>
      <c r="B1398" s="2">
        <v>257.0</v>
      </c>
      <c r="C1398" s="2" t="s">
        <v>27</v>
      </c>
    </row>
    <row r="1399">
      <c r="A1399" s="1">
        <v>43324.44780765046</v>
      </c>
      <c r="B1399" s="2">
        <v>257.0</v>
      </c>
      <c r="C1399" s="2" t="s">
        <v>27</v>
      </c>
    </row>
    <row r="1400">
      <c r="A1400" s="1">
        <v>43324.4478084838</v>
      </c>
      <c r="B1400" s="2">
        <v>257.0</v>
      </c>
      <c r="C1400" s="2" t="s">
        <v>27</v>
      </c>
    </row>
    <row r="1401">
      <c r="A1401" s="1">
        <v>43324.44802246528</v>
      </c>
      <c r="B1401" s="3" t="s">
        <v>103</v>
      </c>
      <c r="C1401" s="2" t="s">
        <v>104</v>
      </c>
    </row>
    <row r="1402">
      <c r="A1402" s="1">
        <v>43324.45951060185</v>
      </c>
      <c r="B1402" s="2">
        <v>711.0</v>
      </c>
      <c r="C1402" s="2" t="s">
        <v>8</v>
      </c>
      <c r="D1402" s="2" t="s">
        <v>5</v>
      </c>
    </row>
    <row r="1403">
      <c r="A1403" s="1">
        <v>43324.46630349537</v>
      </c>
      <c r="B1403" s="2">
        <v>736.0</v>
      </c>
      <c r="C1403" s="2" t="s">
        <v>175</v>
      </c>
      <c r="D1403" s="2" t="s">
        <v>5</v>
      </c>
    </row>
    <row r="1404">
      <c r="A1404" s="1">
        <v>43324.46634287037</v>
      </c>
      <c r="B1404" s="2">
        <v>711.0</v>
      </c>
      <c r="C1404" s="2" t="s">
        <v>8</v>
      </c>
      <c r="D1404" s="2" t="s">
        <v>5</v>
      </c>
    </row>
    <row r="1405">
      <c r="A1405" s="1">
        <v>43324.46639342593</v>
      </c>
      <c r="B1405" s="2">
        <v>737.0</v>
      </c>
      <c r="C1405" s="2" t="s">
        <v>176</v>
      </c>
      <c r="D1405" s="2" t="s">
        <v>5</v>
      </c>
    </row>
    <row r="1406">
      <c r="A1406" s="1">
        <v>43324.46642465278</v>
      </c>
      <c r="B1406" s="2">
        <v>711.0</v>
      </c>
      <c r="C1406" s="2" t="s">
        <v>8</v>
      </c>
      <c r="D1406" s="2" t="s">
        <v>5</v>
      </c>
    </row>
    <row r="1407">
      <c r="A1407" s="1">
        <v>43324.46674752315</v>
      </c>
      <c r="B1407" s="2">
        <v>649.0</v>
      </c>
      <c r="C1407" s="2" t="s">
        <v>177</v>
      </c>
    </row>
    <row r="1408">
      <c r="A1408" s="1">
        <v>43324.46684515046</v>
      </c>
      <c r="B1408" s="2">
        <v>711.0</v>
      </c>
      <c r="C1408" s="2" t="s">
        <v>8</v>
      </c>
      <c r="D1408" s="2" t="s">
        <v>5</v>
      </c>
    </row>
    <row r="1409">
      <c r="A1409" s="1">
        <v>43324.471459479166</v>
      </c>
      <c r="B1409" s="3" t="s">
        <v>117</v>
      </c>
      <c r="C1409" s="2" t="s">
        <v>118</v>
      </c>
    </row>
    <row r="1410">
      <c r="A1410" s="1">
        <v>43324.47153045139</v>
      </c>
      <c r="B1410" s="2">
        <v>711.0</v>
      </c>
      <c r="C1410" s="2" t="s">
        <v>8</v>
      </c>
      <c r="D1410" s="2" t="s">
        <v>5</v>
      </c>
    </row>
    <row r="1411">
      <c r="A1411" s="1">
        <v>43324.49635956019</v>
      </c>
      <c r="B1411" s="3" t="s">
        <v>119</v>
      </c>
      <c r="C1411" s="2" t="s">
        <v>120</v>
      </c>
    </row>
    <row r="1412">
      <c r="A1412" s="1">
        <v>43324.4963937037</v>
      </c>
      <c r="B1412" s="2">
        <v>711.0</v>
      </c>
      <c r="C1412" s="2" t="s">
        <v>8</v>
      </c>
      <c r="D1412" s="2" t="s">
        <v>5</v>
      </c>
    </row>
    <row r="1413">
      <c r="A1413" s="1">
        <v>43324.49655894676</v>
      </c>
      <c r="B1413" s="2">
        <v>713.0</v>
      </c>
      <c r="C1413" s="2" t="s">
        <v>121</v>
      </c>
      <c r="D1413" s="2" t="s">
        <v>5</v>
      </c>
    </row>
    <row r="1414">
      <c r="A1414" s="1">
        <v>43324.49659222222</v>
      </c>
      <c r="B1414" s="2">
        <v>711.0</v>
      </c>
      <c r="C1414" s="2" t="s">
        <v>8</v>
      </c>
      <c r="D1414" s="2" t="s">
        <v>5</v>
      </c>
    </row>
    <row r="1415">
      <c r="A1415" s="1">
        <v>43324.49663318287</v>
      </c>
      <c r="B1415" s="2">
        <v>714.0</v>
      </c>
      <c r="C1415" s="2" t="s">
        <v>122</v>
      </c>
      <c r="D1415" s="2" t="s">
        <v>5</v>
      </c>
    </row>
    <row r="1416">
      <c r="A1416" s="1">
        <v>43324.496672974536</v>
      </c>
      <c r="B1416" s="2">
        <v>711.0</v>
      </c>
      <c r="C1416" s="2" t="s">
        <v>8</v>
      </c>
      <c r="D1416" s="2" t="s">
        <v>5</v>
      </c>
    </row>
    <row r="1417">
      <c r="A1417" s="1">
        <v>43329.59991862268</v>
      </c>
      <c r="B1417" s="2">
        <v>672.0</v>
      </c>
      <c r="C1417" s="2" t="s">
        <v>6</v>
      </c>
    </row>
    <row r="1418">
      <c r="A1418" s="1">
        <v>43331.41938313657</v>
      </c>
      <c r="B1418" s="2">
        <v>704.0</v>
      </c>
      <c r="C1418" s="2" t="s">
        <v>167</v>
      </c>
      <c r="D1418" s="2" t="s">
        <v>5</v>
      </c>
    </row>
    <row r="1419">
      <c r="A1419" s="1">
        <v>43331.41942917824</v>
      </c>
      <c r="B1419" s="2">
        <v>635.0</v>
      </c>
      <c r="C1419" s="2" t="s">
        <v>165</v>
      </c>
    </row>
    <row r="1420">
      <c r="A1420" s="1">
        <v>43331.41966216435</v>
      </c>
      <c r="B1420" s="3" t="s">
        <v>159</v>
      </c>
      <c r="C1420" s="2" t="s">
        <v>160</v>
      </c>
    </row>
    <row r="1421">
      <c r="A1421" s="1">
        <v>43331.419710625</v>
      </c>
      <c r="B1421" s="2">
        <v>711.0</v>
      </c>
      <c r="C1421" s="2" t="s">
        <v>8</v>
      </c>
      <c r="D1421" s="2" t="s">
        <v>5</v>
      </c>
    </row>
    <row r="1422">
      <c r="A1422" s="1">
        <v>43331.41990130787</v>
      </c>
      <c r="B1422" s="2">
        <v>603.0</v>
      </c>
      <c r="C1422" s="2" t="s">
        <v>40</v>
      </c>
    </row>
    <row r="1423">
      <c r="A1423" s="1">
        <v>43331.41993502315</v>
      </c>
      <c r="B1423" s="2">
        <v>711.0</v>
      </c>
      <c r="C1423" s="2" t="s">
        <v>8</v>
      </c>
      <c r="D1423" s="2" t="s">
        <v>5</v>
      </c>
    </row>
    <row r="1424">
      <c r="A1424" s="1">
        <v>43331.42021726852</v>
      </c>
      <c r="B1424" s="2">
        <v>262.0</v>
      </c>
      <c r="C1424" s="2" t="s">
        <v>28</v>
      </c>
    </row>
    <row r="1425">
      <c r="A1425" s="1">
        <v>43331.42028667824</v>
      </c>
      <c r="B1425" s="2">
        <v>711.0</v>
      </c>
      <c r="C1425" s="2" t="s">
        <v>8</v>
      </c>
      <c r="D1425" s="2" t="s">
        <v>5</v>
      </c>
    </row>
    <row r="1426">
      <c r="A1426" s="1">
        <v>43331.420710543985</v>
      </c>
      <c r="B1426" s="2">
        <v>238.0</v>
      </c>
      <c r="C1426" s="2" t="s">
        <v>35</v>
      </c>
    </row>
    <row r="1427">
      <c r="A1427" s="1">
        <v>43331.42075520833</v>
      </c>
      <c r="B1427" s="2">
        <v>711.0</v>
      </c>
      <c r="C1427" s="2" t="s">
        <v>8</v>
      </c>
      <c r="D1427" s="2" t="s">
        <v>5</v>
      </c>
    </row>
    <row r="1428">
      <c r="A1428" s="1">
        <v>43331.42083815973</v>
      </c>
      <c r="B1428" s="2">
        <v>167.0</v>
      </c>
      <c r="C1428" s="2" t="s">
        <v>39</v>
      </c>
    </row>
    <row r="1429">
      <c r="A1429" s="1">
        <v>43331.420883645835</v>
      </c>
      <c r="B1429" s="2">
        <v>711.0</v>
      </c>
      <c r="C1429" s="2" t="s">
        <v>8</v>
      </c>
      <c r="D1429" s="2" t="s">
        <v>5</v>
      </c>
    </row>
    <row r="1430">
      <c r="A1430" s="1">
        <v>43331.42099564815</v>
      </c>
      <c r="B1430" s="2">
        <v>602.0</v>
      </c>
      <c r="C1430" s="2" t="s">
        <v>131</v>
      </c>
    </row>
    <row r="1431">
      <c r="A1431" s="1">
        <v>43331.42103445602</v>
      </c>
      <c r="B1431" s="2">
        <v>711.0</v>
      </c>
      <c r="C1431" s="2" t="s">
        <v>8</v>
      </c>
      <c r="D1431" s="2" t="s">
        <v>5</v>
      </c>
    </row>
    <row r="1432">
      <c r="A1432" s="1">
        <v>43331.42120636574</v>
      </c>
      <c r="B1432" s="3" t="s">
        <v>94</v>
      </c>
      <c r="C1432" s="2" t="s">
        <v>95</v>
      </c>
    </row>
    <row r="1433">
      <c r="A1433" s="1">
        <v>43331.421238449075</v>
      </c>
      <c r="B1433" s="2">
        <v>711.0</v>
      </c>
      <c r="C1433" s="2" t="s">
        <v>8</v>
      </c>
      <c r="D1433" s="2" t="s">
        <v>5</v>
      </c>
    </row>
    <row r="1434">
      <c r="A1434" s="1">
        <v>43331.42221020833</v>
      </c>
      <c r="B1434" s="2">
        <v>735.0</v>
      </c>
      <c r="C1434" s="2" t="s">
        <v>37</v>
      </c>
      <c r="D1434" s="2" t="s">
        <v>5</v>
      </c>
    </row>
    <row r="1435">
      <c r="A1435" s="1">
        <v>43331.42240969907</v>
      </c>
      <c r="B1435" s="2">
        <v>711.0</v>
      </c>
      <c r="C1435" s="2" t="s">
        <v>8</v>
      </c>
      <c r="D1435" s="2" t="s">
        <v>5</v>
      </c>
    </row>
    <row r="1436">
      <c r="A1436" s="1">
        <v>43331.422471655096</v>
      </c>
      <c r="B1436" s="2">
        <v>189.0</v>
      </c>
      <c r="C1436" s="2" t="s">
        <v>128</v>
      </c>
    </row>
    <row r="1437">
      <c r="A1437" s="1">
        <v>43331.42250177084</v>
      </c>
      <c r="B1437" s="2">
        <v>711.0</v>
      </c>
      <c r="C1437" s="2" t="s">
        <v>8</v>
      </c>
      <c r="D1437" s="2" t="s">
        <v>5</v>
      </c>
    </row>
    <row r="1438">
      <c r="A1438" s="1">
        <v>43331.42295836806</v>
      </c>
      <c r="B1438" s="2">
        <v>198.0</v>
      </c>
      <c r="C1438" s="2" t="s">
        <v>97</v>
      </c>
    </row>
    <row r="1439">
      <c r="A1439" s="1">
        <v>43331.423088090276</v>
      </c>
      <c r="B1439" s="2">
        <v>702.0</v>
      </c>
      <c r="C1439" s="2" t="s">
        <v>96</v>
      </c>
      <c r="D1439" s="2" t="s">
        <v>5</v>
      </c>
    </row>
    <row r="1440">
      <c r="A1440" s="1">
        <v>43331.42318668982</v>
      </c>
      <c r="B1440" s="3" t="s">
        <v>94</v>
      </c>
      <c r="C1440" s="2" t="s">
        <v>95</v>
      </c>
    </row>
    <row r="1441">
      <c r="A1441" s="1">
        <v>43331.42460780093</v>
      </c>
      <c r="B1441" s="2">
        <v>627.0</v>
      </c>
      <c r="C1441" s="2" t="s">
        <v>134</v>
      </c>
    </row>
    <row r="1442">
      <c r="A1442" s="1">
        <v>43331.42463474537</v>
      </c>
      <c r="B1442" s="2">
        <v>711.0</v>
      </c>
      <c r="C1442" s="2" t="s">
        <v>8</v>
      </c>
      <c r="D1442" s="2" t="s">
        <v>5</v>
      </c>
    </row>
    <row r="1443">
      <c r="A1443" s="1">
        <v>43331.425179259255</v>
      </c>
      <c r="B1443" s="2">
        <v>627.0</v>
      </c>
      <c r="C1443" s="2" t="s">
        <v>134</v>
      </c>
    </row>
    <row r="1444">
      <c r="A1444" s="1">
        <v>43331.42522527778</v>
      </c>
      <c r="B1444" s="2">
        <v>711.0</v>
      </c>
      <c r="C1444" s="2" t="s">
        <v>8</v>
      </c>
      <c r="D1444" s="2" t="s">
        <v>5</v>
      </c>
    </row>
    <row r="1445">
      <c r="A1445" s="1">
        <v>43331.42878328703</v>
      </c>
      <c r="B1445" s="2">
        <v>173.0</v>
      </c>
      <c r="C1445" s="2" t="s">
        <v>24</v>
      </c>
    </row>
    <row r="1446">
      <c r="A1446" s="1">
        <v>43331.429189675924</v>
      </c>
      <c r="B1446" s="2">
        <v>165.0</v>
      </c>
      <c r="C1446" s="2" t="s">
        <v>50</v>
      </c>
    </row>
    <row r="1447">
      <c r="A1447" s="1">
        <v>43331.42975540509</v>
      </c>
      <c r="B1447" s="2">
        <v>246.0</v>
      </c>
      <c r="C1447" s="2" t="s">
        <v>26</v>
      </c>
    </row>
    <row r="1448">
      <c r="A1448" s="1">
        <v>43331.43191042824</v>
      </c>
      <c r="B1448" s="2">
        <v>632.0</v>
      </c>
      <c r="C1448" s="2" t="s">
        <v>146</v>
      </c>
    </row>
    <row r="1449">
      <c r="A1449" s="1">
        <v>43331.43304554398</v>
      </c>
      <c r="B1449" s="3" t="s">
        <v>126</v>
      </c>
      <c r="C1449" s="2" t="s">
        <v>127</v>
      </c>
    </row>
    <row r="1450">
      <c r="A1450" s="1">
        <v>43331.43310715278</v>
      </c>
      <c r="B1450" s="2">
        <v>711.0</v>
      </c>
      <c r="C1450" s="2" t="s">
        <v>8</v>
      </c>
      <c r="D1450" s="2" t="s">
        <v>5</v>
      </c>
    </row>
    <row r="1451">
      <c r="A1451" s="1">
        <v>43331.433392349536</v>
      </c>
      <c r="B1451" s="2">
        <v>607.0</v>
      </c>
      <c r="C1451" s="2" t="s">
        <v>68</v>
      </c>
    </row>
    <row r="1452">
      <c r="A1452" s="1">
        <v>43331.43344826389</v>
      </c>
      <c r="B1452" s="2">
        <v>711.0</v>
      </c>
      <c r="C1452" s="2" t="s">
        <v>8</v>
      </c>
      <c r="D1452" s="2" t="s">
        <v>5</v>
      </c>
    </row>
    <row r="1453">
      <c r="A1453" s="1">
        <v>43331.43359667824</v>
      </c>
      <c r="B1453" s="2">
        <v>716.0</v>
      </c>
      <c r="C1453" s="2" t="s">
        <v>123</v>
      </c>
      <c r="D1453" s="2" t="s">
        <v>5</v>
      </c>
    </row>
    <row r="1454">
      <c r="A1454" s="1">
        <v>43331.433628506944</v>
      </c>
      <c r="B1454" s="2">
        <v>711.0</v>
      </c>
      <c r="C1454" s="2" t="s">
        <v>8</v>
      </c>
      <c r="D1454" s="2" t="s">
        <v>5</v>
      </c>
    </row>
    <row r="1455">
      <c r="A1455" s="1">
        <v>43331.433882199075</v>
      </c>
      <c r="B1455" s="2">
        <v>201.0</v>
      </c>
      <c r="C1455" s="2" t="s">
        <v>70</v>
      </c>
    </row>
    <row r="1456">
      <c r="A1456" s="1">
        <v>43331.434139386576</v>
      </c>
      <c r="B1456" s="2">
        <v>172.0</v>
      </c>
      <c r="C1456" s="2" t="s">
        <v>65</v>
      </c>
    </row>
    <row r="1457">
      <c r="A1457" s="1">
        <v>43331.434182268524</v>
      </c>
      <c r="B1457" s="2">
        <v>711.0</v>
      </c>
      <c r="C1457" s="2" t="s">
        <v>8</v>
      </c>
      <c r="D1457" s="2" t="s">
        <v>5</v>
      </c>
    </row>
    <row r="1458">
      <c r="A1458" s="1">
        <v>43331.43426541667</v>
      </c>
      <c r="B1458" s="3" t="s">
        <v>44</v>
      </c>
      <c r="C1458" s="2" t="s">
        <v>45</v>
      </c>
    </row>
    <row r="1459">
      <c r="A1459" s="1">
        <v>43331.43442706019</v>
      </c>
      <c r="B1459" s="2">
        <v>229.0</v>
      </c>
      <c r="C1459" s="2" t="s">
        <v>86</v>
      </c>
    </row>
    <row r="1460">
      <c r="A1460" s="1">
        <v>43331.43448459491</v>
      </c>
      <c r="B1460" s="2">
        <v>711.0</v>
      </c>
      <c r="C1460" s="2" t="s">
        <v>8</v>
      </c>
      <c r="D1460" s="2" t="s">
        <v>5</v>
      </c>
    </row>
    <row r="1461">
      <c r="A1461" s="1">
        <v>43331.43459417824</v>
      </c>
      <c r="B1461" s="2">
        <v>643.0</v>
      </c>
      <c r="C1461" s="2" t="s">
        <v>166</v>
      </c>
    </row>
    <row r="1462">
      <c r="A1462" s="1">
        <v>43331.43486168981</v>
      </c>
      <c r="B1462" s="3" t="s">
        <v>88</v>
      </c>
      <c r="C1462" s="2" t="s">
        <v>89</v>
      </c>
    </row>
    <row r="1463">
      <c r="A1463" s="1">
        <v>43331.43491577546</v>
      </c>
      <c r="B1463" s="2">
        <v>711.0</v>
      </c>
      <c r="C1463" s="2" t="s">
        <v>8</v>
      </c>
      <c r="D1463" s="2" t="s">
        <v>5</v>
      </c>
    </row>
    <row r="1464">
      <c r="A1464" s="1">
        <v>43331.43492280092</v>
      </c>
      <c r="B1464" s="3" t="s">
        <v>22</v>
      </c>
      <c r="C1464" s="2" t="s">
        <v>23</v>
      </c>
    </row>
    <row r="1465">
      <c r="A1465" s="1">
        <v>43331.43492990741</v>
      </c>
      <c r="B1465" s="3" t="s">
        <v>22</v>
      </c>
      <c r="C1465" s="2" t="s">
        <v>23</v>
      </c>
    </row>
    <row r="1466">
      <c r="A1466" s="1">
        <v>43331.43508793981</v>
      </c>
      <c r="B1466" s="3" t="s">
        <v>22</v>
      </c>
      <c r="C1466" s="2" t="s">
        <v>23</v>
      </c>
    </row>
    <row r="1467">
      <c r="A1467" s="1">
        <v>43331.43556960648</v>
      </c>
      <c r="B1467" s="2">
        <v>257.0</v>
      </c>
      <c r="C1467" s="2" t="s">
        <v>27</v>
      </c>
    </row>
    <row r="1468">
      <c r="A1468" s="1">
        <v>43331.43560550926</v>
      </c>
      <c r="B1468" s="2">
        <v>711.0</v>
      </c>
      <c r="C1468" s="2" t="s">
        <v>8</v>
      </c>
      <c r="D1468" s="2" t="s">
        <v>5</v>
      </c>
    </row>
    <row r="1469">
      <c r="A1469" s="1">
        <v>43331.43571603009</v>
      </c>
      <c r="B1469" s="3" t="s">
        <v>11</v>
      </c>
      <c r="C1469" s="2" t="s">
        <v>12</v>
      </c>
    </row>
    <row r="1470">
      <c r="A1470" s="1">
        <v>43331.43649663194</v>
      </c>
      <c r="B1470" s="2">
        <v>717.0</v>
      </c>
      <c r="C1470" s="2" t="s">
        <v>152</v>
      </c>
      <c r="D1470" s="2" t="s">
        <v>5</v>
      </c>
    </row>
    <row r="1471">
      <c r="A1471" s="1">
        <v>43331.43653204861</v>
      </c>
      <c r="B1471" s="2">
        <v>711.0</v>
      </c>
      <c r="C1471" s="2" t="s">
        <v>8</v>
      </c>
      <c r="D1471" s="2" t="s">
        <v>5</v>
      </c>
    </row>
    <row r="1472">
      <c r="A1472" s="1">
        <v>43331.436537326386</v>
      </c>
      <c r="B1472" s="2">
        <v>193.0</v>
      </c>
      <c r="C1472" s="2" t="s">
        <v>30</v>
      </c>
    </row>
    <row r="1473">
      <c r="A1473" s="1">
        <v>43331.436731458336</v>
      </c>
      <c r="B1473" s="2">
        <v>231.0</v>
      </c>
      <c r="C1473" s="2" t="s">
        <v>61</v>
      </c>
    </row>
    <row r="1474">
      <c r="A1474" s="1">
        <v>43331.43687297453</v>
      </c>
      <c r="B1474" s="2">
        <v>717.0</v>
      </c>
      <c r="C1474" s="2" t="s">
        <v>152</v>
      </c>
      <c r="D1474" s="2" t="s">
        <v>5</v>
      </c>
    </row>
    <row r="1475">
      <c r="A1475" s="1">
        <v>43331.43692787037</v>
      </c>
      <c r="B1475" s="2">
        <v>208.0</v>
      </c>
      <c r="C1475" s="2" t="s">
        <v>182</v>
      </c>
    </row>
    <row r="1476">
      <c r="A1476" s="1">
        <v>43331.43694351852</v>
      </c>
      <c r="B1476" s="2">
        <v>711.0</v>
      </c>
      <c r="C1476" s="2" t="s">
        <v>8</v>
      </c>
      <c r="D1476" s="2" t="s">
        <v>5</v>
      </c>
    </row>
    <row r="1477">
      <c r="A1477" s="1">
        <v>43331.437082766206</v>
      </c>
      <c r="B1477" s="2">
        <v>214.0</v>
      </c>
      <c r="C1477" s="2" t="s">
        <v>47</v>
      </c>
    </row>
    <row r="1478">
      <c r="A1478" s="1">
        <v>43331.43721605324</v>
      </c>
      <c r="B1478" s="2">
        <v>661.0</v>
      </c>
      <c r="C1478" s="2" t="s">
        <v>153</v>
      </c>
    </row>
    <row r="1479">
      <c r="A1479" s="1">
        <v>43331.43731273148</v>
      </c>
      <c r="B1479" s="2">
        <v>219.0</v>
      </c>
      <c r="C1479" s="2" t="s">
        <v>31</v>
      </c>
    </row>
    <row r="1480">
      <c r="A1480" s="1">
        <v>43331.43748790509</v>
      </c>
      <c r="B1480" s="2">
        <v>259.0</v>
      </c>
      <c r="C1480" s="2" t="s">
        <v>66</v>
      </c>
    </row>
    <row r="1481">
      <c r="A1481" s="1">
        <v>43331.437527256945</v>
      </c>
      <c r="B1481" s="2">
        <v>711.0</v>
      </c>
      <c r="C1481" s="2" t="s">
        <v>8</v>
      </c>
      <c r="D1481" s="2" t="s">
        <v>5</v>
      </c>
    </row>
    <row r="1482">
      <c r="A1482" s="1">
        <v>43331.43754912037</v>
      </c>
      <c r="B1482" s="2">
        <v>260.0</v>
      </c>
      <c r="C1482" s="2" t="s">
        <v>67</v>
      </c>
    </row>
    <row r="1483">
      <c r="A1483" s="1">
        <v>43331.43758774306</v>
      </c>
      <c r="B1483" s="2">
        <v>113.0</v>
      </c>
      <c r="C1483" s="2" t="s">
        <v>29</v>
      </c>
    </row>
    <row r="1484">
      <c r="A1484" s="1">
        <v>43331.43761620371</v>
      </c>
      <c r="B1484" s="2">
        <v>711.0</v>
      </c>
      <c r="C1484" s="2" t="s">
        <v>8</v>
      </c>
      <c r="D1484" s="2" t="s">
        <v>5</v>
      </c>
    </row>
    <row r="1485">
      <c r="A1485" s="1">
        <v>43331.43764582176</v>
      </c>
      <c r="B1485" s="2">
        <v>734.0</v>
      </c>
      <c r="C1485" s="2" t="s">
        <v>63</v>
      </c>
      <c r="D1485" s="2" t="s">
        <v>5</v>
      </c>
    </row>
    <row r="1486">
      <c r="A1486" s="1">
        <v>43331.43769289352</v>
      </c>
      <c r="B1486" s="3" t="s">
        <v>32</v>
      </c>
      <c r="C1486" s="2" t="s">
        <v>33</v>
      </c>
    </row>
    <row r="1487">
      <c r="A1487" s="1">
        <v>43331.43775871528</v>
      </c>
      <c r="B1487" s="2">
        <v>711.0</v>
      </c>
      <c r="C1487" s="2" t="s">
        <v>8</v>
      </c>
      <c r="D1487" s="2" t="s">
        <v>5</v>
      </c>
    </row>
    <row r="1488">
      <c r="A1488" s="1">
        <v>43331.437830173614</v>
      </c>
      <c r="B1488" s="3" t="s">
        <v>32</v>
      </c>
      <c r="C1488" s="2" t="s">
        <v>33</v>
      </c>
    </row>
    <row r="1489">
      <c r="A1489" s="1">
        <v>43331.4378831713</v>
      </c>
      <c r="B1489" s="2">
        <v>52.0</v>
      </c>
      <c r="C1489" s="2" t="s">
        <v>41</v>
      </c>
    </row>
    <row r="1490">
      <c r="A1490" s="1">
        <v>43331.43795939814</v>
      </c>
      <c r="B1490" s="2">
        <v>711.0</v>
      </c>
      <c r="C1490" s="2" t="s">
        <v>8</v>
      </c>
      <c r="D1490" s="2" t="s">
        <v>5</v>
      </c>
    </row>
    <row r="1491">
      <c r="A1491" s="1">
        <v>43331.43813819444</v>
      </c>
      <c r="B1491" s="2">
        <v>158.0</v>
      </c>
      <c r="C1491" s="2" t="s">
        <v>62</v>
      </c>
    </row>
    <row r="1492">
      <c r="A1492" s="1">
        <v>43331.43818179399</v>
      </c>
      <c r="B1492" s="2">
        <v>661.0</v>
      </c>
      <c r="C1492" s="2" t="s">
        <v>153</v>
      </c>
    </row>
    <row r="1493">
      <c r="A1493" s="1">
        <v>43331.43824024306</v>
      </c>
      <c r="B1493" s="2">
        <v>711.0</v>
      </c>
      <c r="C1493" s="2" t="s">
        <v>8</v>
      </c>
      <c r="D1493" s="2" t="s">
        <v>5</v>
      </c>
    </row>
    <row r="1494">
      <c r="A1494" s="1">
        <v>43331.43923123843</v>
      </c>
      <c r="B1494" s="2">
        <v>701.0</v>
      </c>
      <c r="C1494" s="2" t="s">
        <v>93</v>
      </c>
      <c r="D1494" s="2" t="s">
        <v>5</v>
      </c>
    </row>
    <row r="1495">
      <c r="A1495" s="1">
        <v>43331.43924678241</v>
      </c>
      <c r="B1495" s="2">
        <v>653.0</v>
      </c>
      <c r="C1495" s="2" t="s">
        <v>77</v>
      </c>
    </row>
    <row r="1496">
      <c r="A1496" s="1">
        <v>43331.439284699074</v>
      </c>
      <c r="B1496" s="2">
        <v>711.0</v>
      </c>
      <c r="C1496" s="2" t="s">
        <v>8</v>
      </c>
      <c r="D1496" s="2" t="s">
        <v>5</v>
      </c>
    </row>
    <row r="1497">
      <c r="A1497" s="1">
        <v>43331.4393989699</v>
      </c>
      <c r="B1497" s="2">
        <v>701.0</v>
      </c>
      <c r="C1497" s="2" t="s">
        <v>93</v>
      </c>
      <c r="D1497" s="2" t="s">
        <v>5</v>
      </c>
    </row>
    <row r="1498">
      <c r="A1498" s="1">
        <v>43331.43942692129</v>
      </c>
      <c r="B1498" s="2">
        <v>126.0</v>
      </c>
      <c r="C1498" s="2" t="s">
        <v>87</v>
      </c>
    </row>
    <row r="1499">
      <c r="A1499" s="1">
        <v>43331.439538182865</v>
      </c>
      <c r="B1499" s="3" t="s">
        <v>80</v>
      </c>
      <c r="C1499" s="2" t="s">
        <v>81</v>
      </c>
    </row>
    <row r="1500">
      <c r="A1500" s="1">
        <v>43331.4396429051</v>
      </c>
      <c r="B1500" s="2">
        <v>126.0</v>
      </c>
      <c r="C1500" s="2" t="s">
        <v>87</v>
      </c>
    </row>
    <row r="1501">
      <c r="A1501" s="1">
        <v>43331.44064402778</v>
      </c>
      <c r="B1501" s="3" t="s">
        <v>103</v>
      </c>
      <c r="C1501" s="2" t="s">
        <v>104</v>
      </c>
    </row>
    <row r="1502">
      <c r="A1502" s="1">
        <v>43331.440699189814</v>
      </c>
      <c r="B1502" s="2">
        <v>114.0</v>
      </c>
      <c r="C1502" s="2" t="s">
        <v>15</v>
      </c>
    </row>
    <row r="1503">
      <c r="A1503" s="1">
        <v>43331.44076537037</v>
      </c>
      <c r="B1503" s="3" t="s">
        <v>103</v>
      </c>
      <c r="C1503" s="2" t="s">
        <v>104</v>
      </c>
    </row>
    <row r="1504">
      <c r="A1504" s="1">
        <v>43331.44088167824</v>
      </c>
      <c r="B1504" s="2">
        <v>711.0</v>
      </c>
      <c r="C1504" s="2" t="s">
        <v>8</v>
      </c>
      <c r="D1504" s="2" t="s">
        <v>5</v>
      </c>
    </row>
    <row r="1505">
      <c r="A1505" s="1">
        <v>43331.440895312495</v>
      </c>
      <c r="B1505" s="2">
        <v>654.0</v>
      </c>
      <c r="C1505" s="2" t="s">
        <v>115</v>
      </c>
    </row>
    <row r="1506">
      <c r="A1506" s="1">
        <v>43331.44095037037</v>
      </c>
      <c r="B1506" s="2">
        <v>707.0</v>
      </c>
      <c r="C1506" s="2" t="s">
        <v>57</v>
      </c>
      <c r="D1506" s="2" t="s">
        <v>5</v>
      </c>
    </row>
    <row r="1507">
      <c r="A1507" s="1">
        <v>43331.440954537036</v>
      </c>
      <c r="B1507" s="3" t="s">
        <v>9</v>
      </c>
      <c r="C1507" s="2" t="s">
        <v>10</v>
      </c>
    </row>
    <row r="1508">
      <c r="A1508" s="1">
        <v>43331.44106225694</v>
      </c>
      <c r="B1508" s="3" t="s">
        <v>103</v>
      </c>
      <c r="C1508" s="2" t="s">
        <v>104</v>
      </c>
    </row>
    <row r="1509">
      <c r="A1509" s="1">
        <v>43331.44120693287</v>
      </c>
      <c r="B1509" s="2">
        <v>708.0</v>
      </c>
      <c r="C1509" s="2" t="s">
        <v>4</v>
      </c>
      <c r="D1509" s="2" t="s">
        <v>5</v>
      </c>
    </row>
    <row r="1510">
      <c r="A1510" s="1">
        <v>43331.441299143524</v>
      </c>
      <c r="B1510" s="2">
        <v>709.0</v>
      </c>
      <c r="C1510" s="2" t="s">
        <v>20</v>
      </c>
      <c r="D1510" s="2" t="s">
        <v>5</v>
      </c>
    </row>
    <row r="1511">
      <c r="A1511" s="1">
        <v>43331.44136591435</v>
      </c>
      <c r="B1511" s="2">
        <v>710.0</v>
      </c>
      <c r="C1511" s="2" t="s">
        <v>21</v>
      </c>
      <c r="D1511" s="2" t="s">
        <v>5</v>
      </c>
    </row>
    <row r="1512">
      <c r="A1512" s="1">
        <v>43331.44150806713</v>
      </c>
      <c r="B1512" s="3" t="s">
        <v>59</v>
      </c>
      <c r="C1512" s="2" t="s">
        <v>60</v>
      </c>
    </row>
    <row r="1513">
      <c r="A1513" s="1">
        <v>43331.441636550924</v>
      </c>
      <c r="B1513" s="2">
        <v>141.0</v>
      </c>
      <c r="C1513" s="2" t="s">
        <v>53</v>
      </c>
    </row>
    <row r="1514">
      <c r="A1514" s="1">
        <v>43331.44169015046</v>
      </c>
      <c r="B1514" s="2">
        <v>172.0</v>
      </c>
      <c r="C1514" s="2" t="s">
        <v>65</v>
      </c>
    </row>
    <row r="1515">
      <c r="A1515" s="1">
        <v>43331.44180263889</v>
      </c>
      <c r="B1515" s="2">
        <v>210.0</v>
      </c>
      <c r="C1515" s="2" t="s">
        <v>64</v>
      </c>
    </row>
    <row r="1516">
      <c r="A1516" s="1">
        <v>43331.44196956018</v>
      </c>
      <c r="B1516" s="2">
        <v>262.0</v>
      </c>
      <c r="C1516" s="2" t="s">
        <v>28</v>
      </c>
    </row>
    <row r="1517">
      <c r="A1517" s="1">
        <v>43331.441976076385</v>
      </c>
      <c r="B1517" s="3" t="s">
        <v>55</v>
      </c>
      <c r="C1517" s="2" t="s">
        <v>56</v>
      </c>
    </row>
    <row r="1518">
      <c r="A1518" s="1">
        <v>43331.44220644676</v>
      </c>
      <c r="B1518" s="2">
        <v>729.0</v>
      </c>
      <c r="C1518" s="2" t="s">
        <v>54</v>
      </c>
      <c r="D1518" s="2" t="s">
        <v>5</v>
      </c>
    </row>
    <row r="1519">
      <c r="A1519" s="1">
        <v>43331.442251932865</v>
      </c>
      <c r="B1519" s="3" t="s">
        <v>78</v>
      </c>
      <c r="C1519" s="2" t="s">
        <v>79</v>
      </c>
    </row>
    <row r="1520">
      <c r="A1520" s="1">
        <v>43331.44230175926</v>
      </c>
      <c r="B1520" s="3" t="s">
        <v>82</v>
      </c>
      <c r="C1520" s="2" t="s">
        <v>83</v>
      </c>
    </row>
    <row r="1521">
      <c r="A1521" s="1">
        <v>43331.44234222222</v>
      </c>
      <c r="B1521" s="2">
        <v>711.0</v>
      </c>
      <c r="C1521" s="2" t="s">
        <v>8</v>
      </c>
      <c r="D1521" s="2" t="s">
        <v>5</v>
      </c>
    </row>
    <row r="1522">
      <c r="A1522" s="1">
        <v>43331.44237247686</v>
      </c>
      <c r="B1522" s="2">
        <v>723.0</v>
      </c>
      <c r="C1522" s="2" t="s">
        <v>84</v>
      </c>
      <c r="D1522" s="2" t="s">
        <v>5</v>
      </c>
    </row>
    <row r="1523">
      <c r="A1523" s="1">
        <v>43331.44637513889</v>
      </c>
      <c r="B1523" s="2">
        <v>198.0</v>
      </c>
      <c r="C1523" s="2" t="s">
        <v>97</v>
      </c>
    </row>
    <row r="1524">
      <c r="A1524" s="1">
        <v>43331.44658726852</v>
      </c>
      <c r="B1524" s="2">
        <v>707.0</v>
      </c>
      <c r="C1524" s="2" t="s">
        <v>57</v>
      </c>
      <c r="D1524" s="2" t="s">
        <v>5</v>
      </c>
    </row>
    <row r="1525">
      <c r="A1525" s="1">
        <v>43331.44670768519</v>
      </c>
      <c r="B1525" s="2">
        <v>729.0</v>
      </c>
      <c r="C1525" s="2" t="s">
        <v>54</v>
      </c>
      <c r="D1525" s="2" t="s">
        <v>5</v>
      </c>
    </row>
    <row r="1526">
      <c r="A1526" s="1">
        <v>43331.446975983796</v>
      </c>
      <c r="B1526" s="3" t="s">
        <v>55</v>
      </c>
      <c r="C1526" s="2" t="s">
        <v>56</v>
      </c>
    </row>
    <row r="1527">
      <c r="A1527" s="1">
        <v>43331.44758561342</v>
      </c>
      <c r="B1527" s="3" t="s">
        <v>98</v>
      </c>
      <c r="C1527" s="2" t="s">
        <v>99</v>
      </c>
    </row>
    <row r="1528">
      <c r="A1528" s="1">
        <v>43331.447661365746</v>
      </c>
      <c r="B1528" s="2">
        <v>147.0</v>
      </c>
      <c r="C1528" s="2" t="s">
        <v>100</v>
      </c>
    </row>
    <row r="1529">
      <c r="A1529" s="1">
        <v>43331.447763310185</v>
      </c>
      <c r="B1529" s="2">
        <v>726.0</v>
      </c>
      <c r="C1529" s="2" t="s">
        <v>101</v>
      </c>
      <c r="D1529" s="2" t="s">
        <v>5</v>
      </c>
    </row>
    <row r="1530">
      <c r="A1530" s="1">
        <v>43331.44783730324</v>
      </c>
      <c r="B1530" s="2">
        <v>732.0</v>
      </c>
      <c r="C1530" s="2" t="s">
        <v>102</v>
      </c>
      <c r="D1530" s="2" t="s">
        <v>5</v>
      </c>
    </row>
    <row r="1531">
      <c r="A1531" s="1">
        <v>43331.448057581016</v>
      </c>
      <c r="B1531" s="2">
        <v>237.0</v>
      </c>
      <c r="C1531" s="2" t="s">
        <v>140</v>
      </c>
    </row>
    <row r="1532">
      <c r="A1532" s="1">
        <v>43331.44825976852</v>
      </c>
      <c r="B1532" s="2">
        <v>157.0</v>
      </c>
      <c r="C1532" s="2" t="s">
        <v>141</v>
      </c>
    </row>
    <row r="1533">
      <c r="A1533" s="1">
        <v>43331.448365856486</v>
      </c>
      <c r="B1533" s="2">
        <v>705.0</v>
      </c>
      <c r="C1533" s="2" t="s">
        <v>168</v>
      </c>
      <c r="D1533" s="2" t="s">
        <v>5</v>
      </c>
    </row>
    <row r="1534">
      <c r="A1534" s="1">
        <v>43331.44941648148</v>
      </c>
      <c r="B1534" s="2">
        <v>141.0</v>
      </c>
      <c r="C1534" s="2" t="s">
        <v>53</v>
      </c>
    </row>
    <row r="1535">
      <c r="A1535" s="1">
        <v>43331.45336219907</v>
      </c>
      <c r="B1535" s="2">
        <v>124.0</v>
      </c>
      <c r="C1535" s="2" t="s">
        <v>107</v>
      </c>
    </row>
    <row r="1536">
      <c r="A1536" s="1">
        <v>43331.45340445601</v>
      </c>
      <c r="B1536" s="2">
        <v>711.0</v>
      </c>
      <c r="C1536" s="2" t="s">
        <v>8</v>
      </c>
      <c r="D1536" s="2" t="s">
        <v>5</v>
      </c>
    </row>
    <row r="1537">
      <c r="A1537" s="1">
        <v>43331.453612048615</v>
      </c>
      <c r="B1537" s="3" t="s">
        <v>113</v>
      </c>
      <c r="C1537" s="2" t="s">
        <v>114</v>
      </c>
    </row>
    <row r="1538">
      <c r="A1538" s="1">
        <v>43331.45363645833</v>
      </c>
      <c r="B1538" s="2">
        <v>101.0</v>
      </c>
      <c r="C1538" s="2" t="s">
        <v>108</v>
      </c>
    </row>
    <row r="1539">
      <c r="A1539" s="1">
        <v>43331.453815671295</v>
      </c>
      <c r="B1539" s="2">
        <v>718.0</v>
      </c>
      <c r="C1539" s="2" t="s">
        <v>105</v>
      </c>
      <c r="D1539" s="2" t="s">
        <v>5</v>
      </c>
    </row>
    <row r="1540">
      <c r="A1540" s="1">
        <v>43331.45389671296</v>
      </c>
      <c r="B1540" s="2">
        <v>719.0</v>
      </c>
      <c r="C1540" s="2" t="s">
        <v>106</v>
      </c>
      <c r="D1540" s="2" t="s">
        <v>5</v>
      </c>
    </row>
    <row r="1541">
      <c r="A1541" s="1">
        <v>43331.455114930555</v>
      </c>
      <c r="B1541" s="2">
        <v>711.0</v>
      </c>
      <c r="C1541" s="2" t="s">
        <v>8</v>
      </c>
      <c r="D1541" s="2" t="s">
        <v>5</v>
      </c>
    </row>
    <row r="1542">
      <c r="A1542" s="1">
        <v>43331.45515101852</v>
      </c>
      <c r="B1542" s="2">
        <v>711.0</v>
      </c>
      <c r="C1542" s="2" t="s">
        <v>8</v>
      </c>
      <c r="D1542" s="2" t="s">
        <v>5</v>
      </c>
    </row>
    <row r="1543">
      <c r="A1543" s="1">
        <v>43331.45536486111</v>
      </c>
      <c r="B1543" s="2">
        <v>114.0</v>
      </c>
      <c r="C1543" s="2" t="s">
        <v>15</v>
      </c>
    </row>
    <row r="1544">
      <c r="A1544" s="1">
        <v>43331.45546253472</v>
      </c>
      <c r="B1544" s="2">
        <v>711.0</v>
      </c>
      <c r="C1544" s="2" t="s">
        <v>8</v>
      </c>
      <c r="D1544" s="2" t="s">
        <v>5</v>
      </c>
    </row>
    <row r="1545">
      <c r="A1545" s="1">
        <v>43331.45850125</v>
      </c>
      <c r="B1545" s="2">
        <v>215.0</v>
      </c>
      <c r="C1545" s="2" t="s">
        <v>137</v>
      </c>
    </row>
    <row r="1546">
      <c r="A1546" s="1">
        <v>43331.4585716088</v>
      </c>
      <c r="B1546" s="2">
        <v>711.0</v>
      </c>
      <c r="C1546" s="2" t="s">
        <v>8</v>
      </c>
      <c r="D1546" s="2" t="s">
        <v>5</v>
      </c>
    </row>
    <row r="1547">
      <c r="A1547" s="1">
        <v>43333.65277381944</v>
      </c>
      <c r="B1547" s="3" t="s">
        <v>119</v>
      </c>
      <c r="C1547" s="2" t="s">
        <v>120</v>
      </c>
    </row>
    <row r="1548">
      <c r="A1548" s="1">
        <v>43333.652894618055</v>
      </c>
      <c r="B1548" s="3" t="s">
        <v>117</v>
      </c>
      <c r="C1548" s="2" t="s">
        <v>118</v>
      </c>
    </row>
    <row r="1549">
      <c r="A1549" s="1">
        <v>43333.65301689815</v>
      </c>
      <c r="B1549" s="2">
        <v>713.0</v>
      </c>
      <c r="C1549" s="2" t="s">
        <v>121</v>
      </c>
      <c r="D1549" s="2" t="s">
        <v>5</v>
      </c>
    </row>
    <row r="1550">
      <c r="A1550" s="1">
        <v>43333.65309841435</v>
      </c>
      <c r="B1550" s="2">
        <v>714.0</v>
      </c>
      <c r="C1550" s="2" t="s">
        <v>122</v>
      </c>
      <c r="D1550" s="2" t="s">
        <v>5</v>
      </c>
    </row>
    <row r="1551">
      <c r="A1551" s="1">
        <v>43333.656144513894</v>
      </c>
      <c r="B1551" s="3" t="s">
        <v>51</v>
      </c>
      <c r="C1551" s="2" t="s">
        <v>52</v>
      </c>
    </row>
    <row r="1552">
      <c r="A1552" s="1">
        <v>43333.66242936342</v>
      </c>
      <c r="B1552" s="2">
        <v>611.0</v>
      </c>
      <c r="C1552" s="2" t="s">
        <v>143</v>
      </c>
    </row>
    <row r="1553">
      <c r="A1553" s="1">
        <v>43333.66313487268</v>
      </c>
      <c r="B1553" s="2">
        <v>656.0</v>
      </c>
      <c r="C1553" s="2" t="s">
        <v>144</v>
      </c>
    </row>
    <row r="1554">
      <c r="A1554" s="1">
        <v>43333.66334078704</v>
      </c>
      <c r="B1554" s="2">
        <v>662.0</v>
      </c>
      <c r="C1554" s="2" t="s">
        <v>18</v>
      </c>
    </row>
    <row r="1555">
      <c r="A1555" s="1">
        <v>43338.42050578704</v>
      </c>
      <c r="B1555" s="2">
        <v>238.0</v>
      </c>
      <c r="C1555" s="2" t="s">
        <v>35</v>
      </c>
    </row>
    <row r="1556">
      <c r="A1556" s="1">
        <v>43338.42060252315</v>
      </c>
      <c r="B1556" s="2">
        <v>711.0</v>
      </c>
      <c r="C1556" s="2" t="s">
        <v>8</v>
      </c>
      <c r="D1556" s="2" t="s">
        <v>5</v>
      </c>
    </row>
    <row r="1557">
      <c r="A1557" s="1">
        <v>43338.42207601852</v>
      </c>
      <c r="B1557" s="2">
        <v>189.0</v>
      </c>
      <c r="C1557" s="2" t="s">
        <v>128</v>
      </c>
    </row>
    <row r="1558">
      <c r="A1558" s="1">
        <v>43338.42252458334</v>
      </c>
      <c r="B1558" s="2">
        <v>735.0</v>
      </c>
      <c r="C1558" s="2" t="s">
        <v>37</v>
      </c>
      <c r="D1558" s="2" t="s">
        <v>5</v>
      </c>
    </row>
    <row r="1559">
      <c r="A1559" s="1">
        <v>43338.42261255787</v>
      </c>
      <c r="B1559" s="2">
        <v>711.0</v>
      </c>
      <c r="C1559" s="2" t="s">
        <v>8</v>
      </c>
      <c r="D1559" s="2" t="s">
        <v>5</v>
      </c>
    </row>
    <row r="1560">
      <c r="A1560" s="1">
        <v>43338.425318865746</v>
      </c>
      <c r="B1560" s="2">
        <v>716.0</v>
      </c>
      <c r="C1560" s="2" t="s">
        <v>123</v>
      </c>
      <c r="D1560" s="2" t="s">
        <v>5</v>
      </c>
    </row>
    <row r="1561">
      <c r="A1561" s="1">
        <v>43338.42536984954</v>
      </c>
      <c r="B1561" s="2">
        <v>711.0</v>
      </c>
      <c r="C1561" s="2" t="s">
        <v>8</v>
      </c>
      <c r="D1561" s="2" t="s">
        <v>5</v>
      </c>
    </row>
    <row r="1562">
      <c r="A1562" s="1">
        <v>43338.425490821755</v>
      </c>
      <c r="B1562" s="3" t="s">
        <v>11</v>
      </c>
      <c r="C1562" s="2" t="s">
        <v>12</v>
      </c>
    </row>
    <row r="1563">
      <c r="A1563" s="1">
        <v>43338.42558703704</v>
      </c>
      <c r="B1563" s="2">
        <v>711.0</v>
      </c>
      <c r="C1563" s="2" t="s">
        <v>8</v>
      </c>
      <c r="D1563" s="2" t="s">
        <v>5</v>
      </c>
    </row>
    <row r="1564">
      <c r="A1564" s="1">
        <v>43338.42595017361</v>
      </c>
      <c r="B1564" s="3" t="s">
        <v>126</v>
      </c>
      <c r="C1564" s="2" t="s">
        <v>127</v>
      </c>
    </row>
    <row r="1565">
      <c r="A1565" s="1">
        <v>43338.42619278935</v>
      </c>
      <c r="B1565" s="3" t="s">
        <v>51</v>
      </c>
      <c r="C1565" s="2" t="s">
        <v>52</v>
      </c>
    </row>
    <row r="1566">
      <c r="A1566" s="1">
        <v>43338.42623243056</v>
      </c>
      <c r="B1566" s="2">
        <v>711.0</v>
      </c>
      <c r="C1566" s="2" t="s">
        <v>8</v>
      </c>
      <c r="D1566" s="2" t="s">
        <v>5</v>
      </c>
    </row>
    <row r="1567">
      <c r="A1567" s="1">
        <v>43338.426539305554</v>
      </c>
      <c r="B1567" s="2">
        <v>244.0</v>
      </c>
      <c r="C1567" s="2" t="s">
        <v>38</v>
      </c>
    </row>
    <row r="1568">
      <c r="A1568" s="1">
        <v>43338.426598923616</v>
      </c>
      <c r="B1568" s="2">
        <v>711.0</v>
      </c>
      <c r="C1568" s="2" t="s">
        <v>8</v>
      </c>
      <c r="D1568" s="2" t="s">
        <v>5</v>
      </c>
    </row>
    <row r="1569">
      <c r="A1569" s="1">
        <v>43338.426832268524</v>
      </c>
      <c r="B1569" s="2">
        <v>193.0</v>
      </c>
      <c r="C1569" s="2" t="s">
        <v>30</v>
      </c>
    </row>
    <row r="1570">
      <c r="A1570" s="1">
        <v>43338.42688421297</v>
      </c>
      <c r="B1570" s="2">
        <v>711.0</v>
      </c>
      <c r="C1570" s="2" t="s">
        <v>8</v>
      </c>
      <c r="D1570" s="2" t="s">
        <v>5</v>
      </c>
    </row>
    <row r="1571">
      <c r="A1571" s="1">
        <v>43338.427017187496</v>
      </c>
      <c r="B1571" s="2">
        <v>207.0</v>
      </c>
      <c r="C1571" s="2" t="s">
        <v>85</v>
      </c>
    </row>
    <row r="1572">
      <c r="A1572" s="1">
        <v>43338.42705844907</v>
      </c>
      <c r="B1572" s="2">
        <v>711.0</v>
      </c>
      <c r="C1572" s="2" t="s">
        <v>8</v>
      </c>
      <c r="D1572" s="2" t="s">
        <v>5</v>
      </c>
    </row>
    <row r="1573">
      <c r="A1573" s="1">
        <v>43338.427222060185</v>
      </c>
      <c r="B1573" s="3" t="s">
        <v>48</v>
      </c>
      <c r="C1573" s="2" t="s">
        <v>49</v>
      </c>
    </row>
    <row r="1574">
      <c r="A1574" s="1">
        <v>43338.42725746528</v>
      </c>
      <c r="B1574" s="2">
        <v>711.0</v>
      </c>
      <c r="C1574" s="2" t="s">
        <v>8</v>
      </c>
      <c r="D1574" s="2" t="s">
        <v>5</v>
      </c>
    </row>
    <row r="1575">
      <c r="A1575" s="1">
        <v>43338.42739622685</v>
      </c>
      <c r="B1575" s="2">
        <v>173.0</v>
      </c>
      <c r="C1575" s="2" t="s">
        <v>24</v>
      </c>
    </row>
    <row r="1576">
      <c r="A1576" s="1">
        <v>43338.42758201389</v>
      </c>
      <c r="B1576" s="2">
        <v>711.0</v>
      </c>
      <c r="C1576" s="2" t="s">
        <v>8</v>
      </c>
      <c r="D1576" s="2" t="s">
        <v>5</v>
      </c>
    </row>
    <row r="1577">
      <c r="A1577" s="1">
        <v>43338.4276433912</v>
      </c>
      <c r="B1577" s="2">
        <v>219.0</v>
      </c>
      <c r="C1577" s="2" t="s">
        <v>31</v>
      </c>
    </row>
    <row r="1578">
      <c r="A1578" s="1">
        <v>43338.42782241898</v>
      </c>
      <c r="B1578" s="2">
        <v>613.0</v>
      </c>
      <c r="C1578" s="2" t="s">
        <v>124</v>
      </c>
    </row>
    <row r="1579">
      <c r="A1579" s="1">
        <v>43338.4278619213</v>
      </c>
      <c r="B1579" s="2">
        <v>711.0</v>
      </c>
      <c r="C1579" s="2" t="s">
        <v>8</v>
      </c>
      <c r="D1579" s="2" t="s">
        <v>5</v>
      </c>
    </row>
    <row r="1580">
      <c r="A1580" s="1">
        <v>43338.42794489583</v>
      </c>
      <c r="B1580" s="2">
        <v>175.0</v>
      </c>
      <c r="C1580" s="2" t="s">
        <v>69</v>
      </c>
    </row>
    <row r="1581">
      <c r="A1581" s="1">
        <v>43338.428009560186</v>
      </c>
      <c r="B1581" s="2">
        <v>711.0</v>
      </c>
      <c r="C1581" s="2" t="s">
        <v>8</v>
      </c>
      <c r="D1581" s="2" t="s">
        <v>5</v>
      </c>
    </row>
    <row r="1582">
      <c r="A1582" s="1">
        <v>43338.42810503472</v>
      </c>
      <c r="B1582" s="2">
        <v>214.0</v>
      </c>
      <c r="C1582" s="2" t="s">
        <v>47</v>
      </c>
    </row>
    <row r="1583">
      <c r="A1583" s="1">
        <v>43338.42814739583</v>
      </c>
      <c r="B1583" s="2">
        <v>711.0</v>
      </c>
      <c r="C1583" s="2" t="s">
        <v>8</v>
      </c>
      <c r="D1583" s="2" t="s">
        <v>5</v>
      </c>
    </row>
    <row r="1584">
      <c r="A1584" s="1">
        <v>43338.42844846065</v>
      </c>
      <c r="B1584" s="3" t="s">
        <v>162</v>
      </c>
      <c r="C1584" s="2" t="s">
        <v>163</v>
      </c>
    </row>
    <row r="1585">
      <c r="A1585" s="1">
        <v>43338.428488460646</v>
      </c>
      <c r="B1585" s="2">
        <v>711.0</v>
      </c>
      <c r="C1585" s="2" t="s">
        <v>8</v>
      </c>
      <c r="D1585" s="2" t="s">
        <v>5</v>
      </c>
    </row>
    <row r="1586">
      <c r="A1586" s="1">
        <v>43338.429311678236</v>
      </c>
      <c r="B1586" s="2">
        <v>603.0</v>
      </c>
      <c r="C1586" s="2" t="s">
        <v>40</v>
      </c>
    </row>
    <row r="1587">
      <c r="A1587" s="1">
        <v>43338.42935436343</v>
      </c>
      <c r="B1587" s="2">
        <v>711.0</v>
      </c>
      <c r="C1587" s="2" t="s">
        <v>8</v>
      </c>
      <c r="D1587" s="2" t="s">
        <v>5</v>
      </c>
    </row>
    <row r="1588">
      <c r="A1588" s="1">
        <v>43338.42940424768</v>
      </c>
      <c r="B1588" s="2">
        <v>214.0</v>
      </c>
      <c r="C1588" s="2" t="s">
        <v>47</v>
      </c>
    </row>
    <row r="1589">
      <c r="A1589" s="1">
        <v>43338.42950190972</v>
      </c>
      <c r="B1589" s="2">
        <v>167.0</v>
      </c>
      <c r="C1589" s="2" t="s">
        <v>39</v>
      </c>
    </row>
    <row r="1590">
      <c r="A1590" s="1">
        <v>43338.42953466435</v>
      </c>
      <c r="B1590" s="2">
        <v>711.0</v>
      </c>
      <c r="C1590" s="2" t="s">
        <v>8</v>
      </c>
      <c r="D1590" s="2" t="s">
        <v>5</v>
      </c>
    </row>
    <row r="1591">
      <c r="A1591" s="1">
        <v>43338.42961954861</v>
      </c>
      <c r="B1591" s="2">
        <v>113.0</v>
      </c>
      <c r="C1591" s="2" t="s">
        <v>29</v>
      </c>
    </row>
    <row r="1592">
      <c r="A1592" s="1">
        <v>43338.42972356481</v>
      </c>
      <c r="B1592" s="3" t="s">
        <v>32</v>
      </c>
      <c r="C1592" s="2" t="s">
        <v>33</v>
      </c>
    </row>
    <row r="1593">
      <c r="A1593" s="1">
        <v>43338.42987835648</v>
      </c>
      <c r="B1593" s="2">
        <v>165.0</v>
      </c>
      <c r="C1593" s="2" t="s">
        <v>50</v>
      </c>
    </row>
    <row r="1594">
      <c r="A1594" s="1">
        <v>43338.430351574076</v>
      </c>
      <c r="B1594" s="2">
        <v>229.0</v>
      </c>
      <c r="C1594" s="2" t="s">
        <v>86</v>
      </c>
    </row>
    <row r="1595">
      <c r="A1595" s="1">
        <v>43338.43038605324</v>
      </c>
      <c r="B1595" s="2">
        <v>711.0</v>
      </c>
      <c r="C1595" s="2" t="s">
        <v>8</v>
      </c>
      <c r="D1595" s="2" t="s">
        <v>5</v>
      </c>
    </row>
    <row r="1596">
      <c r="A1596" s="1">
        <v>43338.43167864584</v>
      </c>
      <c r="B1596" s="3" t="s">
        <v>22</v>
      </c>
      <c r="C1596" s="2" t="s">
        <v>23</v>
      </c>
    </row>
    <row r="1597">
      <c r="A1597" s="1">
        <v>43338.43175555556</v>
      </c>
      <c r="B1597" s="2">
        <v>711.0</v>
      </c>
      <c r="C1597" s="2" t="s">
        <v>8</v>
      </c>
      <c r="D1597" s="2" t="s">
        <v>5</v>
      </c>
    </row>
    <row r="1598">
      <c r="A1598" s="1">
        <v>43338.431823611114</v>
      </c>
      <c r="B1598" s="2">
        <v>627.0</v>
      </c>
      <c r="C1598" s="2" t="s">
        <v>134</v>
      </c>
    </row>
    <row r="1599">
      <c r="A1599" s="1">
        <v>43338.43188359954</v>
      </c>
      <c r="B1599" s="2">
        <v>711.0</v>
      </c>
      <c r="C1599" s="2" t="s">
        <v>8</v>
      </c>
      <c r="D1599" s="2" t="s">
        <v>5</v>
      </c>
    </row>
    <row r="1600">
      <c r="A1600" s="1">
        <v>43338.431934594904</v>
      </c>
      <c r="B1600" s="3" t="s">
        <v>78</v>
      </c>
      <c r="C1600" s="2" t="s">
        <v>79</v>
      </c>
    </row>
    <row r="1601">
      <c r="A1601" s="1">
        <v>43338.431968680554</v>
      </c>
      <c r="B1601" s="2">
        <v>711.0</v>
      </c>
      <c r="C1601" s="2" t="s">
        <v>8</v>
      </c>
      <c r="D1601" s="2" t="s">
        <v>5</v>
      </c>
    </row>
    <row r="1602">
      <c r="A1602" s="1">
        <v>43338.43200929398</v>
      </c>
      <c r="B1602" s="3" t="s">
        <v>82</v>
      </c>
      <c r="C1602" s="2" t="s">
        <v>83</v>
      </c>
    </row>
    <row r="1603">
      <c r="A1603" s="1">
        <v>43338.43204142361</v>
      </c>
      <c r="B1603" s="2">
        <v>711.0</v>
      </c>
      <c r="C1603" s="2" t="s">
        <v>8</v>
      </c>
      <c r="D1603" s="2" t="s">
        <v>5</v>
      </c>
    </row>
    <row r="1604">
      <c r="A1604" s="1">
        <v>43338.4322631713</v>
      </c>
      <c r="B1604" s="2">
        <v>723.0</v>
      </c>
      <c r="C1604" s="2" t="s">
        <v>84</v>
      </c>
      <c r="D1604" s="2" t="s">
        <v>5</v>
      </c>
    </row>
    <row r="1605">
      <c r="A1605" s="1">
        <v>43338.43232836806</v>
      </c>
      <c r="B1605" s="2">
        <v>711.0</v>
      </c>
      <c r="C1605" s="2" t="s">
        <v>8</v>
      </c>
      <c r="D1605" s="2" t="s">
        <v>5</v>
      </c>
    </row>
    <row r="1606">
      <c r="A1606" s="1">
        <v>43338.43277983797</v>
      </c>
      <c r="B1606" s="2">
        <v>661.0</v>
      </c>
      <c r="C1606" s="2" t="s">
        <v>153</v>
      </c>
    </row>
    <row r="1607">
      <c r="A1607" s="1">
        <v>43338.43330074074</v>
      </c>
      <c r="B1607" s="2">
        <v>711.0</v>
      </c>
      <c r="C1607" s="2" t="s">
        <v>8</v>
      </c>
      <c r="D1607" s="2" t="s">
        <v>5</v>
      </c>
    </row>
    <row r="1608">
      <c r="A1608" s="1">
        <v>43338.43337763889</v>
      </c>
      <c r="B1608" s="3" t="s">
        <v>98</v>
      </c>
      <c r="C1608" s="2" t="s">
        <v>99</v>
      </c>
    </row>
    <row r="1609">
      <c r="A1609" s="1">
        <v>43338.433411446764</v>
      </c>
      <c r="B1609" s="2">
        <v>711.0</v>
      </c>
      <c r="C1609" s="2" t="s">
        <v>8</v>
      </c>
      <c r="D1609" s="2" t="s">
        <v>5</v>
      </c>
    </row>
    <row r="1610">
      <c r="A1610" s="1">
        <v>43338.4334680787</v>
      </c>
      <c r="B1610" s="2">
        <v>147.0</v>
      </c>
      <c r="C1610" s="2" t="s">
        <v>100</v>
      </c>
    </row>
    <row r="1611">
      <c r="A1611" s="1">
        <v>43338.43350461806</v>
      </c>
      <c r="B1611" s="2">
        <v>711.0</v>
      </c>
      <c r="C1611" s="2" t="s">
        <v>8</v>
      </c>
      <c r="D1611" s="2" t="s">
        <v>5</v>
      </c>
    </row>
    <row r="1612">
      <c r="A1612" s="1">
        <v>43338.43359868055</v>
      </c>
      <c r="B1612" s="2">
        <v>726.0</v>
      </c>
      <c r="C1612" s="2" t="s">
        <v>101</v>
      </c>
      <c r="D1612" s="2" t="s">
        <v>5</v>
      </c>
    </row>
    <row r="1613">
      <c r="A1613" s="1">
        <v>43338.43362993056</v>
      </c>
      <c r="B1613" s="2">
        <v>262.0</v>
      </c>
      <c r="C1613" s="2" t="s">
        <v>28</v>
      </c>
    </row>
    <row r="1614">
      <c r="A1614" s="1">
        <v>43338.433639166666</v>
      </c>
      <c r="B1614" s="2">
        <v>711.0</v>
      </c>
      <c r="C1614" s="2" t="s">
        <v>8</v>
      </c>
      <c r="D1614" s="2" t="s">
        <v>5</v>
      </c>
    </row>
    <row r="1615">
      <c r="A1615" s="1">
        <v>43338.43376681713</v>
      </c>
      <c r="B1615" s="2">
        <v>732.0</v>
      </c>
      <c r="C1615" s="2" t="s">
        <v>102</v>
      </c>
      <c r="D1615" s="2" t="s">
        <v>5</v>
      </c>
    </row>
    <row r="1616">
      <c r="A1616" s="1">
        <v>43338.4338072338</v>
      </c>
      <c r="B1616" s="2">
        <v>711.0</v>
      </c>
      <c r="C1616" s="2" t="s">
        <v>8</v>
      </c>
      <c r="D1616" s="2" t="s">
        <v>5</v>
      </c>
    </row>
    <row r="1617">
      <c r="A1617" s="1">
        <v>43338.43385369213</v>
      </c>
      <c r="B1617" s="2">
        <v>607.0</v>
      </c>
      <c r="C1617" s="2" t="s">
        <v>68</v>
      </c>
    </row>
    <row r="1618">
      <c r="A1618" s="1">
        <v>43338.43394430555</v>
      </c>
      <c r="B1618" s="3" t="s">
        <v>80</v>
      </c>
      <c r="C1618" s="2" t="s">
        <v>81</v>
      </c>
    </row>
    <row r="1619">
      <c r="A1619" s="1">
        <v>43338.43398074074</v>
      </c>
      <c r="B1619" s="2">
        <v>711.0</v>
      </c>
      <c r="C1619" s="2" t="s">
        <v>8</v>
      </c>
      <c r="D1619" s="2" t="s">
        <v>5</v>
      </c>
    </row>
    <row r="1620">
      <c r="A1620" s="1">
        <v>43338.434113599535</v>
      </c>
      <c r="B1620" s="3" t="s">
        <v>88</v>
      </c>
      <c r="C1620" s="2" t="s">
        <v>89</v>
      </c>
    </row>
    <row r="1621">
      <c r="A1621" s="1">
        <v>43338.43415262732</v>
      </c>
      <c r="B1621" s="2">
        <v>711.0</v>
      </c>
      <c r="C1621" s="2" t="s">
        <v>8</v>
      </c>
      <c r="D1621" s="2" t="s">
        <v>5</v>
      </c>
    </row>
    <row r="1622">
      <c r="A1622" s="1">
        <v>43338.43456841435</v>
      </c>
      <c r="B1622" s="3" t="s">
        <v>44</v>
      </c>
      <c r="C1622" s="2" t="s">
        <v>45</v>
      </c>
    </row>
    <row r="1623">
      <c r="A1623" s="1">
        <v>43338.43474762731</v>
      </c>
      <c r="B1623" s="2">
        <v>711.0</v>
      </c>
      <c r="C1623" s="2" t="s">
        <v>8</v>
      </c>
      <c r="D1623" s="2" t="s">
        <v>5</v>
      </c>
    </row>
    <row r="1624">
      <c r="A1624" s="1">
        <v>43338.43584287037</v>
      </c>
      <c r="B1624" s="2">
        <v>158.0</v>
      </c>
      <c r="C1624" s="2" t="s">
        <v>62</v>
      </c>
    </row>
    <row r="1625">
      <c r="A1625" s="1">
        <v>43338.43590106482</v>
      </c>
      <c r="B1625" s="2">
        <v>711.0</v>
      </c>
      <c r="C1625" s="2" t="s">
        <v>8</v>
      </c>
      <c r="D1625" s="2" t="s">
        <v>5</v>
      </c>
    </row>
    <row r="1626">
      <c r="A1626" s="1">
        <v>43338.43591861111</v>
      </c>
      <c r="B1626" s="2">
        <v>611.0</v>
      </c>
      <c r="C1626" s="2" t="s">
        <v>143</v>
      </c>
    </row>
    <row r="1627">
      <c r="A1627" s="1">
        <v>43338.43600785879</v>
      </c>
      <c r="B1627" s="2">
        <v>52.0</v>
      </c>
      <c r="C1627" s="2" t="s">
        <v>41</v>
      </c>
    </row>
    <row r="1628">
      <c r="A1628" s="1">
        <v>43338.43606074074</v>
      </c>
      <c r="B1628" s="2">
        <v>711.0</v>
      </c>
      <c r="C1628" s="2" t="s">
        <v>8</v>
      </c>
      <c r="D1628" s="2" t="s">
        <v>5</v>
      </c>
    </row>
    <row r="1629">
      <c r="A1629" s="1">
        <v>43338.43660862268</v>
      </c>
      <c r="B1629" s="2">
        <v>653.0</v>
      </c>
      <c r="C1629" s="2" t="s">
        <v>77</v>
      </c>
    </row>
    <row r="1630">
      <c r="A1630" s="1">
        <v>43338.436646076385</v>
      </c>
      <c r="B1630" s="2">
        <v>711.0</v>
      </c>
      <c r="C1630" s="2" t="s">
        <v>8</v>
      </c>
      <c r="D1630" s="2" t="s">
        <v>5</v>
      </c>
    </row>
    <row r="1631">
      <c r="A1631" s="1">
        <v>43338.43673277777</v>
      </c>
      <c r="B1631" s="2">
        <v>231.0</v>
      </c>
      <c r="C1631" s="2" t="s">
        <v>61</v>
      </c>
    </row>
    <row r="1632">
      <c r="A1632" s="1">
        <v>43338.436764259255</v>
      </c>
      <c r="B1632" s="2">
        <v>711.0</v>
      </c>
      <c r="C1632" s="2" t="s">
        <v>8</v>
      </c>
      <c r="D1632" s="2" t="s">
        <v>5</v>
      </c>
    </row>
    <row r="1633">
      <c r="A1633" s="1">
        <v>43338.437013483795</v>
      </c>
      <c r="B1633" s="2">
        <v>602.0</v>
      </c>
      <c r="C1633" s="2" t="s">
        <v>131</v>
      </c>
    </row>
    <row r="1634">
      <c r="A1634" s="1">
        <v>43338.43705515046</v>
      </c>
      <c r="B1634" s="2">
        <v>711.0</v>
      </c>
      <c r="C1634" s="2" t="s">
        <v>8</v>
      </c>
      <c r="D1634" s="2" t="s">
        <v>5</v>
      </c>
    </row>
    <row r="1635">
      <c r="A1635" s="1">
        <v>43338.43799723379</v>
      </c>
      <c r="B1635" s="2">
        <v>604.0</v>
      </c>
      <c r="C1635" s="2" t="s">
        <v>36</v>
      </c>
    </row>
    <row r="1636">
      <c r="A1636" s="1">
        <v>43338.43802755787</v>
      </c>
      <c r="B1636" s="2">
        <v>711.0</v>
      </c>
      <c r="C1636" s="2" t="s">
        <v>8</v>
      </c>
      <c r="D1636" s="2" t="s">
        <v>5</v>
      </c>
    </row>
    <row r="1637">
      <c r="A1637" s="1">
        <v>43338.439709108796</v>
      </c>
      <c r="B1637" s="2">
        <v>734.0</v>
      </c>
      <c r="C1637" s="2" t="s">
        <v>63</v>
      </c>
      <c r="D1637" s="2" t="s">
        <v>5</v>
      </c>
    </row>
    <row r="1638">
      <c r="A1638" s="1">
        <v>43338.43974966435</v>
      </c>
      <c r="B1638" s="2">
        <v>711.0</v>
      </c>
      <c r="C1638" s="2" t="s">
        <v>8</v>
      </c>
      <c r="D1638" s="2" t="s">
        <v>5</v>
      </c>
    </row>
    <row r="1639">
      <c r="A1639" s="1">
        <v>43338.439822534725</v>
      </c>
      <c r="B1639" s="2">
        <v>259.0</v>
      </c>
      <c r="C1639" s="2" t="s">
        <v>66</v>
      </c>
    </row>
    <row r="1640">
      <c r="A1640" s="1">
        <v>43338.439854490745</v>
      </c>
      <c r="B1640" s="2">
        <v>711.0</v>
      </c>
      <c r="C1640" s="2" t="s">
        <v>8</v>
      </c>
      <c r="D1640" s="2" t="s">
        <v>5</v>
      </c>
    </row>
    <row r="1641">
      <c r="A1641" s="1">
        <v>43338.43989552083</v>
      </c>
      <c r="B1641" s="2">
        <v>260.0</v>
      </c>
      <c r="C1641" s="2" t="s">
        <v>67</v>
      </c>
    </row>
    <row r="1642">
      <c r="A1642" s="1">
        <v>43338.43993638889</v>
      </c>
      <c r="B1642" s="2">
        <v>711.0</v>
      </c>
      <c r="C1642" s="2" t="s">
        <v>8</v>
      </c>
      <c r="D1642" s="2" t="s">
        <v>5</v>
      </c>
    </row>
    <row r="1643">
      <c r="A1643" s="1">
        <v>43338.443254259255</v>
      </c>
      <c r="B1643" s="3" t="s">
        <v>111</v>
      </c>
      <c r="C1643" s="2" t="s">
        <v>112</v>
      </c>
    </row>
    <row r="1644">
      <c r="A1644" s="1">
        <v>43338.44329412037</v>
      </c>
      <c r="B1644" s="2">
        <v>711.0</v>
      </c>
      <c r="C1644" s="2" t="s">
        <v>8</v>
      </c>
      <c r="D1644" s="2" t="s">
        <v>5</v>
      </c>
    </row>
    <row r="1645">
      <c r="A1645" s="1">
        <v>43338.44622295139</v>
      </c>
      <c r="B1645" s="2">
        <v>663.0</v>
      </c>
      <c r="C1645" s="2" t="s">
        <v>109</v>
      </c>
    </row>
    <row r="1646">
      <c r="A1646" s="1">
        <v>43338.4462866088</v>
      </c>
      <c r="B1646" s="2">
        <v>733.0</v>
      </c>
      <c r="C1646" s="2" t="s">
        <v>110</v>
      </c>
      <c r="D1646" s="2" t="s">
        <v>5</v>
      </c>
    </row>
    <row r="1647">
      <c r="A1647" s="1">
        <v>43338.44688940972</v>
      </c>
      <c r="B1647" s="2">
        <v>124.0</v>
      </c>
      <c r="C1647" s="2" t="s">
        <v>107</v>
      </c>
    </row>
    <row r="1648">
      <c r="A1648" s="1">
        <v>43338.44693046296</v>
      </c>
      <c r="B1648" s="2">
        <v>711.0</v>
      </c>
      <c r="C1648" s="2" t="s">
        <v>8</v>
      </c>
      <c r="D1648" s="2" t="s">
        <v>5</v>
      </c>
    </row>
    <row r="1649">
      <c r="A1649" s="1">
        <v>43338.44724671297</v>
      </c>
      <c r="B1649" s="3" t="s">
        <v>13</v>
      </c>
      <c r="C1649" s="2" t="s">
        <v>14</v>
      </c>
    </row>
    <row r="1650">
      <c r="A1650" s="1">
        <v>43338.45127539352</v>
      </c>
      <c r="B1650" s="2">
        <v>719.0</v>
      </c>
      <c r="C1650" s="2" t="s">
        <v>106</v>
      </c>
      <c r="D1650" s="2" t="s">
        <v>5</v>
      </c>
    </row>
    <row r="1651">
      <c r="A1651" s="1">
        <v>43338.45155196759</v>
      </c>
      <c r="B1651" s="2">
        <v>719.0</v>
      </c>
      <c r="C1651" s="2" t="s">
        <v>106</v>
      </c>
      <c r="D1651" s="2" t="s">
        <v>5</v>
      </c>
    </row>
    <row r="1652">
      <c r="A1652" s="1">
        <v>43338.45158519676</v>
      </c>
      <c r="B1652" s="2">
        <v>711.0</v>
      </c>
      <c r="C1652" s="2" t="s">
        <v>8</v>
      </c>
      <c r="D1652" s="2" t="s">
        <v>5</v>
      </c>
    </row>
    <row r="1653">
      <c r="A1653" s="1">
        <v>43338.451651724536</v>
      </c>
      <c r="B1653" s="2">
        <v>101.0</v>
      </c>
      <c r="C1653" s="2" t="s">
        <v>108</v>
      </c>
    </row>
    <row r="1654">
      <c r="A1654" s="1">
        <v>43338.45173114583</v>
      </c>
      <c r="B1654" s="2">
        <v>711.0</v>
      </c>
      <c r="C1654" s="2" t="s">
        <v>8</v>
      </c>
      <c r="D1654" s="2" t="s">
        <v>5</v>
      </c>
    </row>
    <row r="1655">
      <c r="A1655" s="1">
        <v>43338.45694872685</v>
      </c>
      <c r="B1655" s="2">
        <v>214.0</v>
      </c>
      <c r="C1655" s="2" t="s">
        <v>47</v>
      </c>
    </row>
    <row r="1656">
      <c r="A1656" s="1">
        <v>43338.46708040509</v>
      </c>
      <c r="B1656" s="2">
        <v>214.0</v>
      </c>
      <c r="C1656" s="2" t="s">
        <v>47</v>
      </c>
    </row>
    <row r="1657">
      <c r="A1657" s="1">
        <v>43338.46717675926</v>
      </c>
      <c r="B1657" s="2">
        <v>214.0</v>
      </c>
      <c r="C1657" s="2" t="s">
        <v>47</v>
      </c>
    </row>
    <row r="1658">
      <c r="A1658" s="1">
        <v>43340.999117581014</v>
      </c>
      <c r="B1658" s="3" t="s">
        <v>159</v>
      </c>
      <c r="C1658" s="2" t="s">
        <v>160</v>
      </c>
    </row>
    <row r="1659">
      <c r="A1659" s="1">
        <v>43341.00107403935</v>
      </c>
      <c r="B1659" s="3" t="s">
        <v>180</v>
      </c>
      <c r="C1659" s="2" t="s">
        <v>181</v>
      </c>
    </row>
    <row r="1660">
      <c r="A1660" s="1">
        <v>43341.00285484953</v>
      </c>
      <c r="B1660" s="3" t="s">
        <v>113</v>
      </c>
      <c r="C1660" s="2" t="s">
        <v>114</v>
      </c>
    </row>
    <row r="1661">
      <c r="A1661" s="1">
        <v>43341.003452164354</v>
      </c>
      <c r="B1661" s="2">
        <v>114.0</v>
      </c>
      <c r="C1661" s="2" t="s">
        <v>15</v>
      </c>
    </row>
    <row r="1662">
      <c r="A1662" s="1">
        <v>43341.005211724536</v>
      </c>
      <c r="B1662" s="2">
        <v>208.0</v>
      </c>
      <c r="C1662" s="2" t="s">
        <v>182</v>
      </c>
    </row>
    <row r="1663">
      <c r="A1663" s="1">
        <v>43341.00653452546</v>
      </c>
      <c r="B1663" s="2">
        <v>246.0</v>
      </c>
      <c r="C1663" s="2" t="s">
        <v>26</v>
      </c>
    </row>
    <row r="1664">
      <c r="A1664" s="1">
        <v>43341.007869050925</v>
      </c>
      <c r="B1664" s="2">
        <v>614.0</v>
      </c>
      <c r="C1664" s="2" t="s">
        <v>76</v>
      </c>
    </row>
    <row r="1665">
      <c r="A1665" s="1">
        <v>43341.00890482639</v>
      </c>
      <c r="B1665" s="2">
        <v>631.0</v>
      </c>
      <c r="C1665" s="2" t="s">
        <v>178</v>
      </c>
    </row>
    <row r="1666">
      <c r="A1666" s="1">
        <v>43341.00909655093</v>
      </c>
      <c r="B1666" s="2">
        <v>738.0</v>
      </c>
      <c r="C1666" s="2" t="s">
        <v>161</v>
      </c>
    </row>
    <row r="1667">
      <c r="A1667" s="1">
        <v>43341.009778287036</v>
      </c>
      <c r="B1667" s="2">
        <v>654.0</v>
      </c>
      <c r="C1667" s="2" t="s">
        <v>115</v>
      </c>
    </row>
    <row r="1668">
      <c r="A1668" s="1">
        <v>43341.00995612268</v>
      </c>
      <c r="B1668" s="2">
        <v>655.0</v>
      </c>
      <c r="C1668" s="2" t="s">
        <v>17</v>
      </c>
    </row>
    <row r="1669">
      <c r="A1669" s="1">
        <v>43341.01094518519</v>
      </c>
      <c r="B1669" s="2">
        <v>718.0</v>
      </c>
      <c r="C1669" s="2" t="s">
        <v>105</v>
      </c>
      <c r="D1669" s="2" t="s">
        <v>5</v>
      </c>
    </row>
    <row r="1670">
      <c r="A1670" s="1">
        <v>43341.011246145834</v>
      </c>
      <c r="B1670" s="2">
        <v>722.0</v>
      </c>
      <c r="C1670" s="2" t="s">
        <v>25</v>
      </c>
      <c r="D1670" s="2" t="s">
        <v>5</v>
      </c>
    </row>
    <row r="1671">
      <c r="A1671" s="1">
        <v>43345.409109224536</v>
      </c>
      <c r="B1671" s="2">
        <v>246.0</v>
      </c>
      <c r="C1671" s="2" t="s">
        <v>26</v>
      </c>
    </row>
    <row r="1672">
      <c r="A1672" s="1">
        <v>43345.41133258102</v>
      </c>
      <c r="B1672" s="3" t="s">
        <v>78</v>
      </c>
      <c r="C1672" s="2" t="s">
        <v>79</v>
      </c>
    </row>
    <row r="1673">
      <c r="A1673" s="1">
        <v>43345.41139925926</v>
      </c>
      <c r="B1673" s="2">
        <v>723.0</v>
      </c>
      <c r="C1673" s="2" t="s">
        <v>84</v>
      </c>
      <c r="D1673" s="2" t="s">
        <v>5</v>
      </c>
    </row>
    <row r="1674">
      <c r="A1674" s="1">
        <v>43345.411477534726</v>
      </c>
      <c r="B1674" s="3" t="s">
        <v>82</v>
      </c>
      <c r="C1674" s="2" t="s">
        <v>83</v>
      </c>
    </row>
    <row r="1675">
      <c r="A1675" s="1">
        <v>43345.41397403935</v>
      </c>
      <c r="B1675" s="3" t="s">
        <v>88</v>
      </c>
      <c r="C1675" s="2" t="s">
        <v>89</v>
      </c>
    </row>
    <row r="1676">
      <c r="A1676" s="1">
        <v>43345.41400708334</v>
      </c>
      <c r="B1676" s="3" t="s">
        <v>88</v>
      </c>
      <c r="C1676" s="2" t="s">
        <v>89</v>
      </c>
    </row>
    <row r="1677">
      <c r="A1677" s="1">
        <v>43345.41505388889</v>
      </c>
      <c r="B1677" s="2">
        <v>602.0</v>
      </c>
      <c r="C1677" s="2" t="s">
        <v>131</v>
      </c>
    </row>
    <row r="1678">
      <c r="A1678" s="1">
        <v>43345.419062789355</v>
      </c>
      <c r="B1678" s="2">
        <v>175.0</v>
      </c>
      <c r="C1678" s="2" t="s">
        <v>69</v>
      </c>
    </row>
    <row r="1679">
      <c r="A1679" s="1">
        <v>43345.41924342593</v>
      </c>
      <c r="B1679" s="2">
        <v>607.0</v>
      </c>
      <c r="C1679" s="2" t="s">
        <v>68</v>
      </c>
    </row>
    <row r="1680">
      <c r="A1680" s="1">
        <v>43345.419631701385</v>
      </c>
      <c r="B1680" s="2">
        <v>202.0</v>
      </c>
      <c r="C1680" s="2" t="s">
        <v>130</v>
      </c>
    </row>
    <row r="1681">
      <c r="A1681" s="1">
        <v>43345.42262900463</v>
      </c>
      <c r="B1681" s="3" t="s">
        <v>80</v>
      </c>
      <c r="C1681" s="2" t="s">
        <v>81</v>
      </c>
    </row>
    <row r="1682">
      <c r="A1682" s="1">
        <v>43345.42269719907</v>
      </c>
      <c r="B1682" s="2">
        <v>711.0</v>
      </c>
      <c r="C1682" s="2" t="s">
        <v>8</v>
      </c>
      <c r="D1682" s="2" t="s">
        <v>5</v>
      </c>
    </row>
    <row r="1683">
      <c r="A1683" s="1">
        <v>43345.42282447917</v>
      </c>
      <c r="B1683" s="2">
        <v>165.0</v>
      </c>
      <c r="C1683" s="2" t="s">
        <v>50</v>
      </c>
    </row>
    <row r="1684">
      <c r="A1684" s="1">
        <v>43345.422913518516</v>
      </c>
      <c r="B1684" s="2">
        <v>711.0</v>
      </c>
      <c r="C1684" s="2" t="s">
        <v>8</v>
      </c>
      <c r="D1684" s="2" t="s">
        <v>5</v>
      </c>
    </row>
    <row r="1685">
      <c r="A1685" s="1">
        <v>43345.422968391205</v>
      </c>
      <c r="B1685" s="2">
        <v>722.0</v>
      </c>
      <c r="C1685" s="2" t="s">
        <v>25</v>
      </c>
      <c r="D1685" s="2" t="s">
        <v>5</v>
      </c>
    </row>
    <row r="1686">
      <c r="A1686" s="1">
        <v>43345.42305675926</v>
      </c>
      <c r="B1686" s="2">
        <v>711.0</v>
      </c>
      <c r="C1686" s="2" t="s">
        <v>8</v>
      </c>
      <c r="D1686" s="2" t="s">
        <v>5</v>
      </c>
    </row>
    <row r="1687">
      <c r="A1687" s="1">
        <v>43345.423124479166</v>
      </c>
      <c r="B1687" s="3" t="s">
        <v>88</v>
      </c>
      <c r="C1687" s="2" t="s">
        <v>89</v>
      </c>
    </row>
    <row r="1688">
      <c r="A1688" s="1">
        <v>43345.42317952546</v>
      </c>
      <c r="B1688" s="2">
        <v>711.0</v>
      </c>
      <c r="C1688" s="2" t="s">
        <v>8</v>
      </c>
      <c r="D1688" s="2" t="s">
        <v>5</v>
      </c>
    </row>
    <row r="1689">
      <c r="A1689" s="1">
        <v>43345.42343239584</v>
      </c>
      <c r="B1689" s="2">
        <v>262.0</v>
      </c>
      <c r="C1689" s="2" t="s">
        <v>28</v>
      </c>
    </row>
    <row r="1690">
      <c r="A1690" s="1">
        <v>43345.42352182871</v>
      </c>
      <c r="B1690" s="2">
        <v>711.0</v>
      </c>
      <c r="C1690" s="2" t="s">
        <v>8</v>
      </c>
      <c r="D1690" s="2" t="s">
        <v>5</v>
      </c>
    </row>
    <row r="1691">
      <c r="A1691" s="1">
        <v>43345.42375761574</v>
      </c>
      <c r="B1691" s="2">
        <v>735.0</v>
      </c>
      <c r="C1691" s="2" t="s">
        <v>37</v>
      </c>
      <c r="D1691" s="2" t="s">
        <v>5</v>
      </c>
    </row>
    <row r="1692">
      <c r="A1692" s="1">
        <v>43345.4238246875</v>
      </c>
      <c r="B1692" s="2">
        <v>711.0</v>
      </c>
      <c r="C1692" s="2" t="s">
        <v>8</v>
      </c>
      <c r="D1692" s="2" t="s">
        <v>5</v>
      </c>
    </row>
    <row r="1693">
      <c r="A1693" s="1">
        <v>43345.4240574537</v>
      </c>
      <c r="B1693" s="3" t="s">
        <v>22</v>
      </c>
      <c r="C1693" s="2" t="s">
        <v>23</v>
      </c>
    </row>
    <row r="1694">
      <c r="A1694" s="1">
        <v>43345.4241312963</v>
      </c>
      <c r="B1694" s="3" t="s">
        <v>22</v>
      </c>
      <c r="C1694" s="2" t="s">
        <v>23</v>
      </c>
    </row>
    <row r="1695">
      <c r="A1695" s="1">
        <v>43345.424691203705</v>
      </c>
      <c r="B1695" s="3" t="s">
        <v>126</v>
      </c>
      <c r="C1695" s="2" t="s">
        <v>127</v>
      </c>
    </row>
    <row r="1696">
      <c r="A1696" s="1">
        <v>43345.42473780093</v>
      </c>
      <c r="B1696" s="2">
        <v>711.0</v>
      </c>
      <c r="C1696" s="2" t="s">
        <v>8</v>
      </c>
      <c r="D1696" s="2" t="s">
        <v>5</v>
      </c>
    </row>
    <row r="1697">
      <c r="A1697" s="1">
        <v>43345.42486944444</v>
      </c>
      <c r="B1697" s="2">
        <v>246.0</v>
      </c>
      <c r="C1697" s="2" t="s">
        <v>26</v>
      </c>
    </row>
    <row r="1698">
      <c r="A1698" s="1">
        <v>43345.42492053241</v>
      </c>
      <c r="B1698" s="2">
        <v>711.0</v>
      </c>
      <c r="C1698" s="2" t="s">
        <v>8</v>
      </c>
      <c r="D1698" s="2" t="s">
        <v>5</v>
      </c>
    </row>
    <row r="1699">
      <c r="A1699" s="1">
        <v>43345.4251144213</v>
      </c>
      <c r="B1699" s="2">
        <v>738.0</v>
      </c>
      <c r="C1699" s="2" t="s">
        <v>161</v>
      </c>
    </row>
    <row r="1700">
      <c r="A1700" s="1">
        <v>43345.42575405093</v>
      </c>
      <c r="B1700" s="3" t="s">
        <v>11</v>
      </c>
      <c r="C1700" s="2" t="s">
        <v>12</v>
      </c>
    </row>
    <row r="1701">
      <c r="A1701" s="1">
        <v>43345.42579317129</v>
      </c>
      <c r="B1701" s="2">
        <v>711.0</v>
      </c>
      <c r="C1701" s="2" t="s">
        <v>8</v>
      </c>
      <c r="D1701" s="2" t="s">
        <v>5</v>
      </c>
    </row>
    <row r="1702">
      <c r="A1702" s="1">
        <v>43345.42590292824</v>
      </c>
      <c r="B1702" s="2">
        <v>113.0</v>
      </c>
      <c r="C1702" s="2" t="s">
        <v>29</v>
      </c>
    </row>
    <row r="1703">
      <c r="A1703" s="1">
        <v>43345.42594428241</v>
      </c>
      <c r="B1703" s="2">
        <v>711.0</v>
      </c>
      <c r="C1703" s="2" t="s">
        <v>8</v>
      </c>
      <c r="D1703" s="2" t="s">
        <v>5</v>
      </c>
    </row>
    <row r="1704">
      <c r="A1704" s="1">
        <v>43345.42600905093</v>
      </c>
      <c r="B1704" s="2">
        <v>716.0</v>
      </c>
      <c r="C1704" s="2" t="s">
        <v>123</v>
      </c>
      <c r="D1704" s="2" t="s">
        <v>5</v>
      </c>
    </row>
    <row r="1705">
      <c r="A1705" s="1">
        <v>43345.42621560185</v>
      </c>
      <c r="B1705" s="2">
        <v>711.0</v>
      </c>
      <c r="C1705" s="2" t="s">
        <v>8</v>
      </c>
      <c r="D1705" s="2" t="s">
        <v>5</v>
      </c>
    </row>
    <row r="1706">
      <c r="A1706" s="1">
        <v>43345.42633162037</v>
      </c>
      <c r="B1706" s="2">
        <v>627.0</v>
      </c>
      <c r="C1706" s="2" t="s">
        <v>134</v>
      </c>
    </row>
    <row r="1707">
      <c r="A1707" s="1">
        <v>43345.42640909722</v>
      </c>
      <c r="B1707" s="2">
        <v>711.0</v>
      </c>
      <c r="C1707" s="2" t="s">
        <v>8</v>
      </c>
      <c r="D1707" s="2" t="s">
        <v>5</v>
      </c>
    </row>
    <row r="1708">
      <c r="A1708" s="1">
        <v>43345.42648701389</v>
      </c>
      <c r="B1708" s="2">
        <v>173.0</v>
      </c>
      <c r="C1708" s="2" t="s">
        <v>24</v>
      </c>
    </row>
    <row r="1709">
      <c r="A1709" s="1">
        <v>43345.426523622686</v>
      </c>
      <c r="B1709" s="2">
        <v>711.0</v>
      </c>
      <c r="C1709" s="2" t="s">
        <v>8</v>
      </c>
      <c r="D1709" s="2" t="s">
        <v>5</v>
      </c>
    </row>
    <row r="1710">
      <c r="A1710" s="1">
        <v>43345.426571041666</v>
      </c>
      <c r="B1710" s="2">
        <v>193.0</v>
      </c>
      <c r="C1710" s="2" t="s">
        <v>30</v>
      </c>
    </row>
    <row r="1711">
      <c r="A1711" s="1">
        <v>43345.42661009259</v>
      </c>
      <c r="B1711" s="2">
        <v>711.0</v>
      </c>
      <c r="C1711" s="2" t="s">
        <v>8</v>
      </c>
      <c r="D1711" s="2" t="s">
        <v>5</v>
      </c>
    </row>
    <row r="1712">
      <c r="A1712" s="1">
        <v>43345.426763298616</v>
      </c>
      <c r="B1712" s="3" t="s">
        <v>184</v>
      </c>
      <c r="C1712" s="2" t="s">
        <v>185</v>
      </c>
    </row>
    <row r="1713">
      <c r="A1713" s="1">
        <v>43345.42679266204</v>
      </c>
      <c r="B1713" s="2">
        <v>711.0</v>
      </c>
      <c r="C1713" s="2" t="s">
        <v>8</v>
      </c>
      <c r="D1713" s="2" t="s">
        <v>5</v>
      </c>
    </row>
    <row r="1714">
      <c r="A1714" s="1">
        <v>43345.426889027774</v>
      </c>
      <c r="B1714" s="3" t="s">
        <v>186</v>
      </c>
      <c r="C1714" s="2" t="s">
        <v>187</v>
      </c>
    </row>
    <row r="1715">
      <c r="A1715" s="1">
        <v>43345.426953483795</v>
      </c>
      <c r="B1715" s="2">
        <v>711.0</v>
      </c>
      <c r="C1715" s="2" t="s">
        <v>8</v>
      </c>
      <c r="D1715" s="2" t="s">
        <v>5</v>
      </c>
    </row>
    <row r="1716">
      <c r="A1716" s="1">
        <v>43345.42702931713</v>
      </c>
      <c r="B1716" s="2">
        <v>189.0</v>
      </c>
      <c r="C1716" s="2" t="s">
        <v>128</v>
      </c>
    </row>
    <row r="1717">
      <c r="A1717" s="1">
        <v>43345.427407650466</v>
      </c>
      <c r="B1717" s="2">
        <v>701.0</v>
      </c>
      <c r="C1717" s="2" t="s">
        <v>93</v>
      </c>
      <c r="D1717" s="2" t="s">
        <v>5</v>
      </c>
    </row>
    <row r="1718">
      <c r="A1718" s="1">
        <v>43345.42742673611</v>
      </c>
      <c r="B1718" s="2">
        <v>603.0</v>
      </c>
      <c r="C1718" s="2" t="s">
        <v>40</v>
      </c>
    </row>
    <row r="1719">
      <c r="A1719" s="1">
        <v>43345.42746189814</v>
      </c>
      <c r="B1719" s="2">
        <v>711.0</v>
      </c>
      <c r="C1719" s="2" t="s">
        <v>8</v>
      </c>
      <c r="D1719" s="2" t="s">
        <v>5</v>
      </c>
    </row>
    <row r="1720">
      <c r="A1720" s="1">
        <v>43345.4277005787</v>
      </c>
      <c r="B1720" s="2">
        <v>627.0</v>
      </c>
      <c r="C1720" s="2" t="s">
        <v>134</v>
      </c>
    </row>
    <row r="1721">
      <c r="A1721" s="1">
        <v>43345.42775634259</v>
      </c>
      <c r="B1721" s="2">
        <v>711.0</v>
      </c>
      <c r="C1721" s="2" t="s">
        <v>8</v>
      </c>
      <c r="D1721" s="2" t="s">
        <v>5</v>
      </c>
    </row>
    <row r="1722">
      <c r="A1722" s="1">
        <v>43345.427907523146</v>
      </c>
      <c r="B1722" s="2">
        <v>214.0</v>
      </c>
      <c r="C1722" s="2" t="s">
        <v>47</v>
      </c>
    </row>
    <row r="1723">
      <c r="A1723" s="1">
        <v>43345.427965740746</v>
      </c>
      <c r="B1723" s="2">
        <v>711.0</v>
      </c>
      <c r="C1723" s="2" t="s">
        <v>8</v>
      </c>
      <c r="D1723" s="2" t="s">
        <v>5</v>
      </c>
    </row>
    <row r="1724">
      <c r="A1724" s="1">
        <v>43345.42835259259</v>
      </c>
      <c r="B1724" s="2">
        <v>167.0</v>
      </c>
      <c r="C1724" s="2" t="s">
        <v>39</v>
      </c>
    </row>
    <row r="1725">
      <c r="A1725" s="1">
        <v>43345.42850681713</v>
      </c>
      <c r="B1725" s="2">
        <v>729.0</v>
      </c>
      <c r="C1725" s="2" t="s">
        <v>54</v>
      </c>
      <c r="D1725" s="2" t="s">
        <v>5</v>
      </c>
    </row>
    <row r="1726">
      <c r="A1726" s="1">
        <v>43345.428507372686</v>
      </c>
      <c r="B1726" s="2">
        <v>711.0</v>
      </c>
      <c r="C1726" s="2" t="s">
        <v>8</v>
      </c>
      <c r="D1726" s="2" t="s">
        <v>5</v>
      </c>
    </row>
    <row r="1727">
      <c r="A1727" s="1">
        <v>43345.428703067126</v>
      </c>
      <c r="B1727" s="3" t="s">
        <v>51</v>
      </c>
      <c r="C1727" s="2" t="s">
        <v>52</v>
      </c>
    </row>
    <row r="1728">
      <c r="A1728" s="1">
        <v>43345.42876231481</v>
      </c>
      <c r="B1728" s="2">
        <v>711.0</v>
      </c>
      <c r="C1728" s="2" t="s">
        <v>8</v>
      </c>
      <c r="D1728" s="2" t="s">
        <v>5</v>
      </c>
    </row>
    <row r="1729">
      <c r="A1729" s="1">
        <v>43345.428774699074</v>
      </c>
      <c r="B1729" s="3" t="s">
        <v>55</v>
      </c>
      <c r="C1729" s="2" t="s">
        <v>56</v>
      </c>
    </row>
    <row r="1730">
      <c r="A1730" s="1">
        <v>43345.42887512731</v>
      </c>
      <c r="B1730" s="2">
        <v>229.0</v>
      </c>
      <c r="C1730" s="2" t="s">
        <v>86</v>
      </c>
    </row>
    <row r="1731">
      <c r="A1731" s="1">
        <v>43345.428932951385</v>
      </c>
      <c r="B1731" s="2">
        <v>141.0</v>
      </c>
      <c r="C1731" s="2" t="s">
        <v>53</v>
      </c>
    </row>
    <row r="1732">
      <c r="A1732" s="1">
        <v>43345.42897422454</v>
      </c>
      <c r="B1732" s="2">
        <v>711.0</v>
      </c>
      <c r="C1732" s="2" t="s">
        <v>8</v>
      </c>
      <c r="D1732" s="2" t="s">
        <v>5</v>
      </c>
    </row>
    <row r="1733">
      <c r="A1733" s="1">
        <v>43345.42913682871</v>
      </c>
      <c r="B1733" s="3" t="s">
        <v>32</v>
      </c>
      <c r="C1733" s="2" t="s">
        <v>33</v>
      </c>
    </row>
    <row r="1734">
      <c r="A1734" s="1">
        <v>43345.429189699076</v>
      </c>
      <c r="B1734" s="2">
        <v>707.0</v>
      </c>
      <c r="C1734" s="2" t="s">
        <v>57</v>
      </c>
      <c r="D1734" s="2" t="s">
        <v>5</v>
      </c>
    </row>
    <row r="1735">
      <c r="A1735" s="1">
        <v>43345.42926131944</v>
      </c>
      <c r="B1735" s="2">
        <v>711.0</v>
      </c>
      <c r="C1735" s="2" t="s">
        <v>8</v>
      </c>
      <c r="D1735" s="2" t="s">
        <v>5</v>
      </c>
    </row>
    <row r="1736">
      <c r="A1736" s="1">
        <v>43345.42939868056</v>
      </c>
      <c r="B1736" s="3" t="s">
        <v>48</v>
      </c>
      <c r="C1736" s="2" t="s">
        <v>49</v>
      </c>
    </row>
    <row r="1737">
      <c r="A1737" s="1">
        <v>43345.429580104166</v>
      </c>
      <c r="B1737" s="2">
        <v>711.0</v>
      </c>
      <c r="C1737" s="2" t="s">
        <v>8</v>
      </c>
      <c r="D1737" s="2" t="s">
        <v>5</v>
      </c>
    </row>
    <row r="1738">
      <c r="A1738" s="1">
        <v>43345.42974158565</v>
      </c>
      <c r="B1738" s="3" t="s">
        <v>159</v>
      </c>
      <c r="C1738" s="2" t="s">
        <v>160</v>
      </c>
    </row>
    <row r="1739">
      <c r="A1739" s="1">
        <v>43345.42977108796</v>
      </c>
      <c r="B1739" s="2">
        <v>711.0</v>
      </c>
      <c r="C1739" s="2" t="s">
        <v>8</v>
      </c>
      <c r="D1739" s="2" t="s">
        <v>5</v>
      </c>
    </row>
    <row r="1740">
      <c r="A1740" s="1">
        <v>43345.4298881713</v>
      </c>
      <c r="B1740" s="3" t="s">
        <v>32</v>
      </c>
      <c r="C1740" s="2" t="s">
        <v>33</v>
      </c>
    </row>
    <row r="1741">
      <c r="A1741" s="1">
        <v>43345.42999792824</v>
      </c>
      <c r="B1741" s="2">
        <v>711.0</v>
      </c>
      <c r="C1741" s="2" t="s">
        <v>8</v>
      </c>
      <c r="D1741" s="2" t="s">
        <v>5</v>
      </c>
    </row>
    <row r="1742">
      <c r="A1742" s="1">
        <v>43345.43051261574</v>
      </c>
      <c r="B1742" s="2">
        <v>219.0</v>
      </c>
      <c r="C1742" s="2" t="s">
        <v>31</v>
      </c>
    </row>
    <row r="1743">
      <c r="A1743" s="1">
        <v>43345.43056356482</v>
      </c>
      <c r="B1743" s="2">
        <v>711.0</v>
      </c>
      <c r="C1743" s="2" t="s">
        <v>8</v>
      </c>
      <c r="D1743" s="2" t="s">
        <v>5</v>
      </c>
    </row>
    <row r="1744">
      <c r="A1744" s="1">
        <v>43345.431853773145</v>
      </c>
      <c r="B1744" s="2">
        <v>215.0</v>
      </c>
      <c r="C1744" s="2" t="s">
        <v>137</v>
      </c>
    </row>
    <row r="1745">
      <c r="A1745" s="1">
        <v>43345.43201898148</v>
      </c>
      <c r="B1745" s="2">
        <v>711.0</v>
      </c>
      <c r="C1745" s="2" t="s">
        <v>8</v>
      </c>
      <c r="D1745" s="2" t="s">
        <v>5</v>
      </c>
    </row>
    <row r="1746">
      <c r="A1746" s="1">
        <v>43345.432143564816</v>
      </c>
      <c r="B1746" s="2">
        <v>722.0</v>
      </c>
      <c r="C1746" s="2" t="s">
        <v>25</v>
      </c>
      <c r="D1746" s="2" t="s">
        <v>5</v>
      </c>
    </row>
    <row r="1747">
      <c r="A1747" s="1">
        <v>43345.43219178241</v>
      </c>
      <c r="B1747" s="2">
        <v>711.0</v>
      </c>
      <c r="C1747" s="2" t="s">
        <v>8</v>
      </c>
      <c r="D1747" s="2" t="s">
        <v>5</v>
      </c>
    </row>
    <row r="1748">
      <c r="A1748" s="1">
        <v>43345.43314690972</v>
      </c>
      <c r="B1748" s="2">
        <v>631.0</v>
      </c>
      <c r="C1748" s="2" t="s">
        <v>178</v>
      </c>
    </row>
    <row r="1749">
      <c r="A1749" s="1">
        <v>43345.4332734375</v>
      </c>
      <c r="B1749" s="2">
        <v>711.0</v>
      </c>
      <c r="C1749" s="2" t="s">
        <v>8</v>
      </c>
      <c r="D1749" s="2" t="s">
        <v>5</v>
      </c>
    </row>
    <row r="1750">
      <c r="A1750" s="1">
        <v>43345.433694629624</v>
      </c>
      <c r="B1750" s="2">
        <v>259.0</v>
      </c>
      <c r="C1750" s="2" t="s">
        <v>66</v>
      </c>
    </row>
    <row r="1751">
      <c r="A1751" s="1">
        <v>43345.43403592592</v>
      </c>
      <c r="B1751" s="2">
        <v>711.0</v>
      </c>
      <c r="C1751" s="2" t="s">
        <v>8</v>
      </c>
      <c r="D1751" s="2" t="s">
        <v>5</v>
      </c>
    </row>
    <row r="1752">
      <c r="A1752" s="1">
        <v>43345.4341091088</v>
      </c>
      <c r="B1752" s="2">
        <v>259.0</v>
      </c>
      <c r="C1752" s="2" t="s">
        <v>66</v>
      </c>
    </row>
    <row r="1753">
      <c r="A1753" s="1">
        <v>43345.43419770834</v>
      </c>
      <c r="B1753" s="2">
        <v>260.0</v>
      </c>
      <c r="C1753" s="2" t="s">
        <v>67</v>
      </c>
    </row>
    <row r="1754">
      <c r="A1754" s="1">
        <v>43345.434327615745</v>
      </c>
      <c r="B1754" s="2">
        <v>627.0</v>
      </c>
      <c r="C1754" s="2" t="s">
        <v>134</v>
      </c>
    </row>
    <row r="1755">
      <c r="A1755" s="1">
        <v>43345.43433337963</v>
      </c>
      <c r="B1755" s="2">
        <v>611.0</v>
      </c>
      <c r="C1755" s="2" t="s">
        <v>143</v>
      </c>
    </row>
    <row r="1756">
      <c r="A1756" s="1">
        <v>43345.434456331015</v>
      </c>
      <c r="B1756" s="2">
        <v>734.0</v>
      </c>
      <c r="C1756" s="2" t="s">
        <v>63</v>
      </c>
      <c r="D1756" s="2" t="s">
        <v>5</v>
      </c>
    </row>
    <row r="1757">
      <c r="A1757" s="1">
        <v>43345.43461270833</v>
      </c>
      <c r="B1757" s="2">
        <v>711.0</v>
      </c>
      <c r="C1757" s="2" t="s">
        <v>8</v>
      </c>
      <c r="D1757" s="2" t="s">
        <v>5</v>
      </c>
    </row>
    <row r="1758">
      <c r="A1758" s="1">
        <v>43345.435639097224</v>
      </c>
      <c r="B1758" s="3" t="s">
        <v>13</v>
      </c>
      <c r="C1758" s="2" t="s">
        <v>14</v>
      </c>
    </row>
    <row r="1759">
      <c r="A1759" s="1">
        <v>43345.43578215278</v>
      </c>
      <c r="B1759" s="2">
        <v>711.0</v>
      </c>
      <c r="C1759" s="2" t="s">
        <v>8</v>
      </c>
      <c r="D1759" s="2" t="s">
        <v>5</v>
      </c>
    </row>
    <row r="1760">
      <c r="A1760" s="1">
        <v>43345.43607304398</v>
      </c>
      <c r="B1760" s="3" t="s">
        <v>98</v>
      </c>
      <c r="C1760" s="2" t="s">
        <v>99</v>
      </c>
    </row>
    <row r="1761">
      <c r="A1761" s="1">
        <v>43345.43610771991</v>
      </c>
      <c r="B1761" s="2">
        <v>711.0</v>
      </c>
      <c r="C1761" s="2" t="s">
        <v>8</v>
      </c>
      <c r="D1761" s="2" t="s">
        <v>5</v>
      </c>
    </row>
    <row r="1762">
      <c r="A1762" s="1">
        <v>43345.43623346065</v>
      </c>
      <c r="B1762" s="2">
        <v>147.0</v>
      </c>
      <c r="C1762" s="2" t="s">
        <v>100</v>
      </c>
    </row>
    <row r="1763">
      <c r="A1763" s="1">
        <v>43345.43627427083</v>
      </c>
      <c r="B1763" s="2">
        <v>711.0</v>
      </c>
      <c r="C1763" s="2" t="s">
        <v>8</v>
      </c>
      <c r="D1763" s="2" t="s">
        <v>5</v>
      </c>
    </row>
    <row r="1764">
      <c r="A1764" s="1">
        <v>43345.436464259255</v>
      </c>
      <c r="B1764" s="2">
        <v>726.0</v>
      </c>
      <c r="C1764" s="2" t="s">
        <v>101</v>
      </c>
      <c r="D1764" s="2" t="s">
        <v>5</v>
      </c>
    </row>
    <row r="1765">
      <c r="A1765" s="1">
        <v>43345.43649800926</v>
      </c>
      <c r="B1765" s="2">
        <v>711.0</v>
      </c>
      <c r="C1765" s="2" t="s">
        <v>8</v>
      </c>
      <c r="D1765" s="2" t="s">
        <v>5</v>
      </c>
    </row>
    <row r="1766">
      <c r="A1766" s="1">
        <v>43345.43663335648</v>
      </c>
      <c r="B1766" s="2">
        <v>732.0</v>
      </c>
      <c r="C1766" s="2" t="s">
        <v>102</v>
      </c>
      <c r="D1766" s="2" t="s">
        <v>5</v>
      </c>
    </row>
    <row r="1767">
      <c r="A1767" s="1">
        <v>43345.4368365625</v>
      </c>
      <c r="B1767" s="2">
        <v>643.0</v>
      </c>
      <c r="C1767" s="2" t="s">
        <v>166</v>
      </c>
    </row>
    <row r="1768">
      <c r="A1768" s="1">
        <v>43345.43699138889</v>
      </c>
      <c r="B1768" s="2">
        <v>711.0</v>
      </c>
      <c r="C1768" s="2" t="s">
        <v>8</v>
      </c>
      <c r="D1768" s="2" t="s">
        <v>5</v>
      </c>
    </row>
    <row r="1769">
      <c r="A1769" s="1">
        <v>43345.43741399306</v>
      </c>
      <c r="B1769" s="2">
        <v>604.0</v>
      </c>
      <c r="C1769" s="2" t="s">
        <v>36</v>
      </c>
    </row>
    <row r="1770">
      <c r="A1770" s="1">
        <v>43345.43746188657</v>
      </c>
      <c r="B1770" s="2">
        <v>711.0</v>
      </c>
      <c r="C1770" s="2" t="s">
        <v>8</v>
      </c>
      <c r="D1770" s="2" t="s">
        <v>5</v>
      </c>
    </row>
    <row r="1771">
      <c r="A1771" s="1">
        <v>43345.43790896991</v>
      </c>
      <c r="B1771" s="2">
        <v>254.0</v>
      </c>
      <c r="C1771" s="2" t="s">
        <v>132</v>
      </c>
    </row>
    <row r="1772">
      <c r="A1772" s="1">
        <v>43345.43798232639</v>
      </c>
      <c r="B1772" s="2">
        <v>711.0</v>
      </c>
      <c r="C1772" s="2" t="s">
        <v>8</v>
      </c>
      <c r="D1772" s="2" t="s">
        <v>5</v>
      </c>
    </row>
    <row r="1773">
      <c r="A1773" s="1">
        <v>43345.443967037034</v>
      </c>
      <c r="B1773" s="2">
        <v>126.0</v>
      </c>
      <c r="C1773" s="2" t="s">
        <v>87</v>
      </c>
    </row>
    <row r="1774">
      <c r="A1774" s="1">
        <v>43345.4440084838</v>
      </c>
      <c r="B1774" s="2">
        <v>711.0</v>
      </c>
      <c r="C1774" s="2" t="s">
        <v>8</v>
      </c>
      <c r="D1774" s="2" t="s">
        <v>5</v>
      </c>
    </row>
    <row r="1775">
      <c r="A1775" s="1">
        <v>43345.44426034723</v>
      </c>
      <c r="B1775" s="2">
        <v>662.0</v>
      </c>
      <c r="C1775" s="2" t="s">
        <v>18</v>
      </c>
    </row>
    <row r="1776">
      <c r="A1776" s="1">
        <v>43345.44447505787</v>
      </c>
      <c r="B1776" s="2">
        <v>711.0</v>
      </c>
      <c r="C1776" s="2" t="s">
        <v>8</v>
      </c>
      <c r="D1776" s="2" t="s">
        <v>5</v>
      </c>
    </row>
    <row r="1777">
      <c r="A1777" s="1">
        <v>43345.44458674769</v>
      </c>
      <c r="B1777" s="2">
        <v>238.0</v>
      </c>
      <c r="C1777" s="2" t="s">
        <v>35</v>
      </c>
    </row>
    <row r="1778">
      <c r="A1778" s="1">
        <v>43345.44570769676</v>
      </c>
      <c r="B1778" s="2">
        <v>653.0</v>
      </c>
      <c r="C1778" s="2" t="s">
        <v>77</v>
      </c>
    </row>
    <row r="1779">
      <c r="A1779" s="1">
        <v>43345.44586040509</v>
      </c>
      <c r="B1779" s="3" t="s">
        <v>103</v>
      </c>
      <c r="C1779" s="2" t="s">
        <v>104</v>
      </c>
    </row>
    <row r="1780">
      <c r="A1780" s="1">
        <v>43345.44596868056</v>
      </c>
      <c r="B1780" s="2">
        <v>711.0</v>
      </c>
      <c r="C1780" s="2" t="s">
        <v>8</v>
      </c>
      <c r="D1780" s="2" t="s">
        <v>5</v>
      </c>
    </row>
    <row r="1781">
      <c r="A1781" s="1">
        <v>43345.44784008102</v>
      </c>
      <c r="B1781" s="2">
        <v>705.0</v>
      </c>
      <c r="C1781" s="2" t="s">
        <v>168</v>
      </c>
      <c r="D1781" s="2" t="s">
        <v>5</v>
      </c>
    </row>
    <row r="1782">
      <c r="A1782" s="1">
        <v>43345.44789293982</v>
      </c>
      <c r="B1782" s="2">
        <v>711.0</v>
      </c>
      <c r="C1782" s="2" t="s">
        <v>8</v>
      </c>
      <c r="D1782" s="2" t="s">
        <v>5</v>
      </c>
    </row>
    <row r="1783">
      <c r="A1783" s="1">
        <v>43345.44817159722</v>
      </c>
      <c r="B1783" s="2">
        <v>157.0</v>
      </c>
      <c r="C1783" s="2" t="s">
        <v>141</v>
      </c>
    </row>
    <row r="1784">
      <c r="A1784" s="1">
        <v>43345.448207685185</v>
      </c>
      <c r="B1784" s="2">
        <v>711.0</v>
      </c>
      <c r="C1784" s="2" t="s">
        <v>8</v>
      </c>
      <c r="D1784" s="2" t="s">
        <v>5</v>
      </c>
    </row>
    <row r="1785">
      <c r="A1785" s="1">
        <v>43345.44843377315</v>
      </c>
      <c r="B1785" s="2">
        <v>259.0</v>
      </c>
      <c r="C1785" s="2" t="s">
        <v>66</v>
      </c>
    </row>
    <row r="1786">
      <c r="A1786" s="1">
        <v>43345.458035578704</v>
      </c>
      <c r="B1786" s="2">
        <v>711.0</v>
      </c>
      <c r="C1786" s="2" t="s">
        <v>8</v>
      </c>
      <c r="D1786" s="2" t="s">
        <v>5</v>
      </c>
    </row>
    <row r="1787">
      <c r="A1787" s="1">
        <v>43345.45814818287</v>
      </c>
      <c r="B1787" s="3" t="s">
        <v>111</v>
      </c>
      <c r="C1787" s="2" t="s">
        <v>112</v>
      </c>
    </row>
    <row r="1788">
      <c r="A1788" s="1">
        <v>43345.46194807871</v>
      </c>
      <c r="B1788" s="3" t="s">
        <v>94</v>
      </c>
      <c r="C1788" s="2" t="s">
        <v>95</v>
      </c>
    </row>
    <row r="1789">
      <c r="A1789" s="1">
        <v>43345.462079861114</v>
      </c>
      <c r="B1789" s="2">
        <v>702.0</v>
      </c>
      <c r="C1789" s="2" t="s">
        <v>96</v>
      </c>
      <c r="D1789" s="2" t="s">
        <v>5</v>
      </c>
    </row>
    <row r="1790">
      <c r="A1790" s="1">
        <v>43345.46216447916</v>
      </c>
      <c r="B1790" s="2">
        <v>702.0</v>
      </c>
      <c r="C1790" s="2" t="s">
        <v>96</v>
      </c>
      <c r="D1790" s="2" t="s">
        <v>5</v>
      </c>
    </row>
    <row r="1791">
      <c r="A1791" s="1">
        <v>43345.46225704861</v>
      </c>
      <c r="B1791" s="2">
        <v>198.0</v>
      </c>
      <c r="C1791" s="2" t="s">
        <v>97</v>
      </c>
    </row>
    <row r="1792">
      <c r="A1792" s="1">
        <v>43345.46711453704</v>
      </c>
      <c r="B1792" s="2">
        <v>711.0</v>
      </c>
      <c r="C1792" s="2" t="s">
        <v>8</v>
      </c>
      <c r="D1792" s="2" t="s">
        <v>5</v>
      </c>
    </row>
    <row r="1793">
      <c r="A1793" s="1">
        <v>43345.46719030093</v>
      </c>
      <c r="B1793" s="2">
        <v>663.0</v>
      </c>
      <c r="C1793" s="2" t="s">
        <v>109</v>
      </c>
    </row>
    <row r="1794">
      <c r="A1794" s="1">
        <v>43345.46722251158</v>
      </c>
      <c r="B1794" s="2">
        <v>711.0</v>
      </c>
      <c r="C1794" s="2" t="s">
        <v>8</v>
      </c>
      <c r="D1794" s="2" t="s">
        <v>5</v>
      </c>
    </row>
    <row r="1795">
      <c r="A1795" s="1">
        <v>43345.467370011575</v>
      </c>
      <c r="B1795" s="2">
        <v>733.0</v>
      </c>
      <c r="C1795" s="2" t="s">
        <v>110</v>
      </c>
      <c r="D1795" s="2" t="s">
        <v>5</v>
      </c>
    </row>
    <row r="1796">
      <c r="A1796" s="1">
        <v>43345.46768339121</v>
      </c>
      <c r="B1796" s="2">
        <v>663.0</v>
      </c>
      <c r="C1796" s="2" t="s">
        <v>109</v>
      </c>
    </row>
    <row r="1797">
      <c r="A1797" s="1">
        <v>43345.47018158565</v>
      </c>
      <c r="B1797" s="2">
        <v>101.0</v>
      </c>
      <c r="C1797" s="2" t="s">
        <v>108</v>
      </c>
    </row>
    <row r="1798">
      <c r="A1798" s="1">
        <v>43345.470239155096</v>
      </c>
      <c r="B1798" s="2">
        <v>711.0</v>
      </c>
      <c r="C1798" s="2" t="s">
        <v>8</v>
      </c>
      <c r="D1798" s="2" t="s">
        <v>5</v>
      </c>
    </row>
    <row r="1799">
      <c r="A1799" s="1">
        <v>43345.470376365745</v>
      </c>
      <c r="B1799" s="2">
        <v>718.0</v>
      </c>
      <c r="C1799" s="2" t="s">
        <v>105</v>
      </c>
      <c r="D1799" s="2" t="s">
        <v>5</v>
      </c>
    </row>
    <row r="1800">
      <c r="A1800" s="1">
        <v>43345.47041175926</v>
      </c>
      <c r="B1800" s="2">
        <v>711.0</v>
      </c>
      <c r="C1800" s="2" t="s">
        <v>8</v>
      </c>
      <c r="D1800" s="2" t="s">
        <v>5</v>
      </c>
    </row>
    <row r="1801">
      <c r="A1801" s="1">
        <v>43345.47045501157</v>
      </c>
      <c r="B1801" s="2">
        <v>719.0</v>
      </c>
      <c r="C1801" s="2" t="s">
        <v>106</v>
      </c>
      <c r="D1801" s="2" t="s">
        <v>5</v>
      </c>
    </row>
    <row r="1802">
      <c r="A1802" s="1">
        <v>43345.47049304398</v>
      </c>
      <c r="B1802" s="2">
        <v>711.0</v>
      </c>
      <c r="C1802" s="2" t="s">
        <v>8</v>
      </c>
      <c r="D1802" s="2" t="s">
        <v>5</v>
      </c>
    </row>
    <row r="1803">
      <c r="A1803" s="1">
        <v>43345.47058982639</v>
      </c>
      <c r="B1803" s="3" t="s">
        <v>113</v>
      </c>
      <c r="C1803" s="2" t="s">
        <v>114</v>
      </c>
    </row>
    <row r="1804">
      <c r="A1804" s="1">
        <v>43345.50766429398</v>
      </c>
      <c r="B1804" s="2">
        <v>611.0</v>
      </c>
      <c r="C1804" s="2" t="s">
        <v>143</v>
      </c>
    </row>
    <row r="1805">
      <c r="A1805" s="1">
        <v>43345.663005995375</v>
      </c>
      <c r="B1805" s="2">
        <v>609.0</v>
      </c>
      <c r="C1805" s="2" t="s">
        <v>179</v>
      </c>
    </row>
    <row r="1806">
      <c r="A1806" s="1">
        <v>43345.71095458334</v>
      </c>
      <c r="B1806" s="2">
        <v>609.0</v>
      </c>
      <c r="C1806" s="2" t="s">
        <v>179</v>
      </c>
    </row>
    <row r="1807">
      <c r="A1807" s="1">
        <v>43345.90249447917</v>
      </c>
      <c r="B1807" s="2">
        <v>246.0</v>
      </c>
      <c r="C1807" s="2" t="s">
        <v>26</v>
      </c>
    </row>
    <row r="1808">
      <c r="A1808" s="1">
        <v>43345.90276956018</v>
      </c>
      <c r="B1808" s="2">
        <v>246.0</v>
      </c>
      <c r="C1808" s="2" t="s">
        <v>26</v>
      </c>
      <c r="D1808" s="2" t="s">
        <v>188</v>
      </c>
    </row>
    <row r="1809">
      <c r="A1809" s="1">
        <v>43345.903010208334</v>
      </c>
      <c r="B1809" s="2">
        <v>246.0</v>
      </c>
      <c r="C1809" s="2" t="s">
        <v>26</v>
      </c>
    </row>
    <row r="1810">
      <c r="A1810" s="1">
        <v>43345.92679467592</v>
      </c>
      <c r="B1810" s="2">
        <v>611.0</v>
      </c>
      <c r="C1810" s="2" t="s">
        <v>143</v>
      </c>
    </row>
    <row r="1811">
      <c r="A1811" s="1">
        <v>43345.92695637731</v>
      </c>
      <c r="B1811" s="2">
        <v>611.0</v>
      </c>
      <c r="C1811" s="2" t="s">
        <v>143</v>
      </c>
    </row>
    <row r="1812">
      <c r="A1812" s="1">
        <v>43347.634372870365</v>
      </c>
      <c r="B1812" s="2">
        <v>609.0</v>
      </c>
      <c r="C1812" s="2" t="s">
        <v>179</v>
      </c>
    </row>
    <row r="1813">
      <c r="A1813" s="1">
        <v>43349.554176053236</v>
      </c>
      <c r="B1813" s="2">
        <v>609.0</v>
      </c>
      <c r="C1813" s="2" t="s">
        <v>179</v>
      </c>
    </row>
    <row r="1814">
      <c r="A1814" s="1">
        <v>43349.67571173611</v>
      </c>
      <c r="B1814" s="2">
        <v>602.0</v>
      </c>
      <c r="C1814" s="2" t="s">
        <v>131</v>
      </c>
    </row>
    <row r="1815">
      <c r="A1815" s="1">
        <v>43349.676736423615</v>
      </c>
      <c r="B1815" s="2">
        <v>253.0</v>
      </c>
      <c r="C1815" s="2" t="s">
        <v>138</v>
      </c>
    </row>
    <row r="1816">
      <c r="A1816" s="1">
        <v>43350.46005725695</v>
      </c>
      <c r="B1816" s="2">
        <v>673.0</v>
      </c>
      <c r="C1816" s="2" t="s">
        <v>189</v>
      </c>
    </row>
    <row r="1817">
      <c r="A1817" s="1">
        <v>43350.460057916665</v>
      </c>
      <c r="B1817" s="2">
        <v>673.0</v>
      </c>
      <c r="C1817" s="2" t="s">
        <v>189</v>
      </c>
    </row>
    <row r="1818">
      <c r="A1818" s="1">
        <v>43350.46005886574</v>
      </c>
      <c r="B1818" s="2">
        <v>673.0</v>
      </c>
      <c r="C1818" s="2" t="s">
        <v>189</v>
      </c>
    </row>
    <row r="1819">
      <c r="A1819" s="1">
        <v>43350.4600818287</v>
      </c>
      <c r="B1819" s="2">
        <v>673.0</v>
      </c>
      <c r="C1819" s="2" t="s">
        <v>189</v>
      </c>
    </row>
    <row r="1820">
      <c r="A1820" s="1">
        <v>43350.46013827546</v>
      </c>
      <c r="B1820" s="2">
        <v>673.0</v>
      </c>
      <c r="C1820" s="2" t="s">
        <v>189</v>
      </c>
    </row>
    <row r="1821">
      <c r="A1821" s="1">
        <v>43350.46479524305</v>
      </c>
      <c r="B1821" s="2">
        <v>673.0</v>
      </c>
      <c r="C1821" s="2" t="s">
        <v>189</v>
      </c>
    </row>
    <row r="1822">
      <c r="A1822" s="1">
        <v>43350.47691439815</v>
      </c>
      <c r="B1822" s="2">
        <v>673.0</v>
      </c>
      <c r="C1822" s="2" t="s">
        <v>189</v>
      </c>
    </row>
    <row r="1823">
      <c r="A1823" s="1">
        <v>43350.477363032405</v>
      </c>
      <c r="B1823" s="2">
        <v>673.0</v>
      </c>
      <c r="C1823" s="2" t="s">
        <v>189</v>
      </c>
    </row>
    <row r="1824">
      <c r="A1824" s="1">
        <v>43350.47754104166</v>
      </c>
      <c r="B1824" s="2">
        <v>673.0</v>
      </c>
      <c r="C1824" s="2" t="s">
        <v>189</v>
      </c>
    </row>
    <row r="1825">
      <c r="A1825" s="1">
        <v>43350.477698055554</v>
      </c>
      <c r="B1825" s="2">
        <v>670.0</v>
      </c>
      <c r="C1825" s="2" t="s">
        <v>139</v>
      </c>
    </row>
    <row r="1826">
      <c r="A1826" s="1">
        <v>43350.477711643514</v>
      </c>
      <c r="B1826" s="2">
        <v>669.0</v>
      </c>
      <c r="C1826" s="2" t="s">
        <v>190</v>
      </c>
    </row>
    <row r="1827">
      <c r="A1827" s="1">
        <v>43350.47772416667</v>
      </c>
      <c r="B1827" s="2">
        <v>667.0</v>
      </c>
      <c r="C1827" s="2" t="s">
        <v>73</v>
      </c>
    </row>
    <row r="1828">
      <c r="A1828" s="1">
        <v>43350.478026979166</v>
      </c>
      <c r="B1828" s="2">
        <v>663.0</v>
      </c>
      <c r="C1828" s="2" t="s">
        <v>109</v>
      </c>
    </row>
    <row r="1829">
      <c r="A1829" s="1">
        <v>43350.47808797454</v>
      </c>
      <c r="B1829" s="2">
        <v>664.0</v>
      </c>
      <c r="C1829" s="2" t="s">
        <v>191</v>
      </c>
    </row>
    <row r="1830">
      <c r="A1830" s="1">
        <v>43350.47810003472</v>
      </c>
      <c r="B1830" s="2">
        <v>666.0</v>
      </c>
      <c r="C1830" s="2" t="s">
        <v>192</v>
      </c>
    </row>
    <row r="1831">
      <c r="A1831" s="1">
        <v>43350.48313392361</v>
      </c>
      <c r="B1831" s="2">
        <v>673.0</v>
      </c>
      <c r="C1831" s="2" t="s">
        <v>189</v>
      </c>
    </row>
    <row r="1832">
      <c r="A1832" s="1">
        <v>43350.58464930556</v>
      </c>
      <c r="B1832" s="2">
        <v>674.0</v>
      </c>
      <c r="C1832" s="2" t="s">
        <v>193</v>
      </c>
    </row>
    <row r="1833">
      <c r="A1833" s="1">
        <v>43350.58501524305</v>
      </c>
      <c r="B1833" s="2">
        <v>739.0</v>
      </c>
      <c r="C1833" s="2" t="s">
        <v>194</v>
      </c>
      <c r="D1833" s="2" t="s">
        <v>5</v>
      </c>
    </row>
    <row r="1834">
      <c r="A1834" s="1">
        <v>43350.58501576389</v>
      </c>
      <c r="B1834" s="2">
        <v>739.0</v>
      </c>
      <c r="C1834" s="2" t="s">
        <v>194</v>
      </c>
      <c r="D1834" s="2" t="s">
        <v>5</v>
      </c>
    </row>
    <row r="1835">
      <c r="A1835" s="1">
        <v>43350.58501679398</v>
      </c>
      <c r="B1835" s="2">
        <v>739.0</v>
      </c>
      <c r="C1835" s="2" t="s">
        <v>194</v>
      </c>
      <c r="D1835" s="2" t="s">
        <v>5</v>
      </c>
    </row>
    <row r="1836">
      <c r="A1836" s="1">
        <v>43350.58501688657</v>
      </c>
      <c r="B1836" s="2">
        <v>739.0</v>
      </c>
      <c r="C1836" s="2" t="s">
        <v>194</v>
      </c>
      <c r="D1836" s="2" t="s">
        <v>5</v>
      </c>
    </row>
    <row r="1837">
      <c r="A1837" s="1">
        <v>43350.585037048615</v>
      </c>
      <c r="B1837" s="2">
        <v>739.0</v>
      </c>
      <c r="C1837" s="2" t="s">
        <v>194</v>
      </c>
      <c r="D1837" s="2" t="s">
        <v>5</v>
      </c>
    </row>
    <row r="1838">
      <c r="A1838" s="1">
        <v>43350.585083032405</v>
      </c>
      <c r="B1838" s="2">
        <v>739.0</v>
      </c>
      <c r="C1838" s="2" t="s">
        <v>194</v>
      </c>
      <c r="D1838" s="2" t="s">
        <v>5</v>
      </c>
    </row>
    <row r="1839">
      <c r="A1839" s="1">
        <v>43350.58520299768</v>
      </c>
      <c r="B1839" s="2">
        <v>674.0</v>
      </c>
      <c r="C1839" s="2" t="s">
        <v>193</v>
      </c>
    </row>
    <row r="1840">
      <c r="A1840" s="1">
        <v>43350.585203449074</v>
      </c>
      <c r="B1840" s="2">
        <v>674.0</v>
      </c>
      <c r="C1840" s="2" t="s">
        <v>193</v>
      </c>
    </row>
    <row r="1841">
      <c r="A1841" s="1">
        <v>43350.58523724537</v>
      </c>
      <c r="B1841" s="2">
        <v>674.0</v>
      </c>
      <c r="C1841" s="2" t="s">
        <v>193</v>
      </c>
    </row>
    <row r="1842">
      <c r="A1842" s="1">
        <v>43350.585269375</v>
      </c>
      <c r="B1842" s="2">
        <v>674.0</v>
      </c>
      <c r="C1842" s="2" t="s">
        <v>193</v>
      </c>
    </row>
    <row r="1843">
      <c r="A1843" s="1">
        <v>43350.59801540509</v>
      </c>
      <c r="B1843" s="2">
        <v>674.0</v>
      </c>
      <c r="C1843" s="2" t="s">
        <v>193</v>
      </c>
    </row>
    <row r="1844">
      <c r="A1844" s="1">
        <v>43350.59861509259</v>
      </c>
      <c r="B1844" s="2">
        <v>739.0</v>
      </c>
      <c r="C1844" s="2" t="s">
        <v>194</v>
      </c>
      <c r="D1844" s="2" t="s">
        <v>5</v>
      </c>
    </row>
    <row r="1845">
      <c r="A1845" s="1">
        <v>43350.61289847222</v>
      </c>
      <c r="B1845" s="2">
        <v>674.0</v>
      </c>
      <c r="C1845" s="2" t="s">
        <v>193</v>
      </c>
    </row>
    <row r="1846">
      <c r="A1846" s="1">
        <v>43350.61292511574</v>
      </c>
      <c r="B1846" s="2">
        <v>739.0</v>
      </c>
      <c r="C1846" s="2" t="s">
        <v>194</v>
      </c>
      <c r="D1846" s="2" t="s">
        <v>5</v>
      </c>
    </row>
    <row r="1847">
      <c r="A1847" s="1">
        <v>43350.62142207176</v>
      </c>
      <c r="B1847" s="2">
        <v>674.0</v>
      </c>
      <c r="C1847" s="2" t="s">
        <v>193</v>
      </c>
    </row>
    <row r="1848">
      <c r="A1848" s="1">
        <v>43350.62143866898</v>
      </c>
      <c r="B1848" s="2">
        <v>674.0</v>
      </c>
      <c r="C1848" s="2" t="s">
        <v>193</v>
      </c>
    </row>
    <row r="1849">
      <c r="A1849" s="1">
        <v>43350.62147253472</v>
      </c>
      <c r="B1849" s="2">
        <v>739.0</v>
      </c>
      <c r="C1849" s="2" t="s">
        <v>194</v>
      </c>
      <c r="D1849" s="2" t="s">
        <v>5</v>
      </c>
    </row>
    <row r="1850">
      <c r="A1850" s="1">
        <v>43350.78000442129</v>
      </c>
      <c r="B1850" s="2">
        <v>609.0</v>
      </c>
      <c r="C1850" s="2" t="s">
        <v>179</v>
      </c>
    </row>
    <row r="1851">
      <c r="A1851" s="1">
        <v>43352.288882395835</v>
      </c>
      <c r="B1851" s="2">
        <v>609.0</v>
      </c>
      <c r="C1851" s="2" t="s">
        <v>179</v>
      </c>
    </row>
    <row r="1852">
      <c r="A1852" s="1">
        <v>43352.34917570602</v>
      </c>
      <c r="B1852" s="2">
        <v>609.0</v>
      </c>
      <c r="C1852" s="2" t="s">
        <v>179</v>
      </c>
    </row>
    <row r="1853">
      <c r="A1853" s="1">
        <v>43352.353748912035</v>
      </c>
      <c r="B1853" s="2">
        <v>609.0</v>
      </c>
      <c r="C1853" s="2" t="s">
        <v>179</v>
      </c>
    </row>
    <row r="1854">
      <c r="A1854" s="1">
        <v>43352.41811351852</v>
      </c>
      <c r="B1854" s="2">
        <v>246.0</v>
      </c>
      <c r="C1854" s="2" t="s">
        <v>26</v>
      </c>
    </row>
    <row r="1855">
      <c r="A1855" s="1">
        <v>43352.41898326389</v>
      </c>
      <c r="B1855" s="2">
        <v>257.0</v>
      </c>
      <c r="C1855" s="2" t="s">
        <v>27</v>
      </c>
    </row>
    <row r="1856">
      <c r="A1856" s="1">
        <v>43352.42005217593</v>
      </c>
      <c r="B1856" s="3" t="s">
        <v>78</v>
      </c>
      <c r="C1856" s="2" t="s">
        <v>79</v>
      </c>
    </row>
    <row r="1857">
      <c r="A1857" s="1">
        <v>43352.42011740741</v>
      </c>
      <c r="B1857" s="2">
        <v>723.0</v>
      </c>
      <c r="C1857" s="2" t="s">
        <v>84</v>
      </c>
      <c r="D1857" s="2" t="s">
        <v>5</v>
      </c>
    </row>
    <row r="1858">
      <c r="A1858" s="1">
        <v>43352.4201878125</v>
      </c>
      <c r="B1858" s="3" t="s">
        <v>82</v>
      </c>
      <c r="C1858" s="2" t="s">
        <v>83</v>
      </c>
    </row>
    <row r="1859">
      <c r="A1859" s="1">
        <v>43352.420866562505</v>
      </c>
      <c r="B1859" s="2">
        <v>632.0</v>
      </c>
      <c r="C1859" s="2" t="s">
        <v>146</v>
      </c>
    </row>
    <row r="1860">
      <c r="A1860" s="1">
        <v>43352.4221003125</v>
      </c>
      <c r="B1860" s="2">
        <v>722.0</v>
      </c>
      <c r="C1860" s="2" t="s">
        <v>25</v>
      </c>
      <c r="D1860" s="2" t="s">
        <v>5</v>
      </c>
    </row>
    <row r="1861">
      <c r="A1861" s="1">
        <v>43352.422584409724</v>
      </c>
      <c r="B1861" s="2">
        <v>603.0</v>
      </c>
      <c r="C1861" s="2" t="s">
        <v>40</v>
      </c>
    </row>
    <row r="1862">
      <c r="A1862" s="1">
        <v>43352.42275650463</v>
      </c>
      <c r="B1862" s="2">
        <v>607.0</v>
      </c>
      <c r="C1862" s="2" t="s">
        <v>68</v>
      </c>
    </row>
    <row r="1863">
      <c r="A1863" s="1">
        <v>43352.42290935185</v>
      </c>
      <c r="B1863" s="2">
        <v>231.0</v>
      </c>
      <c r="C1863" s="2" t="s">
        <v>61</v>
      </c>
    </row>
    <row r="1864">
      <c r="A1864" s="1">
        <v>43352.42344717593</v>
      </c>
      <c r="B1864" s="2">
        <v>167.0</v>
      </c>
      <c r="C1864" s="2" t="s">
        <v>39</v>
      </c>
    </row>
    <row r="1865">
      <c r="A1865" s="1">
        <v>43352.42362138889</v>
      </c>
      <c r="B1865" s="2">
        <v>172.0</v>
      </c>
      <c r="C1865" s="2" t="s">
        <v>65</v>
      </c>
    </row>
    <row r="1866">
      <c r="A1866" s="1">
        <v>43352.42390841435</v>
      </c>
      <c r="B1866" s="2">
        <v>238.0</v>
      </c>
      <c r="C1866" s="2" t="s">
        <v>35</v>
      </c>
    </row>
    <row r="1867">
      <c r="A1867" s="1">
        <v>43352.424056655094</v>
      </c>
      <c r="B1867" s="2">
        <v>210.0</v>
      </c>
      <c r="C1867" s="2" t="s">
        <v>64</v>
      </c>
    </row>
    <row r="1868">
      <c r="A1868" s="1">
        <v>43352.424742083334</v>
      </c>
      <c r="B1868" s="2">
        <v>602.0</v>
      </c>
      <c r="C1868" s="2" t="s">
        <v>131</v>
      </c>
    </row>
    <row r="1869">
      <c r="A1869" s="1">
        <v>43352.425169050926</v>
      </c>
      <c r="B1869" s="2">
        <v>253.0</v>
      </c>
      <c r="C1869" s="2" t="s">
        <v>138</v>
      </c>
    </row>
    <row r="1870">
      <c r="A1870" s="1">
        <v>43352.42740509259</v>
      </c>
      <c r="B1870" s="2">
        <v>137.0</v>
      </c>
      <c r="C1870" s="2" t="s">
        <v>72</v>
      </c>
    </row>
    <row r="1871">
      <c r="A1871" s="1">
        <v>43352.428225787036</v>
      </c>
      <c r="B1871" s="2">
        <v>616.0</v>
      </c>
      <c r="C1871" s="2" t="s">
        <v>71</v>
      </c>
    </row>
    <row r="1872">
      <c r="A1872" s="1">
        <v>43352.42830646991</v>
      </c>
      <c r="B1872" s="3" t="s">
        <v>113</v>
      </c>
      <c r="C1872" s="2" t="s">
        <v>114</v>
      </c>
    </row>
    <row r="1873">
      <c r="A1873" s="1">
        <v>43352.428648182875</v>
      </c>
      <c r="B1873" s="2">
        <v>219.0</v>
      </c>
      <c r="C1873" s="2" t="s">
        <v>31</v>
      </c>
    </row>
    <row r="1874">
      <c r="A1874" s="1">
        <v>43352.428685439816</v>
      </c>
      <c r="B1874" s="3" t="s">
        <v>113</v>
      </c>
      <c r="C1874" s="2" t="s">
        <v>114</v>
      </c>
    </row>
    <row r="1875">
      <c r="A1875" s="1">
        <v>43352.42897167824</v>
      </c>
      <c r="B1875" s="2">
        <v>735.0</v>
      </c>
      <c r="C1875" s="2" t="s">
        <v>37</v>
      </c>
      <c r="D1875" s="2" t="s">
        <v>5</v>
      </c>
    </row>
    <row r="1876">
      <c r="A1876" s="1">
        <v>43352.42906105324</v>
      </c>
      <c r="B1876" s="3" t="s">
        <v>113</v>
      </c>
      <c r="C1876" s="2" t="s">
        <v>114</v>
      </c>
    </row>
    <row r="1877">
      <c r="A1877" s="1">
        <v>43352.429747766204</v>
      </c>
      <c r="B1877" s="2">
        <v>189.0</v>
      </c>
      <c r="C1877" s="2" t="s">
        <v>128</v>
      </c>
    </row>
    <row r="1878">
      <c r="A1878" s="1">
        <v>43352.42992717592</v>
      </c>
      <c r="B1878" s="3" t="s">
        <v>32</v>
      </c>
      <c r="C1878" s="2" t="s">
        <v>33</v>
      </c>
    </row>
    <row r="1879">
      <c r="A1879" s="1">
        <v>43352.430044513894</v>
      </c>
      <c r="B1879" s="2">
        <v>627.0</v>
      </c>
      <c r="C1879" s="2" t="s">
        <v>134</v>
      </c>
    </row>
    <row r="1880">
      <c r="A1880" s="1">
        <v>43352.43141287037</v>
      </c>
      <c r="B1880" s="3" t="s">
        <v>48</v>
      </c>
      <c r="C1880" s="2" t="s">
        <v>49</v>
      </c>
    </row>
    <row r="1881">
      <c r="A1881" s="1">
        <v>43352.43173167824</v>
      </c>
      <c r="B1881" s="3" t="s">
        <v>48</v>
      </c>
      <c r="C1881" s="2" t="s">
        <v>49</v>
      </c>
    </row>
    <row r="1882">
      <c r="A1882" s="1">
        <v>43352.43183347222</v>
      </c>
      <c r="B1882" s="3" t="s">
        <v>48</v>
      </c>
      <c r="C1882" s="2" t="s">
        <v>49</v>
      </c>
    </row>
    <row r="1883">
      <c r="A1883" s="1">
        <v>43352.43186837963</v>
      </c>
      <c r="B1883" s="3" t="s">
        <v>113</v>
      </c>
      <c r="C1883" s="2" t="s">
        <v>114</v>
      </c>
    </row>
    <row r="1884">
      <c r="A1884" s="1">
        <v>43352.43193543982</v>
      </c>
      <c r="B1884" s="3" t="s">
        <v>159</v>
      </c>
      <c r="C1884" s="2" t="s">
        <v>160</v>
      </c>
    </row>
    <row r="1885">
      <c r="A1885" s="1">
        <v>43352.43198465278</v>
      </c>
      <c r="B1885" s="3" t="s">
        <v>113</v>
      </c>
      <c r="C1885" s="2" t="s">
        <v>114</v>
      </c>
    </row>
    <row r="1886">
      <c r="A1886" s="1">
        <v>43352.43210802083</v>
      </c>
      <c r="B1886" s="2">
        <v>165.0</v>
      </c>
      <c r="C1886" s="2" t="s">
        <v>50</v>
      </c>
    </row>
    <row r="1887">
      <c r="A1887" s="1">
        <v>43352.43270431713</v>
      </c>
      <c r="B1887" s="2">
        <v>661.0</v>
      </c>
      <c r="C1887" s="2" t="s">
        <v>153</v>
      </c>
    </row>
    <row r="1888">
      <c r="A1888" s="1">
        <v>43352.43273744213</v>
      </c>
      <c r="B1888" s="3" t="s">
        <v>113</v>
      </c>
      <c r="C1888" s="2" t="s">
        <v>114</v>
      </c>
    </row>
    <row r="1889">
      <c r="A1889" s="1">
        <v>43352.4328896875</v>
      </c>
      <c r="B1889" s="2">
        <v>717.0</v>
      </c>
      <c r="C1889" s="2" t="s">
        <v>152</v>
      </c>
      <c r="D1889" s="2" t="s">
        <v>5</v>
      </c>
    </row>
    <row r="1890">
      <c r="A1890" s="1">
        <v>43352.432926215275</v>
      </c>
      <c r="B1890" s="3" t="s">
        <v>113</v>
      </c>
      <c r="C1890" s="2" t="s">
        <v>114</v>
      </c>
    </row>
    <row r="1891">
      <c r="A1891" s="1">
        <v>43352.4331987037</v>
      </c>
      <c r="B1891" s="3" t="s">
        <v>11</v>
      </c>
      <c r="C1891" s="2" t="s">
        <v>12</v>
      </c>
    </row>
    <row r="1892">
      <c r="A1892" s="1">
        <v>43352.43322997685</v>
      </c>
      <c r="B1892" s="3" t="s">
        <v>113</v>
      </c>
      <c r="C1892" s="2" t="s">
        <v>114</v>
      </c>
    </row>
    <row r="1893">
      <c r="A1893" s="1">
        <v>43352.43350085648</v>
      </c>
      <c r="B1893" s="2">
        <v>661.0</v>
      </c>
      <c r="C1893" s="2" t="s">
        <v>153</v>
      </c>
    </row>
    <row r="1894">
      <c r="A1894" s="1">
        <v>43352.43350435185</v>
      </c>
      <c r="B1894" s="2">
        <v>661.0</v>
      </c>
      <c r="C1894" s="2" t="s">
        <v>153</v>
      </c>
    </row>
    <row r="1895">
      <c r="A1895" s="1">
        <v>43352.43351162037</v>
      </c>
      <c r="B1895" s="2">
        <v>661.0</v>
      </c>
      <c r="C1895" s="2" t="s">
        <v>153</v>
      </c>
    </row>
    <row r="1896">
      <c r="A1896" s="1">
        <v>43352.43373438658</v>
      </c>
      <c r="B1896" s="2">
        <v>716.0</v>
      </c>
      <c r="C1896" s="2" t="s">
        <v>123</v>
      </c>
      <c r="D1896" s="2" t="s">
        <v>5</v>
      </c>
    </row>
    <row r="1897">
      <c r="A1897" s="1">
        <v>43352.43376876158</v>
      </c>
      <c r="B1897" s="3" t="s">
        <v>113</v>
      </c>
      <c r="C1897" s="2" t="s">
        <v>114</v>
      </c>
    </row>
    <row r="1898">
      <c r="A1898" s="1">
        <v>43352.43389273148</v>
      </c>
      <c r="B1898" s="3" t="s">
        <v>88</v>
      </c>
      <c r="C1898" s="2" t="s">
        <v>89</v>
      </c>
    </row>
    <row r="1899">
      <c r="A1899" s="1">
        <v>43352.43412133102</v>
      </c>
      <c r="B1899" s="3" t="s">
        <v>113</v>
      </c>
      <c r="C1899" s="2" t="s">
        <v>114</v>
      </c>
    </row>
    <row r="1900">
      <c r="A1900" s="1">
        <v>43352.43439332176</v>
      </c>
      <c r="B1900" s="3" t="s">
        <v>48</v>
      </c>
      <c r="C1900" s="2" t="s">
        <v>49</v>
      </c>
    </row>
    <row r="1901">
      <c r="A1901" s="1">
        <v>43352.43439443287</v>
      </c>
      <c r="B1901" s="3" t="s">
        <v>150</v>
      </c>
      <c r="C1901" s="2" t="s">
        <v>151</v>
      </c>
    </row>
    <row r="1902">
      <c r="A1902" s="1">
        <v>43352.434549178244</v>
      </c>
      <c r="B1902" s="3" t="s">
        <v>113</v>
      </c>
      <c r="C1902" s="2" t="s">
        <v>114</v>
      </c>
    </row>
    <row r="1903">
      <c r="A1903" s="1">
        <v>43352.43462296296</v>
      </c>
      <c r="B1903" s="2">
        <v>113.0</v>
      </c>
      <c r="C1903" s="2" t="s">
        <v>29</v>
      </c>
    </row>
    <row r="1904">
      <c r="A1904" s="1">
        <v>43352.43468702547</v>
      </c>
      <c r="B1904" s="3" t="s">
        <v>113</v>
      </c>
      <c r="C1904" s="2" t="s">
        <v>114</v>
      </c>
    </row>
    <row r="1905">
      <c r="A1905" s="1">
        <v>43352.434827060184</v>
      </c>
      <c r="B1905" s="3" t="s">
        <v>44</v>
      </c>
      <c r="C1905" s="2" t="s">
        <v>45</v>
      </c>
    </row>
    <row r="1906">
      <c r="A1906" s="1">
        <v>43352.43491373843</v>
      </c>
      <c r="B1906" s="3" t="s">
        <v>113</v>
      </c>
      <c r="C1906" s="2" t="s">
        <v>114</v>
      </c>
    </row>
    <row r="1907">
      <c r="A1907" s="1">
        <v>43352.43491401621</v>
      </c>
      <c r="B1907" s="2">
        <v>667.0</v>
      </c>
      <c r="C1907" s="2" t="s">
        <v>73</v>
      </c>
    </row>
    <row r="1908">
      <c r="A1908" s="1">
        <v>43352.43507611111</v>
      </c>
      <c r="B1908" s="2">
        <v>193.0</v>
      </c>
      <c r="C1908" s="2" t="s">
        <v>30</v>
      </c>
    </row>
    <row r="1909">
      <c r="A1909" s="1">
        <v>43352.43516865741</v>
      </c>
      <c r="B1909" s="3" t="s">
        <v>113</v>
      </c>
      <c r="C1909" s="2" t="s">
        <v>114</v>
      </c>
    </row>
    <row r="1910">
      <c r="A1910" s="1">
        <v>43352.43574048611</v>
      </c>
      <c r="B1910" s="2">
        <v>667.0</v>
      </c>
      <c r="C1910" s="2" t="s">
        <v>73</v>
      </c>
    </row>
    <row r="1911">
      <c r="A1911" s="1">
        <v>43352.43610204861</v>
      </c>
      <c r="B1911" s="3" t="s">
        <v>113</v>
      </c>
      <c r="C1911" s="2" t="s">
        <v>114</v>
      </c>
    </row>
    <row r="1912">
      <c r="A1912" s="1">
        <v>43352.436253078704</v>
      </c>
      <c r="B1912" s="3" t="s">
        <v>13</v>
      </c>
      <c r="C1912" s="2" t="s">
        <v>14</v>
      </c>
    </row>
    <row r="1913">
      <c r="A1913" s="1">
        <v>43352.43633539352</v>
      </c>
      <c r="B1913" s="3" t="s">
        <v>113</v>
      </c>
      <c r="C1913" s="2" t="s">
        <v>114</v>
      </c>
    </row>
    <row r="1914">
      <c r="A1914" s="1">
        <v>43352.436587187505</v>
      </c>
      <c r="B1914" s="2">
        <v>703.0</v>
      </c>
      <c r="C1914" s="2" t="s">
        <v>157</v>
      </c>
      <c r="D1914" s="2" t="s">
        <v>5</v>
      </c>
    </row>
    <row r="1915">
      <c r="A1915" s="1">
        <v>43352.436749976856</v>
      </c>
      <c r="B1915" s="3" t="s">
        <v>113</v>
      </c>
      <c r="C1915" s="2" t="s">
        <v>114</v>
      </c>
    </row>
    <row r="1916">
      <c r="A1916" s="1">
        <v>43352.43695275463</v>
      </c>
      <c r="B1916" s="3" t="s">
        <v>119</v>
      </c>
      <c r="C1916" s="2" t="s">
        <v>120</v>
      </c>
    </row>
    <row r="1917">
      <c r="A1917" s="1">
        <v>43352.43699497685</v>
      </c>
      <c r="B1917" s="3" t="s">
        <v>113</v>
      </c>
      <c r="C1917" s="2" t="s">
        <v>114</v>
      </c>
    </row>
    <row r="1918">
      <c r="A1918" s="1">
        <v>43352.437264224536</v>
      </c>
      <c r="B1918" s="2">
        <v>734.0</v>
      </c>
      <c r="C1918" s="2" t="s">
        <v>63</v>
      </c>
      <c r="D1918" s="2" t="s">
        <v>5</v>
      </c>
    </row>
    <row r="1919">
      <c r="A1919" s="1">
        <v>43352.43730318287</v>
      </c>
      <c r="B1919" s="3" t="s">
        <v>113</v>
      </c>
      <c r="C1919" s="2" t="s">
        <v>114</v>
      </c>
    </row>
    <row r="1920">
      <c r="A1920" s="1">
        <v>43352.437411747684</v>
      </c>
      <c r="B1920" s="2">
        <v>259.0</v>
      </c>
      <c r="C1920" s="2" t="s">
        <v>66</v>
      </c>
    </row>
    <row r="1921">
      <c r="A1921" s="1">
        <v>43352.43749431713</v>
      </c>
      <c r="B1921" s="2">
        <v>260.0</v>
      </c>
      <c r="C1921" s="2" t="s">
        <v>67</v>
      </c>
    </row>
    <row r="1922">
      <c r="A1922" s="1">
        <v>43352.43751309028</v>
      </c>
    </row>
    <row r="1923">
      <c r="A1923" s="1">
        <v>43352.437548182876</v>
      </c>
      <c r="B1923" s="3" t="s">
        <v>113</v>
      </c>
      <c r="C1923" s="2" t="s">
        <v>114</v>
      </c>
    </row>
    <row r="1924">
      <c r="A1924" s="1">
        <v>43352.43767494213</v>
      </c>
      <c r="B1924" s="2">
        <v>718.0</v>
      </c>
      <c r="C1924" s="2" t="s">
        <v>105</v>
      </c>
      <c r="D1924" s="2" t="s">
        <v>5</v>
      </c>
    </row>
    <row r="1925">
      <c r="A1925" s="1">
        <v>43352.43776260417</v>
      </c>
      <c r="B1925" s="2">
        <v>719.0</v>
      </c>
      <c r="C1925" s="2" t="s">
        <v>106</v>
      </c>
      <c r="D1925" s="2" t="s">
        <v>5</v>
      </c>
    </row>
    <row r="1926">
      <c r="A1926" s="1">
        <v>43352.437799583335</v>
      </c>
      <c r="B1926" s="3" t="s">
        <v>113</v>
      </c>
      <c r="C1926" s="2" t="s">
        <v>114</v>
      </c>
    </row>
    <row r="1927">
      <c r="A1927" s="1">
        <v>43352.43794986111</v>
      </c>
      <c r="B1927" s="2">
        <v>101.0</v>
      </c>
      <c r="C1927" s="2" t="s">
        <v>108</v>
      </c>
    </row>
    <row r="1928">
      <c r="A1928" s="1">
        <v>43352.437993368054</v>
      </c>
      <c r="B1928" s="3" t="s">
        <v>113</v>
      </c>
      <c r="C1928" s="2" t="s">
        <v>114</v>
      </c>
    </row>
    <row r="1929">
      <c r="A1929" s="1">
        <v>43352.438674247685</v>
      </c>
      <c r="B1929" s="2">
        <v>52.0</v>
      </c>
      <c r="C1929" s="2" t="s">
        <v>41</v>
      </c>
    </row>
    <row r="1930">
      <c r="A1930" s="1">
        <v>43352.43879170139</v>
      </c>
      <c r="B1930" s="3" t="s">
        <v>113</v>
      </c>
      <c r="C1930" s="2" t="s">
        <v>114</v>
      </c>
    </row>
    <row r="1931">
      <c r="A1931" s="1">
        <v>43352.43886362269</v>
      </c>
      <c r="B1931" s="2">
        <v>618.0</v>
      </c>
      <c r="C1931" s="2" t="s">
        <v>147</v>
      </c>
    </row>
    <row r="1932">
      <c r="A1932" s="1">
        <v>43352.438928495365</v>
      </c>
      <c r="B1932" s="2">
        <v>158.0</v>
      </c>
      <c r="C1932" s="2" t="s">
        <v>62</v>
      </c>
    </row>
    <row r="1933">
      <c r="A1933" s="1">
        <v>43352.43896890046</v>
      </c>
      <c r="B1933" s="3" t="s">
        <v>113</v>
      </c>
      <c r="C1933" s="2" t="s">
        <v>114</v>
      </c>
    </row>
    <row r="1934">
      <c r="A1934" s="1">
        <v>43352.43964681713</v>
      </c>
      <c r="B1934" s="2">
        <v>229.0</v>
      </c>
      <c r="C1934" s="2" t="s">
        <v>86</v>
      </c>
    </row>
    <row r="1935">
      <c r="A1935" s="1">
        <v>43352.43970028935</v>
      </c>
      <c r="B1935" s="3" t="s">
        <v>113</v>
      </c>
      <c r="C1935" s="2" t="s">
        <v>114</v>
      </c>
    </row>
    <row r="1936">
      <c r="A1936" s="1">
        <v>43352.43993116898</v>
      </c>
      <c r="B1936" s="2">
        <v>124.0</v>
      </c>
      <c r="C1936" s="2" t="s">
        <v>107</v>
      </c>
    </row>
    <row r="1937">
      <c r="A1937" s="1">
        <v>43352.440104444446</v>
      </c>
      <c r="B1937" s="3" t="s">
        <v>113</v>
      </c>
      <c r="C1937" s="2" t="s">
        <v>114</v>
      </c>
    </row>
    <row r="1938">
      <c r="A1938" s="1">
        <v>43352.44037011574</v>
      </c>
      <c r="B1938" s="3" t="s">
        <v>80</v>
      </c>
      <c r="C1938" s="2" t="s">
        <v>81</v>
      </c>
    </row>
    <row r="1939">
      <c r="A1939" s="1">
        <v>43352.440462893515</v>
      </c>
      <c r="B1939" s="3" t="s">
        <v>113</v>
      </c>
      <c r="C1939" s="2" t="s">
        <v>114</v>
      </c>
    </row>
    <row r="1940">
      <c r="A1940" s="1">
        <v>43352.44135820602</v>
      </c>
      <c r="B1940" s="2">
        <v>208.0</v>
      </c>
      <c r="C1940" s="2" t="s">
        <v>182</v>
      </c>
    </row>
    <row r="1941">
      <c r="A1941" s="1">
        <v>43352.44144388889</v>
      </c>
      <c r="B1941" s="3" t="s">
        <v>113</v>
      </c>
      <c r="C1941" s="2" t="s">
        <v>114</v>
      </c>
    </row>
    <row r="1942">
      <c r="A1942" s="1">
        <v>43352.441723067124</v>
      </c>
      <c r="B1942" s="2">
        <v>736.0</v>
      </c>
      <c r="C1942" s="2" t="s">
        <v>175</v>
      </c>
      <c r="D1942" s="2" t="s">
        <v>5</v>
      </c>
    </row>
    <row r="1943">
      <c r="A1943" s="1">
        <v>43352.44175471065</v>
      </c>
      <c r="B1943" s="3" t="s">
        <v>113</v>
      </c>
      <c r="C1943" s="2" t="s">
        <v>114</v>
      </c>
    </row>
    <row r="1944">
      <c r="A1944" s="1">
        <v>43352.44179677083</v>
      </c>
      <c r="B1944" s="2">
        <v>737.0</v>
      </c>
      <c r="C1944" s="2" t="s">
        <v>176</v>
      </c>
      <c r="D1944" s="2" t="s">
        <v>5</v>
      </c>
    </row>
    <row r="1945">
      <c r="A1945" s="1">
        <v>43352.44184033565</v>
      </c>
      <c r="B1945" s="3" t="s">
        <v>113</v>
      </c>
      <c r="C1945" s="2" t="s">
        <v>114</v>
      </c>
    </row>
    <row r="1946">
      <c r="A1946" s="1">
        <v>43352.44209211806</v>
      </c>
      <c r="B1946" s="2">
        <v>649.0</v>
      </c>
      <c r="C1946" s="2" t="s">
        <v>177</v>
      </c>
    </row>
    <row r="1947">
      <c r="A1947" s="1">
        <v>43352.44213039352</v>
      </c>
      <c r="B1947" s="3" t="s">
        <v>113</v>
      </c>
      <c r="C1947" s="2" t="s">
        <v>114</v>
      </c>
    </row>
    <row r="1948">
      <c r="A1948" s="1">
        <v>43352.442408773146</v>
      </c>
      <c r="B1948" s="2">
        <v>114.0</v>
      </c>
      <c r="C1948" s="2" t="s">
        <v>15</v>
      </c>
    </row>
    <row r="1949">
      <c r="A1949" s="1">
        <v>43352.442451863426</v>
      </c>
      <c r="B1949" s="3" t="s">
        <v>113</v>
      </c>
      <c r="C1949" s="2" t="s">
        <v>114</v>
      </c>
    </row>
    <row r="1950">
      <c r="A1950" s="1">
        <v>43352.443027037036</v>
      </c>
      <c r="B1950" s="2">
        <v>708.0</v>
      </c>
      <c r="C1950" s="2" t="s">
        <v>4</v>
      </c>
      <c r="D1950" s="2" t="s">
        <v>5</v>
      </c>
    </row>
    <row r="1951">
      <c r="A1951" s="1">
        <v>43352.44305934028</v>
      </c>
      <c r="B1951" s="3" t="s">
        <v>113</v>
      </c>
      <c r="C1951" s="2" t="s">
        <v>114</v>
      </c>
    </row>
    <row r="1952">
      <c r="A1952" s="1">
        <v>43352.4431040162</v>
      </c>
      <c r="B1952" s="2">
        <v>709.0</v>
      </c>
      <c r="C1952" s="2" t="s">
        <v>20</v>
      </c>
      <c r="D1952" s="2" t="s">
        <v>5</v>
      </c>
    </row>
    <row r="1953">
      <c r="A1953" s="1">
        <v>43352.44313746528</v>
      </c>
      <c r="B1953" s="3" t="s">
        <v>113</v>
      </c>
      <c r="C1953" s="2" t="s">
        <v>114</v>
      </c>
    </row>
    <row r="1954">
      <c r="A1954" s="1">
        <v>43352.44319855324</v>
      </c>
      <c r="B1954" s="2">
        <v>710.0</v>
      </c>
      <c r="C1954" s="2" t="s">
        <v>21</v>
      </c>
      <c r="D1954" s="2" t="s">
        <v>5</v>
      </c>
    </row>
    <row r="1955">
      <c r="A1955" s="1">
        <v>43352.44376958333</v>
      </c>
      <c r="B1955" s="3" t="s">
        <v>9</v>
      </c>
      <c r="C1955" s="2" t="s">
        <v>10</v>
      </c>
    </row>
    <row r="1956">
      <c r="A1956" s="1">
        <v>43352.44438648148</v>
      </c>
      <c r="B1956" s="3" t="s">
        <v>113</v>
      </c>
      <c r="C1956" s="2" t="s">
        <v>114</v>
      </c>
    </row>
    <row r="1957">
      <c r="A1957" s="1">
        <v>43352.44551449074</v>
      </c>
      <c r="B1957" s="2">
        <v>215.0</v>
      </c>
      <c r="C1957" s="2" t="s">
        <v>137</v>
      </c>
    </row>
    <row r="1958">
      <c r="A1958" s="1">
        <v>43352.445645914355</v>
      </c>
      <c r="B1958" s="3" t="s">
        <v>113</v>
      </c>
      <c r="C1958" s="2" t="s">
        <v>114</v>
      </c>
    </row>
    <row r="1959">
      <c r="A1959" s="1">
        <v>43352.446813703704</v>
      </c>
      <c r="B1959" s="2">
        <v>713.0</v>
      </c>
      <c r="C1959" s="2" t="s">
        <v>121</v>
      </c>
      <c r="D1959" s="2" t="s">
        <v>5</v>
      </c>
    </row>
    <row r="1960">
      <c r="A1960" s="1">
        <v>43352.446845081024</v>
      </c>
      <c r="B1960" s="3" t="s">
        <v>113</v>
      </c>
      <c r="C1960" s="2" t="s">
        <v>114</v>
      </c>
    </row>
    <row r="1961">
      <c r="A1961" s="1">
        <v>43352.44690016204</v>
      </c>
      <c r="B1961" s="2">
        <v>714.0</v>
      </c>
      <c r="C1961" s="2" t="s">
        <v>122</v>
      </c>
      <c r="D1961" s="2" t="s">
        <v>5</v>
      </c>
    </row>
    <row r="1962">
      <c r="A1962" s="1">
        <v>43352.4469341088</v>
      </c>
      <c r="B1962" s="3" t="s">
        <v>113</v>
      </c>
      <c r="C1962" s="2" t="s">
        <v>114</v>
      </c>
    </row>
    <row r="1963">
      <c r="A1963" s="1">
        <v>43352.44705378472</v>
      </c>
      <c r="B1963" s="3" t="s">
        <v>119</v>
      </c>
      <c r="C1963" s="2" t="s">
        <v>120</v>
      </c>
    </row>
    <row r="1964">
      <c r="A1964" s="1">
        <v>43352.44709724537</v>
      </c>
      <c r="B1964" s="3" t="s">
        <v>113</v>
      </c>
      <c r="C1964" s="2" t="s">
        <v>114</v>
      </c>
    </row>
    <row r="1965">
      <c r="A1965" s="1">
        <v>43352.44724783565</v>
      </c>
      <c r="B1965" s="3" t="s">
        <v>117</v>
      </c>
      <c r="C1965" s="2" t="s">
        <v>118</v>
      </c>
    </row>
    <row r="1966">
      <c r="A1966" s="1">
        <v>43352.4477878125</v>
      </c>
      <c r="B1966" s="3" t="s">
        <v>113</v>
      </c>
      <c r="C1966" s="2" t="s">
        <v>114</v>
      </c>
    </row>
    <row r="1967">
      <c r="A1967" s="1">
        <v>43352.4482928125</v>
      </c>
      <c r="B1967" s="2">
        <v>214.0</v>
      </c>
      <c r="C1967" s="2" t="s">
        <v>47</v>
      </c>
    </row>
    <row r="1968">
      <c r="A1968" s="1">
        <v>43352.44833648148</v>
      </c>
      <c r="B1968" s="3" t="s">
        <v>113</v>
      </c>
      <c r="C1968" s="2" t="s">
        <v>114</v>
      </c>
    </row>
    <row r="1969">
      <c r="A1969" s="1">
        <v>43352.44967361111</v>
      </c>
      <c r="B1969" s="3" t="s">
        <v>103</v>
      </c>
      <c r="C1969" s="2" t="s">
        <v>104</v>
      </c>
    </row>
    <row r="1970">
      <c r="A1970" s="1">
        <v>43352.449740763885</v>
      </c>
      <c r="B1970" s="3" t="s">
        <v>113</v>
      </c>
      <c r="C1970" s="2" t="s">
        <v>114</v>
      </c>
    </row>
    <row r="1971">
      <c r="A1971" s="1">
        <v>43352.449970381946</v>
      </c>
      <c r="B1971" s="2">
        <v>160.0</v>
      </c>
      <c r="C1971" s="2" t="s">
        <v>154</v>
      </c>
    </row>
    <row r="1972">
      <c r="A1972" s="1">
        <v>43352.45015101852</v>
      </c>
      <c r="B1972" s="2">
        <v>198.0</v>
      </c>
      <c r="C1972" s="2" t="s">
        <v>97</v>
      </c>
    </row>
    <row r="1973">
      <c r="A1973" s="1">
        <v>43352.4502277662</v>
      </c>
      <c r="B1973" s="3" t="s">
        <v>113</v>
      </c>
      <c r="C1973" s="2" t="s">
        <v>114</v>
      </c>
    </row>
    <row r="1974">
      <c r="A1974" s="1">
        <v>43352.45065815972</v>
      </c>
      <c r="B1974" s="3" t="s">
        <v>55</v>
      </c>
      <c r="C1974" s="2" t="s">
        <v>56</v>
      </c>
    </row>
    <row r="1975">
      <c r="A1975" s="1">
        <v>43352.45069009259</v>
      </c>
      <c r="B1975" s="3" t="s">
        <v>113</v>
      </c>
      <c r="C1975" s="2" t="s">
        <v>114</v>
      </c>
    </row>
    <row r="1976">
      <c r="A1976" s="1">
        <v>43352.450962222225</v>
      </c>
      <c r="B1976" s="2">
        <v>662.0</v>
      </c>
      <c r="C1976" s="2" t="s">
        <v>18</v>
      </c>
    </row>
    <row r="1977">
      <c r="A1977" s="1">
        <v>43352.45099349537</v>
      </c>
      <c r="B1977" s="3" t="s">
        <v>113</v>
      </c>
      <c r="C1977" s="2" t="s">
        <v>114</v>
      </c>
    </row>
    <row r="1978">
      <c r="A1978" s="1">
        <v>43352.451779930554</v>
      </c>
      <c r="B1978" s="2">
        <v>702.0</v>
      </c>
      <c r="C1978" s="2" t="s">
        <v>96</v>
      </c>
      <c r="D1978" s="2" t="s">
        <v>5</v>
      </c>
    </row>
    <row r="1979">
      <c r="A1979" s="1">
        <v>43352.45190342593</v>
      </c>
      <c r="B1979" s="3" t="s">
        <v>94</v>
      </c>
      <c r="C1979" s="2" t="s">
        <v>95</v>
      </c>
    </row>
    <row r="1980">
      <c r="A1980" s="1">
        <v>43352.452000405094</v>
      </c>
      <c r="B1980" s="3" t="s">
        <v>88</v>
      </c>
      <c r="C1980" s="2" t="s">
        <v>89</v>
      </c>
    </row>
    <row r="1981">
      <c r="A1981" s="1">
        <v>43352.452010277775</v>
      </c>
      <c r="B1981" s="2">
        <v>198.0</v>
      </c>
      <c r="C1981" s="2" t="s">
        <v>97</v>
      </c>
    </row>
    <row r="1982">
      <c r="A1982" s="1">
        <v>43352.45285177084</v>
      </c>
      <c r="B1982" s="3" t="s">
        <v>111</v>
      </c>
      <c r="C1982" s="2" t="s">
        <v>112</v>
      </c>
    </row>
    <row r="1983">
      <c r="A1983" s="1">
        <v>43352.45293864583</v>
      </c>
      <c r="B1983" s="3" t="s">
        <v>113</v>
      </c>
      <c r="C1983" s="2" t="s">
        <v>114</v>
      </c>
    </row>
    <row r="1984">
      <c r="A1984" s="1">
        <v>43352.453044270835</v>
      </c>
      <c r="B1984" s="3" t="s">
        <v>94</v>
      </c>
      <c r="C1984" s="2" t="s">
        <v>95</v>
      </c>
    </row>
    <row r="1985">
      <c r="A1985" s="1">
        <v>43352.45320063658</v>
      </c>
      <c r="B1985" s="3" t="s">
        <v>42</v>
      </c>
      <c r="C1985" s="2" t="s">
        <v>43</v>
      </c>
    </row>
    <row r="1986">
      <c r="A1986" s="1">
        <v>43352.453357164355</v>
      </c>
      <c r="B1986" s="2">
        <v>141.0</v>
      </c>
      <c r="C1986" s="2" t="s">
        <v>53</v>
      </c>
    </row>
    <row r="1987">
      <c r="A1987" s="1">
        <v>43352.45406658565</v>
      </c>
      <c r="B1987" s="2">
        <v>729.0</v>
      </c>
      <c r="C1987" s="2" t="s">
        <v>54</v>
      </c>
      <c r="D1987" s="2" t="s">
        <v>5</v>
      </c>
    </row>
    <row r="1988">
      <c r="A1988" s="1">
        <v>43352.45419365741</v>
      </c>
      <c r="B1988" s="2">
        <v>707.0</v>
      </c>
      <c r="C1988" s="2" t="s">
        <v>57</v>
      </c>
      <c r="D1988" s="2" t="s">
        <v>5</v>
      </c>
    </row>
    <row r="1989">
      <c r="A1989" s="1">
        <v>43352.45513607639</v>
      </c>
      <c r="B1989" s="3" t="s">
        <v>42</v>
      </c>
      <c r="C1989" s="2" t="s">
        <v>43</v>
      </c>
    </row>
    <row r="1990">
      <c r="A1990" s="1">
        <v>43352.45580265047</v>
      </c>
      <c r="B1990" s="2">
        <v>126.0</v>
      </c>
      <c r="C1990" s="2" t="s">
        <v>87</v>
      </c>
    </row>
    <row r="1991">
      <c r="A1991" s="1">
        <v>43352.455888125</v>
      </c>
      <c r="B1991" s="3" t="s">
        <v>113</v>
      </c>
      <c r="C1991" s="2" t="s">
        <v>114</v>
      </c>
    </row>
    <row r="1992">
      <c r="A1992" s="1">
        <v>43352.45625013889</v>
      </c>
      <c r="B1992" s="2">
        <v>214.0</v>
      </c>
      <c r="C1992" s="2" t="s">
        <v>47</v>
      </c>
    </row>
    <row r="1993">
      <c r="A1993" s="1">
        <v>43352.45651150463</v>
      </c>
      <c r="B1993" s="2">
        <v>246.0</v>
      </c>
      <c r="C1993" s="2" t="s">
        <v>26</v>
      </c>
    </row>
    <row r="1994">
      <c r="A1994" s="1">
        <v>43352.45656741898</v>
      </c>
      <c r="B1994" s="2">
        <v>246.0</v>
      </c>
      <c r="C1994" s="2" t="s">
        <v>26</v>
      </c>
    </row>
    <row r="1995">
      <c r="A1995" s="1">
        <v>43352.456864155094</v>
      </c>
      <c r="B1995" s="2">
        <v>246.0</v>
      </c>
      <c r="C1995" s="2" t="s">
        <v>26</v>
      </c>
    </row>
    <row r="1996">
      <c r="A1996" s="1">
        <v>43352.458661157405</v>
      </c>
      <c r="B1996" s="3" t="s">
        <v>113</v>
      </c>
      <c r="C1996" s="2" t="s">
        <v>114</v>
      </c>
    </row>
    <row r="1997">
      <c r="A1997" s="1">
        <v>43352.45867461806</v>
      </c>
      <c r="B1997" s="2">
        <v>711.0</v>
      </c>
      <c r="C1997" s="2" t="s">
        <v>8</v>
      </c>
      <c r="D1997" s="2" t="s">
        <v>5</v>
      </c>
    </row>
    <row r="1998">
      <c r="A1998" s="1">
        <v>43352.45882226852</v>
      </c>
      <c r="B1998" s="3" t="s">
        <v>113</v>
      </c>
      <c r="C1998" s="2" t="s">
        <v>114</v>
      </c>
    </row>
    <row r="1999">
      <c r="A1999" s="1">
        <v>43352.462188310186</v>
      </c>
      <c r="B1999" s="2">
        <v>618.0</v>
      </c>
      <c r="C1999" s="2" t="s">
        <v>147</v>
      </c>
    </row>
    <row r="2000">
      <c r="A2000" s="1">
        <v>43352.46246917824</v>
      </c>
      <c r="B2000" s="2">
        <v>653.0</v>
      </c>
      <c r="C2000" s="2" t="s">
        <v>77</v>
      </c>
    </row>
    <row r="2001">
      <c r="A2001" s="1">
        <v>43352.46275993055</v>
      </c>
      <c r="B2001" s="3" t="s">
        <v>98</v>
      </c>
      <c r="C2001" s="2" t="s">
        <v>99</v>
      </c>
    </row>
    <row r="2002">
      <c r="A2002" s="1">
        <v>43352.46279394676</v>
      </c>
      <c r="B2002" s="3" t="s">
        <v>113</v>
      </c>
      <c r="C2002" s="2" t="s">
        <v>114</v>
      </c>
    </row>
    <row r="2003">
      <c r="A2003" s="1">
        <v>43352.462806111114</v>
      </c>
      <c r="B2003" s="2">
        <v>158.0</v>
      </c>
      <c r="C2003" s="2" t="s">
        <v>62</v>
      </c>
    </row>
    <row r="2004">
      <c r="A2004" s="1">
        <v>43352.46291391204</v>
      </c>
      <c r="B2004" s="2">
        <v>726.0</v>
      </c>
      <c r="C2004" s="2" t="s">
        <v>101</v>
      </c>
      <c r="D2004" s="2" t="s">
        <v>5</v>
      </c>
    </row>
    <row r="2005">
      <c r="A2005" s="1">
        <v>43352.4629571875</v>
      </c>
      <c r="B2005" s="3" t="s">
        <v>113</v>
      </c>
      <c r="C2005" s="2" t="s">
        <v>114</v>
      </c>
    </row>
    <row r="2006">
      <c r="A2006" s="1">
        <v>43352.463025902776</v>
      </c>
      <c r="B2006" s="2">
        <v>732.0</v>
      </c>
      <c r="C2006" s="2" t="s">
        <v>102</v>
      </c>
      <c r="D2006" s="2" t="s">
        <v>5</v>
      </c>
    </row>
    <row r="2007">
      <c r="A2007" s="1">
        <v>43352.4642937037</v>
      </c>
      <c r="B2007" s="3" t="s">
        <v>113</v>
      </c>
      <c r="C2007" s="2" t="s">
        <v>114</v>
      </c>
    </row>
    <row r="2008">
      <c r="A2008" s="1">
        <v>43352.4683065625</v>
      </c>
      <c r="B2008" s="2">
        <v>165.0</v>
      </c>
      <c r="C2008" s="2" t="s">
        <v>50</v>
      </c>
    </row>
    <row r="2009">
      <c r="A2009" s="1">
        <v>43352.47109195602</v>
      </c>
      <c r="B2009" s="2">
        <v>721.0</v>
      </c>
      <c r="C2009" s="2" t="s">
        <v>156</v>
      </c>
      <c r="D2009" s="2" t="s">
        <v>5</v>
      </c>
    </row>
    <row r="2010">
      <c r="A2010" s="1">
        <v>43352.47131980324</v>
      </c>
      <c r="B2010" s="2">
        <v>720.0</v>
      </c>
      <c r="C2010" s="2" t="s">
        <v>155</v>
      </c>
      <c r="D2010" s="2" t="s">
        <v>5</v>
      </c>
    </row>
    <row r="2011">
      <c r="A2011" s="1">
        <v>43352.484531863425</v>
      </c>
      <c r="B2011" s="3" t="s">
        <v>44</v>
      </c>
      <c r="C2011" s="2" t="s">
        <v>45</v>
      </c>
    </row>
    <row r="2012">
      <c r="A2012" s="1">
        <v>43352.499216111115</v>
      </c>
      <c r="B2012" s="3" t="s">
        <v>117</v>
      </c>
      <c r="C2012" s="2" t="s">
        <v>118</v>
      </c>
    </row>
    <row r="2013">
      <c r="A2013" s="1">
        <v>43352.499342118055</v>
      </c>
      <c r="B2013" s="2">
        <v>114.0</v>
      </c>
      <c r="C2013" s="2" t="s">
        <v>15</v>
      </c>
    </row>
    <row r="2014">
      <c r="A2014" s="1">
        <v>43352.49935828704</v>
      </c>
      <c r="B2014" s="2">
        <v>114.0</v>
      </c>
      <c r="C2014" s="2" t="s">
        <v>15</v>
      </c>
    </row>
    <row r="2015">
      <c r="A2015" s="1">
        <v>43352.499358298606</v>
      </c>
      <c r="B2015" s="2">
        <v>114.0</v>
      </c>
      <c r="C2015" s="2" t="s">
        <v>15</v>
      </c>
    </row>
    <row r="2016">
      <c r="A2016" s="1">
        <v>43352.499452476855</v>
      </c>
      <c r="B2016" s="2">
        <v>602.0</v>
      </c>
      <c r="C2016" s="2" t="s">
        <v>131</v>
      </c>
    </row>
    <row r="2017">
      <c r="A2017" s="1">
        <v>43352.499722395834</v>
      </c>
      <c r="B2017" s="3" t="s">
        <v>117</v>
      </c>
      <c r="C2017" s="2" t="s">
        <v>118</v>
      </c>
    </row>
    <row r="2018">
      <c r="A2018" s="1">
        <v>43352.50033056713</v>
      </c>
      <c r="B2018" s="2">
        <v>661.0</v>
      </c>
      <c r="C2018" s="2" t="s">
        <v>153</v>
      </c>
    </row>
    <row r="2019">
      <c r="A2019" s="1">
        <v>43352.50075133102</v>
      </c>
      <c r="B2019" s="2">
        <v>616.0</v>
      </c>
      <c r="C2019" s="2" t="s">
        <v>71</v>
      </c>
    </row>
    <row r="2020">
      <c r="A2020" s="1">
        <v>43352.50077172453</v>
      </c>
      <c r="B2020" s="2">
        <v>661.0</v>
      </c>
      <c r="C2020" s="2" t="s">
        <v>153</v>
      </c>
    </row>
    <row r="2021">
      <c r="A2021" s="1">
        <v>43352.50084966436</v>
      </c>
      <c r="B2021" s="2">
        <v>616.0</v>
      </c>
      <c r="C2021" s="2" t="s">
        <v>71</v>
      </c>
    </row>
    <row r="2022">
      <c r="A2022" s="1">
        <v>43352.50097466435</v>
      </c>
      <c r="B2022" s="2">
        <v>616.0</v>
      </c>
      <c r="C2022" s="2" t="s">
        <v>71</v>
      </c>
    </row>
    <row r="2023">
      <c r="A2023" s="1">
        <v>43352.5009899537</v>
      </c>
      <c r="B2023" s="2">
        <v>661.0</v>
      </c>
      <c r="C2023" s="2" t="s">
        <v>153</v>
      </c>
    </row>
    <row r="2024">
      <c r="A2024" s="1">
        <v>43352.50111935185</v>
      </c>
      <c r="B2024" s="2">
        <v>189.0</v>
      </c>
      <c r="C2024" s="2" t="s">
        <v>128</v>
      </c>
    </row>
    <row r="2025">
      <c r="A2025" s="1">
        <v>43352.50121141203</v>
      </c>
      <c r="B2025" s="2">
        <v>717.0</v>
      </c>
      <c r="C2025" s="2" t="s">
        <v>152</v>
      </c>
      <c r="D2025" s="2" t="s">
        <v>5</v>
      </c>
    </row>
    <row r="2026">
      <c r="A2026" s="1">
        <v>43352.50121386574</v>
      </c>
      <c r="B2026" s="2">
        <v>717.0</v>
      </c>
      <c r="C2026" s="2" t="s">
        <v>152</v>
      </c>
      <c r="D2026" s="2" t="s">
        <v>5</v>
      </c>
    </row>
    <row r="2027">
      <c r="A2027" s="1">
        <v>43352.50122011574</v>
      </c>
      <c r="B2027" s="2">
        <v>717.0</v>
      </c>
      <c r="C2027" s="2" t="s">
        <v>152</v>
      </c>
      <c r="D2027" s="2" t="s">
        <v>5</v>
      </c>
    </row>
    <row r="2028">
      <c r="A2028" s="1">
        <v>43352.50144603009</v>
      </c>
      <c r="B2028" s="2">
        <v>717.0</v>
      </c>
      <c r="C2028" s="2" t="s">
        <v>152</v>
      </c>
      <c r="D2028" s="2" t="s">
        <v>5</v>
      </c>
    </row>
    <row r="2029">
      <c r="A2029" s="1">
        <v>43352.50150957176</v>
      </c>
      <c r="B2029" s="2">
        <v>717.0</v>
      </c>
      <c r="C2029" s="2" t="s">
        <v>152</v>
      </c>
      <c r="D2029" s="2" t="s">
        <v>5</v>
      </c>
    </row>
    <row r="2030">
      <c r="A2030" s="1">
        <v>43352.501562060184</v>
      </c>
      <c r="B2030" s="2">
        <v>717.0</v>
      </c>
      <c r="C2030" s="2" t="s">
        <v>152</v>
      </c>
      <c r="D2030" s="2" t="s">
        <v>5</v>
      </c>
    </row>
    <row r="2031">
      <c r="A2031" s="1">
        <v>43352.501610057865</v>
      </c>
      <c r="B2031" s="2">
        <v>616.0</v>
      </c>
      <c r="C2031" s="2" t="s">
        <v>71</v>
      </c>
    </row>
    <row r="2032">
      <c r="A2032" s="1">
        <v>43352.50198555556</v>
      </c>
      <c r="B2032" s="2">
        <v>167.0</v>
      </c>
      <c r="C2032" s="2" t="s">
        <v>39</v>
      </c>
    </row>
    <row r="2033">
      <c r="A2033" s="1">
        <v>43352.50214207176</v>
      </c>
      <c r="B2033" s="2">
        <v>189.0</v>
      </c>
      <c r="C2033" s="2" t="s">
        <v>128</v>
      </c>
    </row>
    <row r="2034">
      <c r="A2034" s="1">
        <v>43352.50228918981</v>
      </c>
    </row>
    <row r="2035">
      <c r="A2035" s="1">
        <v>43352.50290649306</v>
      </c>
      <c r="B2035" s="3" t="s">
        <v>111</v>
      </c>
      <c r="C2035" s="2" t="s">
        <v>112</v>
      </c>
    </row>
    <row r="2036">
      <c r="A2036" s="1">
        <v>43352.50306321759</v>
      </c>
      <c r="B2036" s="2">
        <v>114.0</v>
      </c>
      <c r="C2036" s="2" t="s">
        <v>15</v>
      </c>
    </row>
    <row r="2037">
      <c r="A2037" s="1">
        <v>43352.5030662037</v>
      </c>
      <c r="B2037" s="2">
        <v>114.0</v>
      </c>
      <c r="C2037" s="2" t="s">
        <v>15</v>
      </c>
    </row>
    <row r="2038">
      <c r="A2038" s="1">
        <v>43352.50306740741</v>
      </c>
      <c r="B2038" s="2">
        <v>114.0</v>
      </c>
      <c r="C2038" s="2" t="s">
        <v>15</v>
      </c>
    </row>
    <row r="2039">
      <c r="A2039" s="1">
        <v>43352.50385237268</v>
      </c>
      <c r="B2039" s="2">
        <v>661.0</v>
      </c>
      <c r="C2039" s="2" t="s">
        <v>153</v>
      </c>
    </row>
    <row r="2040">
      <c r="A2040" s="1">
        <v>43352.50407697917</v>
      </c>
      <c r="B2040" s="2">
        <v>661.0</v>
      </c>
      <c r="C2040" s="2" t="s">
        <v>153</v>
      </c>
    </row>
    <row r="2041">
      <c r="A2041" s="1">
        <v>43352.504205613426</v>
      </c>
      <c r="B2041" s="3" t="s">
        <v>80</v>
      </c>
      <c r="C2041" s="2" t="s">
        <v>81</v>
      </c>
    </row>
    <row r="2042">
      <c r="A2042" s="1">
        <v>43352.51523856481</v>
      </c>
      <c r="B2042" s="2">
        <v>246.0</v>
      </c>
      <c r="C2042" s="2" t="s">
        <v>26</v>
      </c>
    </row>
    <row r="2043">
      <c r="A2043" s="1">
        <v>43352.515443275464</v>
      </c>
      <c r="B2043" s="2">
        <v>214.0</v>
      </c>
      <c r="C2043" s="2" t="s">
        <v>47</v>
      </c>
    </row>
    <row r="2044">
      <c r="A2044" s="1">
        <v>43352.556740451386</v>
      </c>
      <c r="B2044" s="2">
        <v>214.0</v>
      </c>
      <c r="C2044" s="2" t="s">
        <v>47</v>
      </c>
    </row>
    <row r="2045">
      <c r="A2045" s="1">
        <v>43352.80187686342</v>
      </c>
      <c r="C2045" s="2" t="s">
        <v>195</v>
      </c>
    </row>
    <row r="2046">
      <c r="A2046" s="1">
        <v>43352.802120636574</v>
      </c>
      <c r="C2046" s="2" t="s">
        <v>196</v>
      </c>
    </row>
    <row r="2047">
      <c r="A2047" s="1">
        <v>43352.80240085648</v>
      </c>
      <c r="C2047" s="2" t="s">
        <v>197</v>
      </c>
    </row>
    <row r="2048">
      <c r="A2048" s="1">
        <v>43352.802580324074</v>
      </c>
      <c r="C2048" s="2" t="s">
        <v>198</v>
      </c>
    </row>
    <row r="2049">
      <c r="A2049" s="1">
        <v>43352.802752337964</v>
      </c>
      <c r="C2049" s="2" t="s">
        <v>199</v>
      </c>
    </row>
    <row r="2050">
      <c r="A2050" s="1">
        <v>43352.80288363426</v>
      </c>
      <c r="C2050" s="2" t="s">
        <v>200</v>
      </c>
    </row>
    <row r="2051">
      <c r="A2051" s="1">
        <v>43352.80310773148</v>
      </c>
      <c r="C2051" s="2" t="s">
        <v>201</v>
      </c>
    </row>
    <row r="2052">
      <c r="A2052" s="1">
        <v>43352.803294108795</v>
      </c>
      <c r="C2052" s="2" t="s">
        <v>19</v>
      </c>
    </row>
    <row r="2053">
      <c r="A2053" s="1">
        <v>43352.80343152778</v>
      </c>
      <c r="C2053" s="2" t="s">
        <v>202</v>
      </c>
    </row>
    <row r="2054">
      <c r="A2054" s="1">
        <v>43352.80380679398</v>
      </c>
      <c r="B2054" s="2">
        <v>673.0</v>
      </c>
      <c r="C2054" s="2" t="s">
        <v>189</v>
      </c>
    </row>
    <row r="2055">
      <c r="A2055" s="1">
        <v>43352.81469378472</v>
      </c>
      <c r="B2055" s="3" t="s">
        <v>184</v>
      </c>
      <c r="C2055" s="2" t="s">
        <v>185</v>
      </c>
    </row>
    <row r="2056">
      <c r="A2056" s="1">
        <v>43352.81782667824</v>
      </c>
    </row>
    <row r="2057">
      <c r="A2057" s="1">
        <v>43352.830942256944</v>
      </c>
      <c r="B2057" s="3" t="s">
        <v>184</v>
      </c>
      <c r="C2057" s="2" t="s">
        <v>185</v>
      </c>
    </row>
    <row r="2058">
      <c r="A2058" s="1">
        <v>43352.83272747685</v>
      </c>
      <c r="B2058" s="2">
        <v>606.0</v>
      </c>
      <c r="C2058" s="2" t="s">
        <v>174</v>
      </c>
    </row>
    <row r="2059">
      <c r="A2059" s="1">
        <v>43353.433077430556</v>
      </c>
      <c r="B2059" s="2">
        <v>673.0</v>
      </c>
      <c r="C2059" s="2" t="s">
        <v>189</v>
      </c>
    </row>
    <row r="2060">
      <c r="A2060" s="1">
        <v>43354.67439915509</v>
      </c>
      <c r="B2060" s="2">
        <v>661.0</v>
      </c>
      <c r="C2060" s="2" t="s">
        <v>153</v>
      </c>
    </row>
    <row r="2061">
      <c r="A2061" s="1">
        <v>43354.727209398145</v>
      </c>
      <c r="B2061" s="3" t="s">
        <v>113</v>
      </c>
      <c r="C2061" s="2" t="s">
        <v>114</v>
      </c>
    </row>
    <row r="2062">
      <c r="A2062" s="1">
        <v>43354.80198891203</v>
      </c>
      <c r="B2062" s="3" t="s">
        <v>74</v>
      </c>
      <c r="C2062" s="2" t="s">
        <v>75</v>
      </c>
    </row>
    <row r="2063">
      <c r="A2063" s="1">
        <v>43354.84936092593</v>
      </c>
      <c r="B2063" s="2">
        <v>198.0</v>
      </c>
      <c r="C2063" s="2" t="s">
        <v>97</v>
      </c>
    </row>
    <row r="2064">
      <c r="A2064" s="1">
        <v>43354.97602818287</v>
      </c>
      <c r="B2064" s="3" t="s">
        <v>11</v>
      </c>
      <c r="C2064" s="2" t="s">
        <v>12</v>
      </c>
    </row>
    <row r="2065">
      <c r="A2065" s="1">
        <v>43354.976535775466</v>
      </c>
      <c r="B2065" s="3" t="s">
        <v>11</v>
      </c>
      <c r="C2065" s="2" t="s">
        <v>12</v>
      </c>
    </row>
    <row r="2066">
      <c r="A2066" s="1">
        <v>43354.97777670139</v>
      </c>
      <c r="B2066" s="3" t="s">
        <v>117</v>
      </c>
      <c r="C2066" s="2" t="s">
        <v>118</v>
      </c>
    </row>
    <row r="2067">
      <c r="A2067" s="1">
        <v>43354.978040648144</v>
      </c>
      <c r="B2067" s="3" t="s">
        <v>117</v>
      </c>
      <c r="C2067" s="2" t="s">
        <v>118</v>
      </c>
    </row>
    <row r="2068">
      <c r="A2068" s="1">
        <v>43354.98185030093</v>
      </c>
      <c r="B2068" s="3" t="s">
        <v>44</v>
      </c>
      <c r="C2068" s="2" t="s">
        <v>45</v>
      </c>
    </row>
    <row r="2069">
      <c r="A2069" s="1">
        <v>43354.98616597222</v>
      </c>
      <c r="B2069" s="3" t="s">
        <v>184</v>
      </c>
      <c r="C2069" s="2" t="s">
        <v>185</v>
      </c>
    </row>
    <row r="2070">
      <c r="A2070" s="1">
        <v>43355.02752603009</v>
      </c>
      <c r="B2070" s="2">
        <v>210.0</v>
      </c>
      <c r="C2070" s="2" t="s">
        <v>64</v>
      </c>
    </row>
    <row r="2071">
      <c r="A2071" s="1">
        <v>43355.04547748843</v>
      </c>
      <c r="B2071" s="3" t="s">
        <v>42</v>
      </c>
      <c r="C2071" s="2" t="s">
        <v>43</v>
      </c>
    </row>
    <row r="2072">
      <c r="A2072" s="1">
        <v>43355.25066765046</v>
      </c>
      <c r="B2072" s="2">
        <v>167.0</v>
      </c>
      <c r="C2072" s="2" t="s">
        <v>39</v>
      </c>
    </row>
    <row r="2073">
      <c r="A2073" s="1">
        <v>43355.34020074074</v>
      </c>
      <c r="B2073" s="3" t="s">
        <v>186</v>
      </c>
      <c r="C2073" s="2" t="s">
        <v>187</v>
      </c>
    </row>
    <row r="2074">
      <c r="A2074" s="1">
        <v>43355.34037489584</v>
      </c>
      <c r="B2074" s="3" t="s">
        <v>184</v>
      </c>
      <c r="C2074" s="2" t="s">
        <v>185</v>
      </c>
    </row>
    <row r="2075">
      <c r="A2075" s="1">
        <v>43355.3509644213</v>
      </c>
      <c r="B2075" s="3" t="s">
        <v>98</v>
      </c>
      <c r="C2075" s="2" t="s">
        <v>99</v>
      </c>
    </row>
    <row r="2076">
      <c r="A2076" s="1">
        <v>43355.3517972338</v>
      </c>
      <c r="B2076" s="3" t="s">
        <v>98</v>
      </c>
      <c r="C2076" s="2" t="s">
        <v>99</v>
      </c>
    </row>
    <row r="2077">
      <c r="A2077" s="1">
        <v>43355.35254692129</v>
      </c>
      <c r="B2077" s="3" t="s">
        <v>98</v>
      </c>
      <c r="C2077" s="2" t="s">
        <v>99</v>
      </c>
    </row>
    <row r="2078">
      <c r="A2078" s="1">
        <v>43355.35294945602</v>
      </c>
      <c r="B2078" s="3" t="s">
        <v>98</v>
      </c>
      <c r="C2078" s="2" t="s">
        <v>99</v>
      </c>
    </row>
    <row r="2079">
      <c r="A2079" s="1">
        <v>43355.35439219908</v>
      </c>
      <c r="B2079" s="3" t="s">
        <v>98</v>
      </c>
      <c r="C2079" s="2" t="s">
        <v>99</v>
      </c>
    </row>
    <row r="2080">
      <c r="A2080" s="1">
        <v>43355.57663552083</v>
      </c>
      <c r="B2080" s="2">
        <v>207.0</v>
      </c>
      <c r="C2080" s="2" t="s">
        <v>85</v>
      </c>
    </row>
    <row r="2081">
      <c r="A2081" s="1">
        <v>43355.57889185185</v>
      </c>
      <c r="B2081" s="2">
        <v>207.0</v>
      </c>
      <c r="C2081" s="2" t="s">
        <v>85</v>
      </c>
    </row>
    <row r="2082">
      <c r="A2082" s="1">
        <v>43355.57937232639</v>
      </c>
      <c r="B2082" s="2">
        <v>207.0</v>
      </c>
      <c r="C2082" s="2" t="s">
        <v>85</v>
      </c>
    </row>
    <row r="2083">
      <c r="A2083" s="1">
        <v>43355.57960165509</v>
      </c>
      <c r="B2083" s="2">
        <v>207.0</v>
      </c>
      <c r="C2083" s="2" t="s">
        <v>85</v>
      </c>
    </row>
    <row r="2084">
      <c r="A2084" s="1">
        <v>43355.58253434028</v>
      </c>
      <c r="B2084" s="2">
        <v>219.0</v>
      </c>
      <c r="C2084" s="2" t="s">
        <v>31</v>
      </c>
    </row>
    <row r="2085">
      <c r="A2085" s="1">
        <v>43355.59098496528</v>
      </c>
      <c r="B2085" s="2">
        <v>70.0</v>
      </c>
      <c r="C2085" s="2" t="s">
        <v>183</v>
      </c>
    </row>
    <row r="2086">
      <c r="A2086" s="1">
        <v>43355.603425740745</v>
      </c>
      <c r="B2086" s="3" t="s">
        <v>98</v>
      </c>
      <c r="C2086" s="2" t="s">
        <v>99</v>
      </c>
    </row>
    <row r="2087">
      <c r="A2087" s="1">
        <v>43355.603479363424</v>
      </c>
      <c r="B2087" s="3" t="s">
        <v>98</v>
      </c>
      <c r="C2087" s="2" t="s">
        <v>99</v>
      </c>
    </row>
    <row r="2088">
      <c r="A2088" s="1">
        <v>43356.36652790509</v>
      </c>
      <c r="B2088" s="2">
        <v>198.0</v>
      </c>
      <c r="C2088" s="2" t="s">
        <v>97</v>
      </c>
    </row>
    <row r="2089">
      <c r="A2089" s="1">
        <v>43356.36667591435</v>
      </c>
      <c r="B2089" s="2">
        <v>198.0</v>
      </c>
      <c r="C2089" s="2" t="s">
        <v>97</v>
      </c>
    </row>
    <row r="2090">
      <c r="A2090" s="1">
        <v>43356.949128692126</v>
      </c>
      <c r="B2090" s="2">
        <v>673.0</v>
      </c>
      <c r="C2090" s="2" t="s">
        <v>189</v>
      </c>
    </row>
    <row r="2091">
      <c r="A2091" s="1">
        <v>43358.943118483796</v>
      </c>
      <c r="B2091" s="3" t="s">
        <v>184</v>
      </c>
      <c r="C2091" s="2" t="s">
        <v>185</v>
      </c>
    </row>
    <row r="2092">
      <c r="A2092" s="1">
        <v>43359.764967407405</v>
      </c>
      <c r="B2092" s="2">
        <v>214.0</v>
      </c>
      <c r="C2092" s="2" t="s">
        <v>47</v>
      </c>
    </row>
    <row r="2093">
      <c r="A2093" s="1">
        <v>43366.39782929399</v>
      </c>
      <c r="B2093" s="2">
        <v>207.0</v>
      </c>
      <c r="C2093" s="2" t="s">
        <v>85</v>
      </c>
    </row>
    <row r="2094">
      <c r="A2094" s="1">
        <v>43366.398784467594</v>
      </c>
      <c r="B2094" s="2">
        <v>219.0</v>
      </c>
      <c r="C2094" s="2" t="s">
        <v>31</v>
      </c>
    </row>
    <row r="2095">
      <c r="A2095" s="1">
        <v>43366.4180772338</v>
      </c>
      <c r="B2095" s="2">
        <v>611.0</v>
      </c>
      <c r="C2095" s="2" t="s">
        <v>143</v>
      </c>
    </row>
    <row r="2096">
      <c r="A2096" s="1">
        <v>43366.41963037037</v>
      </c>
      <c r="B2096" s="2">
        <v>734.0</v>
      </c>
      <c r="C2096" s="2" t="s">
        <v>63</v>
      </c>
      <c r="D2096" s="2" t="s">
        <v>5</v>
      </c>
    </row>
    <row r="2097">
      <c r="A2097" s="1">
        <v>43366.42044350694</v>
      </c>
      <c r="B2097" s="2">
        <v>246.0</v>
      </c>
      <c r="C2097" s="2" t="s">
        <v>26</v>
      </c>
    </row>
    <row r="2098">
      <c r="A2098" s="1">
        <v>43366.42278233796</v>
      </c>
      <c r="B2098" s="2">
        <v>259.0</v>
      </c>
      <c r="C2098" s="2" t="s">
        <v>66</v>
      </c>
    </row>
    <row r="2099">
      <c r="A2099" s="1">
        <v>43366.42320175926</v>
      </c>
      <c r="B2099" s="2">
        <v>259.0</v>
      </c>
      <c r="C2099" s="2" t="s">
        <v>66</v>
      </c>
    </row>
    <row r="2100">
      <c r="A2100" s="1">
        <v>43366.4236755787</v>
      </c>
      <c r="B2100" s="2">
        <v>734.0</v>
      </c>
      <c r="C2100" s="2" t="s">
        <v>63</v>
      </c>
      <c r="D2100" s="2" t="s">
        <v>5</v>
      </c>
    </row>
    <row r="2101">
      <c r="A2101" s="1">
        <v>43366.42383134259</v>
      </c>
      <c r="B2101" s="3" t="s">
        <v>113</v>
      </c>
      <c r="C2101" s="2" t="s">
        <v>114</v>
      </c>
    </row>
    <row r="2102">
      <c r="A2102" s="1">
        <v>43366.423952708334</v>
      </c>
      <c r="B2102" s="2">
        <v>259.0</v>
      </c>
      <c r="C2102" s="2" t="s">
        <v>66</v>
      </c>
    </row>
    <row r="2103">
      <c r="A2103" s="1">
        <v>43366.42446732639</v>
      </c>
      <c r="B2103" s="2">
        <v>257.0</v>
      </c>
      <c r="C2103" s="2" t="s">
        <v>27</v>
      </c>
    </row>
    <row r="2104">
      <c r="A2104" s="1">
        <v>43366.42454719907</v>
      </c>
      <c r="B2104" s="3" t="s">
        <v>113</v>
      </c>
      <c r="C2104" s="2" t="s">
        <v>114</v>
      </c>
    </row>
    <row r="2105">
      <c r="A2105" s="1">
        <v>43366.42471112269</v>
      </c>
      <c r="B2105" s="2">
        <v>210.0</v>
      </c>
      <c r="C2105" s="2" t="s">
        <v>64</v>
      </c>
    </row>
    <row r="2106">
      <c r="A2106" s="1">
        <v>43366.42475644676</v>
      </c>
      <c r="B2106" s="3" t="s">
        <v>113</v>
      </c>
      <c r="C2106" s="2" t="s">
        <v>114</v>
      </c>
    </row>
    <row r="2107">
      <c r="A2107" s="1">
        <v>43366.4249094213</v>
      </c>
      <c r="B2107" s="2">
        <v>252.0</v>
      </c>
      <c r="C2107" s="2" t="s">
        <v>34</v>
      </c>
    </row>
    <row r="2108">
      <c r="A2108" s="1">
        <v>43366.424938298616</v>
      </c>
      <c r="B2108" s="2">
        <v>52.0</v>
      </c>
      <c r="C2108" s="2" t="s">
        <v>41</v>
      </c>
    </row>
    <row r="2109">
      <c r="A2109" s="1">
        <v>43366.42497814815</v>
      </c>
      <c r="B2109" s="3" t="s">
        <v>113</v>
      </c>
      <c r="C2109" s="2" t="s">
        <v>114</v>
      </c>
    </row>
    <row r="2110">
      <c r="A2110" s="1">
        <v>43366.42508282408</v>
      </c>
      <c r="B2110" s="3" t="s">
        <v>51</v>
      </c>
      <c r="C2110" s="2" t="s">
        <v>52</v>
      </c>
    </row>
    <row r="2111">
      <c r="A2111" s="1">
        <v>43366.42511552083</v>
      </c>
      <c r="B2111" s="3" t="s">
        <v>113</v>
      </c>
      <c r="C2111" s="2" t="s">
        <v>114</v>
      </c>
    </row>
    <row r="2112">
      <c r="A2112" s="1">
        <v>43366.42591173611</v>
      </c>
      <c r="B2112" s="2">
        <v>175.0</v>
      </c>
      <c r="C2112" s="2" t="s">
        <v>69</v>
      </c>
    </row>
    <row r="2113">
      <c r="A2113" s="1">
        <v>43366.42594204861</v>
      </c>
      <c r="B2113" s="3" t="s">
        <v>113</v>
      </c>
      <c r="C2113" s="2" t="s">
        <v>114</v>
      </c>
    </row>
    <row r="2114">
      <c r="A2114" s="1">
        <v>43366.42677358796</v>
      </c>
      <c r="B2114" s="2">
        <v>173.0</v>
      </c>
      <c r="C2114" s="2" t="s">
        <v>24</v>
      </c>
    </row>
    <row r="2115">
      <c r="A2115" s="1">
        <v>43366.426808425924</v>
      </c>
      <c r="B2115" s="3" t="s">
        <v>113</v>
      </c>
      <c r="C2115" s="2" t="s">
        <v>114</v>
      </c>
    </row>
    <row r="2116">
      <c r="A2116" s="1">
        <v>43366.42693238426</v>
      </c>
      <c r="B2116" s="2">
        <v>113.0</v>
      </c>
      <c r="C2116" s="2" t="s">
        <v>29</v>
      </c>
    </row>
    <row r="2117">
      <c r="A2117" s="1">
        <v>43366.42696303241</v>
      </c>
      <c r="B2117" s="3" t="s">
        <v>113</v>
      </c>
      <c r="C2117" s="2" t="s">
        <v>114</v>
      </c>
    </row>
    <row r="2118">
      <c r="A2118" s="1">
        <v>43366.427281875</v>
      </c>
      <c r="B2118" s="2">
        <v>214.0</v>
      </c>
      <c r="C2118" s="2" t="s">
        <v>47</v>
      </c>
    </row>
    <row r="2119">
      <c r="A2119" s="1">
        <v>43366.42731663195</v>
      </c>
      <c r="B2119" s="3" t="s">
        <v>113</v>
      </c>
      <c r="C2119" s="2" t="s">
        <v>114</v>
      </c>
    </row>
    <row r="2120">
      <c r="A2120" s="1">
        <v>43366.427442291664</v>
      </c>
      <c r="B2120" s="3" t="s">
        <v>32</v>
      </c>
      <c r="C2120" s="2" t="s">
        <v>33</v>
      </c>
    </row>
    <row r="2121">
      <c r="A2121" s="1">
        <v>43366.427473449075</v>
      </c>
      <c r="B2121" s="3" t="s">
        <v>113</v>
      </c>
      <c r="C2121" s="2" t="s">
        <v>114</v>
      </c>
    </row>
    <row r="2122">
      <c r="A2122" s="1">
        <v>43366.427704965274</v>
      </c>
      <c r="B2122" s="2">
        <v>124.0</v>
      </c>
      <c r="C2122" s="2" t="s">
        <v>107</v>
      </c>
    </row>
    <row r="2123">
      <c r="A2123" s="1">
        <v>43366.42782704861</v>
      </c>
      <c r="B2123" s="2">
        <v>214.0</v>
      </c>
      <c r="C2123" s="2" t="s">
        <v>47</v>
      </c>
    </row>
    <row r="2124">
      <c r="A2124" s="1">
        <v>43366.42783357639</v>
      </c>
      <c r="B2124" s="2">
        <v>215.0</v>
      </c>
      <c r="C2124" s="2" t="s">
        <v>137</v>
      </c>
    </row>
    <row r="2125">
      <c r="A2125" s="1">
        <v>43366.42786388889</v>
      </c>
      <c r="B2125" s="3" t="s">
        <v>113</v>
      </c>
      <c r="C2125" s="2" t="s">
        <v>114</v>
      </c>
    </row>
    <row r="2126">
      <c r="A2126" s="1">
        <v>43366.42844616898</v>
      </c>
      <c r="B2126" s="3" t="s">
        <v>88</v>
      </c>
      <c r="C2126" s="2" t="s">
        <v>89</v>
      </c>
    </row>
    <row r="2127">
      <c r="A2127" s="1">
        <v>43366.42848083333</v>
      </c>
      <c r="B2127" s="3" t="s">
        <v>113</v>
      </c>
      <c r="C2127" s="2" t="s">
        <v>114</v>
      </c>
    </row>
    <row r="2128">
      <c r="A2128" s="1">
        <v>43366.4288975463</v>
      </c>
      <c r="B2128" s="2">
        <v>165.0</v>
      </c>
      <c r="C2128" s="2" t="s">
        <v>50</v>
      </c>
    </row>
    <row r="2129">
      <c r="A2129" s="1">
        <v>43366.42900409723</v>
      </c>
      <c r="B2129" s="3" t="s">
        <v>159</v>
      </c>
      <c r="C2129" s="2" t="s">
        <v>160</v>
      </c>
    </row>
    <row r="2130">
      <c r="A2130" s="1">
        <v>43366.429093796294</v>
      </c>
      <c r="B2130" s="2">
        <v>167.0</v>
      </c>
      <c r="C2130" s="2" t="s">
        <v>39</v>
      </c>
    </row>
    <row r="2131">
      <c r="A2131" s="1">
        <v>43366.42911953704</v>
      </c>
      <c r="B2131" s="3" t="s">
        <v>159</v>
      </c>
      <c r="C2131" s="2" t="s">
        <v>160</v>
      </c>
    </row>
    <row r="2132">
      <c r="A2132" s="1">
        <v>43366.42915603009</v>
      </c>
      <c r="B2132" s="3" t="s">
        <v>113</v>
      </c>
      <c r="C2132" s="2" t="s">
        <v>114</v>
      </c>
    </row>
    <row r="2133">
      <c r="A2133" s="1">
        <v>43366.42940799768</v>
      </c>
      <c r="B2133" s="2">
        <v>603.0</v>
      </c>
      <c r="C2133" s="2" t="s">
        <v>40</v>
      </c>
    </row>
    <row r="2134">
      <c r="A2134" s="1">
        <v>43366.42944910879</v>
      </c>
      <c r="B2134" s="3" t="s">
        <v>113</v>
      </c>
      <c r="C2134" s="2" t="s">
        <v>114</v>
      </c>
    </row>
    <row r="2135">
      <c r="A2135" s="1">
        <v>43366.42958457176</v>
      </c>
      <c r="B2135" s="2">
        <v>238.0</v>
      </c>
      <c r="C2135" s="2" t="s">
        <v>35</v>
      </c>
    </row>
    <row r="2136">
      <c r="A2136" s="1">
        <v>43366.42961438658</v>
      </c>
      <c r="B2136" s="3" t="s">
        <v>113</v>
      </c>
      <c r="C2136" s="2" t="s">
        <v>114</v>
      </c>
    </row>
    <row r="2137">
      <c r="A2137" s="1">
        <v>43366.43011032407</v>
      </c>
      <c r="B2137" s="3" t="s">
        <v>22</v>
      </c>
      <c r="C2137" s="2" t="s">
        <v>23</v>
      </c>
    </row>
    <row r="2138">
      <c r="A2138" s="1">
        <v>43366.4301562037</v>
      </c>
      <c r="B2138" s="3" t="s">
        <v>113</v>
      </c>
      <c r="C2138" s="2" t="s">
        <v>114</v>
      </c>
    </row>
    <row r="2139">
      <c r="A2139" s="1">
        <v>43366.43036195602</v>
      </c>
      <c r="B2139" s="2">
        <v>113.0</v>
      </c>
      <c r="C2139" s="2" t="s">
        <v>29</v>
      </c>
    </row>
    <row r="2140">
      <c r="A2140" s="1">
        <v>43366.43039700232</v>
      </c>
      <c r="B2140" s="3" t="s">
        <v>113</v>
      </c>
      <c r="C2140" s="2" t="s">
        <v>114</v>
      </c>
    </row>
    <row r="2141">
      <c r="A2141" s="1">
        <v>43366.43174701389</v>
      </c>
      <c r="B2141" s="2">
        <v>608.0</v>
      </c>
      <c r="C2141" s="2" t="s">
        <v>7</v>
      </c>
    </row>
    <row r="2142">
      <c r="A2142" s="1">
        <v>43366.43178798611</v>
      </c>
      <c r="B2142" s="3" t="s">
        <v>113</v>
      </c>
      <c r="C2142" s="2" t="s">
        <v>114</v>
      </c>
    </row>
    <row r="2143">
      <c r="A2143" s="1">
        <v>43366.43207886574</v>
      </c>
      <c r="B2143" s="2">
        <v>201.0</v>
      </c>
      <c r="C2143" s="2" t="s">
        <v>70</v>
      </c>
    </row>
    <row r="2144">
      <c r="A2144" s="1">
        <v>43366.432109305555</v>
      </c>
      <c r="B2144" s="3" t="s">
        <v>113</v>
      </c>
      <c r="C2144" s="2" t="s">
        <v>114</v>
      </c>
    </row>
    <row r="2145">
      <c r="A2145" s="1">
        <v>43366.432191851854</v>
      </c>
      <c r="B2145" s="2">
        <v>729.0</v>
      </c>
      <c r="C2145" s="2" t="s">
        <v>54</v>
      </c>
      <c r="D2145" s="2" t="s">
        <v>5</v>
      </c>
    </row>
    <row r="2146">
      <c r="A2146" s="1">
        <v>43366.432737766205</v>
      </c>
      <c r="B2146" s="2">
        <v>707.0</v>
      </c>
      <c r="C2146" s="2" t="s">
        <v>57</v>
      </c>
      <c r="D2146" s="2" t="s">
        <v>5</v>
      </c>
    </row>
    <row r="2147">
      <c r="A2147" s="1">
        <v>43366.432858506945</v>
      </c>
      <c r="B2147" s="2">
        <v>158.0</v>
      </c>
      <c r="C2147" s="2" t="s">
        <v>62</v>
      </c>
    </row>
    <row r="2148">
      <c r="A2148" s="1">
        <v>43366.43291018518</v>
      </c>
      <c r="B2148" s="3" t="s">
        <v>113</v>
      </c>
      <c r="C2148" s="2" t="s">
        <v>114</v>
      </c>
    </row>
    <row r="2149">
      <c r="A2149" s="1">
        <v>43366.43293758102</v>
      </c>
      <c r="B2149" s="3" t="s">
        <v>55</v>
      </c>
      <c r="C2149" s="2" t="s">
        <v>56</v>
      </c>
    </row>
    <row r="2150">
      <c r="A2150" s="1">
        <v>43366.43303542824</v>
      </c>
      <c r="B2150" s="2">
        <v>667.0</v>
      </c>
      <c r="C2150" s="2" t="s">
        <v>73</v>
      </c>
    </row>
    <row r="2151">
      <c r="A2151" s="1">
        <v>43366.433051099535</v>
      </c>
      <c r="B2151" s="2">
        <v>738.0</v>
      </c>
      <c r="C2151" s="2" t="s">
        <v>161</v>
      </c>
    </row>
    <row r="2152">
      <c r="A2152" s="1">
        <v>43366.43313265046</v>
      </c>
      <c r="B2152" s="2">
        <v>706.0</v>
      </c>
      <c r="C2152" s="2" t="s">
        <v>149</v>
      </c>
      <c r="D2152" s="2" t="s">
        <v>5</v>
      </c>
    </row>
    <row r="2153">
      <c r="A2153" s="1">
        <v>43366.43323517361</v>
      </c>
      <c r="B2153" s="3" t="s">
        <v>150</v>
      </c>
      <c r="C2153" s="2" t="s">
        <v>151</v>
      </c>
    </row>
    <row r="2154">
      <c r="A2154" s="1">
        <v>43366.43327096065</v>
      </c>
      <c r="B2154" s="2">
        <v>631.0</v>
      </c>
      <c r="C2154" s="2" t="s">
        <v>178</v>
      </c>
    </row>
    <row r="2155">
      <c r="A2155" s="1">
        <v>43366.43330871528</v>
      </c>
      <c r="B2155" s="3" t="s">
        <v>113</v>
      </c>
      <c r="C2155" s="2" t="s">
        <v>114</v>
      </c>
    </row>
    <row r="2156">
      <c r="A2156" s="1">
        <v>43366.43337670139</v>
      </c>
      <c r="B2156" s="2">
        <v>717.0</v>
      </c>
      <c r="C2156" s="2" t="s">
        <v>152</v>
      </c>
      <c r="D2156" s="2" t="s">
        <v>5</v>
      </c>
    </row>
    <row r="2157">
      <c r="A2157" s="1">
        <v>43366.43337958334</v>
      </c>
      <c r="B2157" s="2">
        <v>141.0</v>
      </c>
      <c r="C2157" s="2" t="s">
        <v>53</v>
      </c>
    </row>
    <row r="2158">
      <c r="A2158" s="1">
        <v>43366.43338133102</v>
      </c>
      <c r="B2158" s="2">
        <v>717.0</v>
      </c>
      <c r="C2158" s="2" t="s">
        <v>152</v>
      </c>
      <c r="D2158" s="2" t="s">
        <v>5</v>
      </c>
    </row>
    <row r="2159">
      <c r="A2159" s="1">
        <v>43366.43339016204</v>
      </c>
      <c r="B2159" s="2">
        <v>717.0</v>
      </c>
      <c r="C2159" s="2" t="s">
        <v>152</v>
      </c>
      <c r="D2159" s="2" t="s">
        <v>5</v>
      </c>
    </row>
    <row r="2160">
      <c r="A2160" s="1">
        <v>43366.433396099535</v>
      </c>
      <c r="B2160" s="2">
        <v>717.0</v>
      </c>
      <c r="C2160" s="2" t="s">
        <v>152</v>
      </c>
      <c r="D2160" s="2" t="s">
        <v>5</v>
      </c>
    </row>
    <row r="2161">
      <c r="A2161" s="1">
        <v>43366.433540439815</v>
      </c>
      <c r="B2161" s="2">
        <v>141.0</v>
      </c>
      <c r="C2161" s="2" t="s">
        <v>53</v>
      </c>
    </row>
    <row r="2162">
      <c r="A2162" s="1">
        <v>43366.43373583333</v>
      </c>
      <c r="B2162" s="2">
        <v>661.0</v>
      </c>
      <c r="C2162" s="2" t="s">
        <v>153</v>
      </c>
    </row>
    <row r="2163">
      <c r="A2163" s="1">
        <v>43366.43373986111</v>
      </c>
      <c r="B2163" s="2">
        <v>661.0</v>
      </c>
      <c r="C2163" s="2" t="s">
        <v>153</v>
      </c>
    </row>
    <row r="2164">
      <c r="A2164" s="1">
        <v>43366.43374641203</v>
      </c>
      <c r="B2164" s="2">
        <v>661.0</v>
      </c>
      <c r="C2164" s="2" t="s">
        <v>153</v>
      </c>
    </row>
    <row r="2165">
      <c r="A2165" s="1">
        <v>43366.433811875</v>
      </c>
      <c r="B2165" s="2">
        <v>706.0</v>
      </c>
      <c r="C2165" s="2" t="s">
        <v>149</v>
      </c>
      <c r="D2165" s="2" t="s">
        <v>5</v>
      </c>
    </row>
    <row r="2166">
      <c r="A2166" s="1">
        <v>43366.43384442129</v>
      </c>
      <c r="B2166" s="3" t="s">
        <v>113</v>
      </c>
      <c r="C2166" s="2" t="s">
        <v>114</v>
      </c>
    </row>
    <row r="2167">
      <c r="A2167" s="1">
        <v>43366.43388222222</v>
      </c>
      <c r="B2167" s="2">
        <v>661.0</v>
      </c>
      <c r="C2167" s="2" t="s">
        <v>153</v>
      </c>
    </row>
    <row r="2168">
      <c r="A2168" s="1">
        <v>43366.433889293985</v>
      </c>
      <c r="B2168" s="2">
        <v>707.0</v>
      </c>
      <c r="C2168" s="2" t="s">
        <v>57</v>
      </c>
      <c r="D2168" s="2" t="s">
        <v>5</v>
      </c>
    </row>
    <row r="2169">
      <c r="A2169" s="1">
        <v>43366.433930405095</v>
      </c>
      <c r="B2169" s="2">
        <v>666.0</v>
      </c>
      <c r="C2169" s="2" t="s">
        <v>192</v>
      </c>
    </row>
    <row r="2170">
      <c r="A2170" s="1">
        <v>43366.434002951384</v>
      </c>
      <c r="B2170" s="2">
        <v>707.0</v>
      </c>
      <c r="C2170" s="2" t="s">
        <v>57</v>
      </c>
      <c r="D2170" s="2" t="s">
        <v>5</v>
      </c>
    </row>
    <row r="2171">
      <c r="A2171" s="1">
        <v>43366.43405138889</v>
      </c>
      <c r="B2171" s="3" t="s">
        <v>113</v>
      </c>
      <c r="C2171" s="2" t="s">
        <v>114</v>
      </c>
    </row>
    <row r="2172">
      <c r="A2172" s="1">
        <v>43366.43412185185</v>
      </c>
      <c r="B2172" s="2">
        <v>667.0</v>
      </c>
      <c r="C2172" s="2" t="s">
        <v>73</v>
      </c>
    </row>
    <row r="2173">
      <c r="A2173" s="1">
        <v>43366.43415806713</v>
      </c>
      <c r="B2173" s="3" t="s">
        <v>113</v>
      </c>
      <c r="C2173" s="2" t="s">
        <v>114</v>
      </c>
    </row>
    <row r="2174">
      <c r="A2174" s="1">
        <v>43366.43417734954</v>
      </c>
      <c r="B2174" s="3" t="s">
        <v>55</v>
      </c>
      <c r="C2174" s="2" t="s">
        <v>56</v>
      </c>
    </row>
    <row r="2175">
      <c r="A2175" s="1">
        <v>43366.43423557871</v>
      </c>
      <c r="B2175" s="3" t="s">
        <v>55</v>
      </c>
      <c r="C2175" s="2" t="s">
        <v>56</v>
      </c>
    </row>
    <row r="2176">
      <c r="A2176" s="1">
        <v>43366.43429493056</v>
      </c>
      <c r="B2176" s="3" t="s">
        <v>44</v>
      </c>
      <c r="C2176" s="2" t="s">
        <v>45</v>
      </c>
    </row>
    <row r="2177">
      <c r="A2177" s="1">
        <v>43366.43433567129</v>
      </c>
      <c r="B2177" s="3" t="s">
        <v>113</v>
      </c>
      <c r="C2177" s="2" t="s">
        <v>114</v>
      </c>
    </row>
    <row r="2178">
      <c r="A2178" s="1">
        <v>43366.434453078706</v>
      </c>
      <c r="B2178" s="2">
        <v>729.0</v>
      </c>
      <c r="C2178" s="2" t="s">
        <v>54</v>
      </c>
      <c r="D2178" s="2" t="s">
        <v>5</v>
      </c>
    </row>
    <row r="2179">
      <c r="A2179" s="1">
        <v>43366.43452027778</v>
      </c>
      <c r="B2179" s="2">
        <v>729.0</v>
      </c>
      <c r="C2179" s="2" t="s">
        <v>54</v>
      </c>
      <c r="D2179" s="2" t="s">
        <v>5</v>
      </c>
    </row>
    <row r="2180">
      <c r="A2180" s="1">
        <v>43366.43490952546</v>
      </c>
      <c r="B2180" s="2">
        <v>158.0</v>
      </c>
      <c r="C2180" s="2" t="s">
        <v>62</v>
      </c>
    </row>
    <row r="2181">
      <c r="A2181" s="1">
        <v>43366.434964224536</v>
      </c>
      <c r="B2181" s="3" t="s">
        <v>113</v>
      </c>
      <c r="C2181" s="2" t="s">
        <v>114</v>
      </c>
    </row>
    <row r="2182">
      <c r="A2182" s="1">
        <v>43366.43509934028</v>
      </c>
      <c r="B2182" s="2">
        <v>653.0</v>
      </c>
      <c r="C2182" s="2" t="s">
        <v>77</v>
      </c>
    </row>
    <row r="2183">
      <c r="A2183" s="1">
        <v>43366.435167777774</v>
      </c>
      <c r="B2183" s="3" t="s">
        <v>113</v>
      </c>
      <c r="C2183" s="2" t="s">
        <v>114</v>
      </c>
    </row>
    <row r="2184">
      <c r="A2184" s="1">
        <v>43366.43566931713</v>
      </c>
      <c r="B2184" s="2">
        <v>172.0</v>
      </c>
      <c r="C2184" s="2" t="s">
        <v>65</v>
      </c>
    </row>
    <row r="2185">
      <c r="A2185" s="1">
        <v>43366.435701724535</v>
      </c>
      <c r="B2185" s="3" t="s">
        <v>113</v>
      </c>
      <c r="C2185" s="2" t="s">
        <v>114</v>
      </c>
    </row>
    <row r="2186">
      <c r="A2186" s="1">
        <v>43366.43588527778</v>
      </c>
      <c r="B2186" s="2">
        <v>607.0</v>
      </c>
      <c r="C2186" s="2" t="s">
        <v>68</v>
      </c>
    </row>
    <row r="2187">
      <c r="A2187" s="1">
        <v>43366.43591185185</v>
      </c>
      <c r="B2187" s="3" t="s">
        <v>113</v>
      </c>
      <c r="C2187" s="2" t="s">
        <v>114</v>
      </c>
    </row>
    <row r="2188">
      <c r="A2188" s="1">
        <v>43366.43601578704</v>
      </c>
      <c r="B2188" s="3" t="s">
        <v>80</v>
      </c>
      <c r="C2188" s="2" t="s">
        <v>81</v>
      </c>
    </row>
    <row r="2189">
      <c r="A2189" s="1">
        <v>43366.43604238426</v>
      </c>
      <c r="B2189" s="3" t="s">
        <v>113</v>
      </c>
      <c r="C2189" s="2" t="s">
        <v>114</v>
      </c>
    </row>
    <row r="2190">
      <c r="A2190" s="1">
        <v>43366.43619760417</v>
      </c>
      <c r="B2190" s="2">
        <v>654.0</v>
      </c>
      <c r="C2190" s="2" t="s">
        <v>115</v>
      </c>
    </row>
    <row r="2191">
      <c r="A2191" s="1">
        <v>43366.43622456018</v>
      </c>
      <c r="B2191" s="3" t="s">
        <v>113</v>
      </c>
      <c r="C2191" s="2" t="s">
        <v>114</v>
      </c>
    </row>
    <row r="2192">
      <c r="A2192" s="1">
        <v>43366.43630234954</v>
      </c>
      <c r="B2192" s="2">
        <v>643.0</v>
      </c>
      <c r="C2192" s="2" t="s">
        <v>166</v>
      </c>
    </row>
    <row r="2193">
      <c r="A2193" s="1">
        <v>43366.43633636574</v>
      </c>
      <c r="B2193" s="3" t="s">
        <v>113</v>
      </c>
      <c r="C2193" s="2" t="s">
        <v>114</v>
      </c>
    </row>
    <row r="2194">
      <c r="A2194" s="1">
        <v>43366.43667697917</v>
      </c>
      <c r="B2194" s="3" t="s">
        <v>98</v>
      </c>
      <c r="C2194" s="2" t="s">
        <v>99</v>
      </c>
    </row>
    <row r="2195">
      <c r="A2195" s="1">
        <v>43366.436706238426</v>
      </c>
      <c r="B2195" s="3" t="s">
        <v>113</v>
      </c>
      <c r="C2195" s="2" t="s">
        <v>114</v>
      </c>
    </row>
    <row r="2196">
      <c r="A2196" s="1">
        <v>43366.43670799768</v>
      </c>
      <c r="B2196" s="2">
        <v>627.0</v>
      </c>
      <c r="C2196" s="2" t="s">
        <v>134</v>
      </c>
    </row>
    <row r="2197">
      <c r="A2197" s="1">
        <v>43366.436806944446</v>
      </c>
      <c r="B2197" s="2">
        <v>147.0</v>
      </c>
      <c r="C2197" s="2" t="s">
        <v>100</v>
      </c>
    </row>
    <row r="2198">
      <c r="A2198" s="1">
        <v>43366.436925856484</v>
      </c>
      <c r="B2198" s="2">
        <v>726.0</v>
      </c>
      <c r="C2198" s="2" t="s">
        <v>101</v>
      </c>
      <c r="D2198" s="2" t="s">
        <v>5</v>
      </c>
    </row>
    <row r="2199">
      <c r="A2199" s="1">
        <v>43366.43698275463</v>
      </c>
      <c r="B2199" s="3" t="s">
        <v>113</v>
      </c>
      <c r="C2199" s="2" t="s">
        <v>114</v>
      </c>
    </row>
    <row r="2200">
      <c r="A2200" s="1">
        <v>43366.437049618056</v>
      </c>
      <c r="B2200" s="2">
        <v>667.0</v>
      </c>
      <c r="C2200" s="2" t="s">
        <v>73</v>
      </c>
    </row>
    <row r="2201">
      <c r="A2201" s="1">
        <v>43366.43711771991</v>
      </c>
      <c r="B2201" s="2">
        <v>732.0</v>
      </c>
      <c r="C2201" s="2" t="s">
        <v>102</v>
      </c>
      <c r="D2201" s="2" t="s">
        <v>5</v>
      </c>
    </row>
    <row r="2202">
      <c r="A2202" s="1">
        <v>43366.43715042824</v>
      </c>
      <c r="B2202" s="3" t="s">
        <v>113</v>
      </c>
      <c r="C2202" s="2" t="s">
        <v>114</v>
      </c>
    </row>
    <row r="2203">
      <c r="A2203" s="1">
        <v>43366.437218113424</v>
      </c>
      <c r="B2203" s="2">
        <v>706.0</v>
      </c>
      <c r="C2203" s="2" t="s">
        <v>149</v>
      </c>
      <c r="D2203" s="2" t="s">
        <v>5</v>
      </c>
    </row>
    <row r="2204">
      <c r="A2204" s="1">
        <v>43366.43768052083</v>
      </c>
      <c r="B2204" s="2">
        <v>229.0</v>
      </c>
      <c r="C2204" s="2" t="s">
        <v>86</v>
      </c>
    </row>
    <row r="2205">
      <c r="A2205" s="1">
        <v>43366.437713946754</v>
      </c>
      <c r="B2205" s="3" t="s">
        <v>113</v>
      </c>
      <c r="C2205" s="2" t="s">
        <v>114</v>
      </c>
    </row>
    <row r="2206">
      <c r="A2206" s="1">
        <v>43366.43791974537</v>
      </c>
      <c r="B2206" s="2">
        <v>714.0</v>
      </c>
      <c r="C2206" s="2" t="s">
        <v>122</v>
      </c>
      <c r="D2206" s="2" t="s">
        <v>5</v>
      </c>
    </row>
    <row r="2207">
      <c r="A2207" s="1">
        <v>43366.43797652778</v>
      </c>
      <c r="B2207" s="3" t="s">
        <v>74</v>
      </c>
      <c r="C2207" s="2" t="s">
        <v>75</v>
      </c>
    </row>
    <row r="2208">
      <c r="A2208" s="1">
        <v>43366.43812212963</v>
      </c>
      <c r="B2208" s="3" t="s">
        <v>150</v>
      </c>
      <c r="C2208" s="2" t="s">
        <v>151</v>
      </c>
    </row>
    <row r="2209">
      <c r="A2209" s="1">
        <v>43366.4381322338</v>
      </c>
      <c r="B2209" s="2">
        <v>208.0</v>
      </c>
      <c r="C2209" s="2" t="s">
        <v>182</v>
      </c>
    </row>
    <row r="2210">
      <c r="A2210" s="1">
        <v>43366.43815996528</v>
      </c>
      <c r="B2210" s="3" t="s">
        <v>113</v>
      </c>
      <c r="C2210" s="2" t="s">
        <v>114</v>
      </c>
    </row>
    <row r="2211">
      <c r="A2211" s="1">
        <v>43366.438246018515</v>
      </c>
      <c r="B2211" s="2">
        <v>262.0</v>
      </c>
      <c r="C2211" s="2" t="s">
        <v>28</v>
      </c>
    </row>
    <row r="2212">
      <c r="A2212" s="1">
        <v>43366.438274872686</v>
      </c>
      <c r="B2212" s="3" t="s">
        <v>113</v>
      </c>
      <c r="C2212" s="2" t="s">
        <v>114</v>
      </c>
    </row>
    <row r="2213">
      <c r="A2213" s="1">
        <v>43366.438447395834</v>
      </c>
      <c r="B2213" s="2">
        <v>708.0</v>
      </c>
      <c r="C2213" s="2" t="s">
        <v>4</v>
      </c>
      <c r="D2213" s="2" t="s">
        <v>5</v>
      </c>
    </row>
    <row r="2214">
      <c r="A2214" s="1">
        <v>43366.438487465275</v>
      </c>
      <c r="B2214" s="3" t="s">
        <v>113</v>
      </c>
      <c r="C2214" s="2" t="s">
        <v>114</v>
      </c>
    </row>
    <row r="2215">
      <c r="A2215" s="1">
        <v>43366.438519664356</v>
      </c>
      <c r="B2215" s="2">
        <v>709.0</v>
      </c>
      <c r="C2215" s="2" t="s">
        <v>20</v>
      </c>
      <c r="D2215" s="2" t="s">
        <v>5</v>
      </c>
    </row>
    <row r="2216">
      <c r="A2216" s="1">
        <v>43366.43859006945</v>
      </c>
      <c r="B2216" s="3" t="s">
        <v>113</v>
      </c>
      <c r="C2216" s="2" t="s">
        <v>114</v>
      </c>
    </row>
    <row r="2217">
      <c r="A2217" s="1">
        <v>43366.4386237037</v>
      </c>
      <c r="B2217" s="2">
        <v>710.0</v>
      </c>
      <c r="C2217" s="2" t="s">
        <v>21</v>
      </c>
      <c r="D2217" s="2" t="s">
        <v>5</v>
      </c>
    </row>
    <row r="2218">
      <c r="A2218" s="1">
        <v>43366.4386528125</v>
      </c>
      <c r="B2218" s="3" t="s">
        <v>113</v>
      </c>
      <c r="C2218" s="2" t="s">
        <v>114</v>
      </c>
    </row>
    <row r="2219">
      <c r="A2219" s="1">
        <v>43366.438693275464</v>
      </c>
      <c r="B2219" s="2">
        <v>708.0</v>
      </c>
      <c r="C2219" s="2" t="s">
        <v>4</v>
      </c>
      <c r="D2219" s="2" t="s">
        <v>5</v>
      </c>
    </row>
    <row r="2220">
      <c r="A2220" s="1">
        <v>43366.43871785879</v>
      </c>
      <c r="B2220" s="3" t="s">
        <v>113</v>
      </c>
      <c r="C2220" s="2" t="s">
        <v>114</v>
      </c>
    </row>
    <row r="2221">
      <c r="A2221" s="1">
        <v>43366.43880834491</v>
      </c>
      <c r="B2221" s="2">
        <v>114.0</v>
      </c>
      <c r="C2221" s="2" t="s">
        <v>15</v>
      </c>
    </row>
    <row r="2222">
      <c r="A2222" s="1">
        <v>43366.438835625</v>
      </c>
      <c r="B2222" s="3" t="s">
        <v>113</v>
      </c>
      <c r="C2222" s="2" t="s">
        <v>114</v>
      </c>
    </row>
    <row r="2223">
      <c r="A2223" s="1">
        <v>43366.43900903936</v>
      </c>
      <c r="B2223" s="3" t="s">
        <v>9</v>
      </c>
      <c r="C2223" s="2" t="s">
        <v>10</v>
      </c>
    </row>
    <row r="2224">
      <c r="A2224" s="1">
        <v>43366.439043391205</v>
      </c>
      <c r="B2224" s="3" t="s">
        <v>113</v>
      </c>
      <c r="C2224" s="2" t="s">
        <v>114</v>
      </c>
    </row>
    <row r="2225">
      <c r="A2225" s="1">
        <v>43366.43909</v>
      </c>
      <c r="B2225" s="3" t="s">
        <v>11</v>
      </c>
      <c r="C2225" s="2" t="s">
        <v>12</v>
      </c>
    </row>
    <row r="2226">
      <c r="A2226" s="1">
        <v>43366.439117766204</v>
      </c>
      <c r="B2226" s="3" t="s">
        <v>113</v>
      </c>
      <c r="C2226" s="2" t="s">
        <v>114</v>
      </c>
    </row>
    <row r="2227">
      <c r="A2227" s="1">
        <v>43366.43915262731</v>
      </c>
      <c r="B2227" s="3" t="s">
        <v>126</v>
      </c>
      <c r="C2227" s="2" t="s">
        <v>127</v>
      </c>
    </row>
    <row r="2228">
      <c r="A2228" s="1">
        <v>43366.43918972222</v>
      </c>
      <c r="B2228" s="3" t="s">
        <v>113</v>
      </c>
      <c r="C2228" s="2" t="s">
        <v>114</v>
      </c>
    </row>
    <row r="2229">
      <c r="A2229" s="1">
        <v>43366.43936449074</v>
      </c>
      <c r="B2229" s="2">
        <v>716.0</v>
      </c>
      <c r="C2229" s="2" t="s">
        <v>123</v>
      </c>
      <c r="D2229" s="2" t="s">
        <v>5</v>
      </c>
    </row>
    <row r="2230">
      <c r="A2230" s="1">
        <v>43366.43939644676</v>
      </c>
      <c r="B2230" s="3" t="s">
        <v>113</v>
      </c>
      <c r="C2230" s="2" t="s">
        <v>114</v>
      </c>
    </row>
    <row r="2231">
      <c r="A2231" s="1">
        <v>43366.439483587965</v>
      </c>
      <c r="B2231" s="2">
        <v>244.0</v>
      </c>
      <c r="C2231" s="2" t="s">
        <v>38</v>
      </c>
    </row>
    <row r="2232">
      <c r="A2232" s="1">
        <v>43366.439510763885</v>
      </c>
      <c r="B2232" s="3" t="s">
        <v>113</v>
      </c>
      <c r="C2232" s="2" t="s">
        <v>114</v>
      </c>
    </row>
    <row r="2233">
      <c r="A2233" s="1">
        <v>43366.43997438657</v>
      </c>
      <c r="B2233" s="2">
        <v>602.0</v>
      </c>
      <c r="C2233" s="2" t="s">
        <v>131</v>
      </c>
    </row>
    <row r="2234">
      <c r="A2234" s="1">
        <v>43366.44003978009</v>
      </c>
      <c r="B2234" s="3" t="s">
        <v>113</v>
      </c>
      <c r="C2234" s="2" t="s">
        <v>114</v>
      </c>
    </row>
    <row r="2235">
      <c r="A2235" s="1">
        <v>43366.44041111111</v>
      </c>
      <c r="B2235" s="2">
        <v>198.0</v>
      </c>
      <c r="C2235" s="2" t="s">
        <v>97</v>
      </c>
    </row>
    <row r="2236">
      <c r="A2236" s="1">
        <v>43366.44450802083</v>
      </c>
      <c r="B2236" s="3" t="s">
        <v>113</v>
      </c>
      <c r="C2236" s="2" t="s">
        <v>114</v>
      </c>
    </row>
    <row r="2237">
      <c r="A2237" s="1">
        <v>43366.444533761576</v>
      </c>
      <c r="B2237" s="2">
        <v>655.0</v>
      </c>
      <c r="C2237" s="2" t="s">
        <v>17</v>
      </c>
    </row>
    <row r="2238">
      <c r="A2238" s="1">
        <v>43366.44457824074</v>
      </c>
      <c r="B2238" s="3" t="s">
        <v>113</v>
      </c>
      <c r="C2238" s="2" t="s">
        <v>114</v>
      </c>
    </row>
    <row r="2239">
      <c r="A2239" s="1">
        <v>43366.44523075232</v>
      </c>
      <c r="B2239" s="2">
        <v>625.0</v>
      </c>
      <c r="C2239" s="2" t="s">
        <v>136</v>
      </c>
    </row>
    <row r="2240">
      <c r="A2240" s="1">
        <v>43366.44527753472</v>
      </c>
      <c r="B2240" s="3" t="s">
        <v>113</v>
      </c>
      <c r="C2240" s="2" t="s">
        <v>114</v>
      </c>
    </row>
    <row r="2241">
      <c r="A2241" s="1">
        <v>43366.44589065972</v>
      </c>
      <c r="B2241" s="3" t="s">
        <v>111</v>
      </c>
      <c r="C2241" s="2" t="s">
        <v>112</v>
      </c>
    </row>
    <row r="2242">
      <c r="A2242" s="1">
        <v>43366.445925011576</v>
      </c>
      <c r="B2242" s="3" t="s">
        <v>113</v>
      </c>
      <c r="C2242" s="2" t="s">
        <v>114</v>
      </c>
    </row>
    <row r="2243">
      <c r="A2243" s="1">
        <v>43366.446384571755</v>
      </c>
      <c r="B2243" s="2">
        <v>198.0</v>
      </c>
      <c r="C2243" s="2" t="s">
        <v>97</v>
      </c>
    </row>
    <row r="2244">
      <c r="A2244" s="1">
        <v>43366.446486458335</v>
      </c>
      <c r="B2244" s="2">
        <v>702.0</v>
      </c>
      <c r="C2244" s="2" t="s">
        <v>96</v>
      </c>
      <c r="D2244" s="2" t="s">
        <v>5</v>
      </c>
    </row>
    <row r="2245">
      <c r="A2245" s="1">
        <v>43366.44658993055</v>
      </c>
      <c r="B2245" s="3" t="s">
        <v>94</v>
      </c>
      <c r="C2245" s="2" t="s">
        <v>95</v>
      </c>
    </row>
    <row r="2246">
      <c r="A2246" s="1">
        <v>43366.450134432875</v>
      </c>
      <c r="B2246" s="2">
        <v>160.0</v>
      </c>
      <c r="C2246" s="2" t="s">
        <v>154</v>
      </c>
    </row>
    <row r="2247">
      <c r="A2247" s="1">
        <v>43366.45020385417</v>
      </c>
      <c r="B2247" s="3" t="s">
        <v>113</v>
      </c>
      <c r="C2247" s="2" t="s">
        <v>114</v>
      </c>
    </row>
    <row r="2248">
      <c r="A2248" s="1">
        <v>43366.4552324074</v>
      </c>
      <c r="B2248" s="2">
        <v>663.0</v>
      </c>
      <c r="C2248" s="2" t="s">
        <v>109</v>
      </c>
    </row>
    <row r="2249">
      <c r="A2249" s="1">
        <v>43366.45526451389</v>
      </c>
      <c r="B2249" s="3" t="s">
        <v>113</v>
      </c>
      <c r="C2249" s="2" t="s">
        <v>114</v>
      </c>
    </row>
    <row r="2250">
      <c r="A2250" s="1">
        <v>43366.45536979167</v>
      </c>
      <c r="B2250" s="2">
        <v>733.0</v>
      </c>
      <c r="C2250" s="2" t="s">
        <v>110</v>
      </c>
      <c r="D2250" s="2" t="s">
        <v>5</v>
      </c>
    </row>
    <row r="2251">
      <c r="A2251" s="1">
        <v>43366.45539960648</v>
      </c>
      <c r="B2251" s="3" t="s">
        <v>113</v>
      </c>
      <c r="C2251" s="2" t="s">
        <v>114</v>
      </c>
    </row>
    <row r="2252">
      <c r="A2252" s="1">
        <v>43366.462263587964</v>
      </c>
      <c r="B2252" s="2">
        <v>738.0</v>
      </c>
      <c r="C2252" s="2" t="s">
        <v>161</v>
      </c>
    </row>
    <row r="2253">
      <c r="A2253" s="1">
        <v>43366.46243804398</v>
      </c>
      <c r="B2253" s="2">
        <v>722.0</v>
      </c>
      <c r="C2253" s="2" t="s">
        <v>25</v>
      </c>
      <c r="D2253" s="2" t="s">
        <v>5</v>
      </c>
    </row>
    <row r="2254">
      <c r="A2254" s="1">
        <v>43366.46265018519</v>
      </c>
      <c r="B2254" s="2">
        <v>631.0</v>
      </c>
      <c r="C2254" s="2" t="s">
        <v>178</v>
      </c>
    </row>
    <row r="2255">
      <c r="A2255" s="1">
        <v>43366.46332769676</v>
      </c>
      <c r="C2255" s="2" t="s">
        <v>19</v>
      </c>
    </row>
    <row r="2256">
      <c r="A2256" s="1">
        <v>43366.46441572916</v>
      </c>
      <c r="B2256" s="2">
        <v>613.0</v>
      </c>
      <c r="C2256" s="2" t="s">
        <v>124</v>
      </c>
    </row>
    <row r="2257">
      <c r="A2257" s="1">
        <v>43366.46454572916</v>
      </c>
      <c r="B2257" s="2">
        <v>608.0</v>
      </c>
      <c r="C2257" s="2" t="s">
        <v>7</v>
      </c>
    </row>
    <row r="2258">
      <c r="A2258" s="1">
        <v>43366.46863208333</v>
      </c>
      <c r="B2258" s="2">
        <v>655.0</v>
      </c>
      <c r="C2258" s="2" t="s">
        <v>17</v>
      </c>
    </row>
    <row r="2259">
      <c r="A2259" s="1">
        <v>43366.46879934028</v>
      </c>
      <c r="B2259" s="2">
        <v>603.0</v>
      </c>
      <c r="C2259" s="2" t="s">
        <v>40</v>
      </c>
    </row>
    <row r="2260">
      <c r="A2260" s="1">
        <v>43366.46905288195</v>
      </c>
      <c r="B2260" s="2">
        <v>672.0</v>
      </c>
      <c r="C2260" s="2" t="s">
        <v>6</v>
      </c>
    </row>
    <row r="2261">
      <c r="A2261" s="1">
        <v>43366.4728639699</v>
      </c>
      <c r="B2261" s="2">
        <v>126.0</v>
      </c>
      <c r="C2261" s="2" t="s">
        <v>87</v>
      </c>
    </row>
    <row r="2262">
      <c r="A2262" s="1">
        <v>43366.49116460649</v>
      </c>
      <c r="B2262" s="2">
        <v>157.0</v>
      </c>
      <c r="C2262" s="2" t="s">
        <v>141</v>
      </c>
    </row>
    <row r="2263">
      <c r="A2263" s="1">
        <v>43366.49186834491</v>
      </c>
      <c r="B2263" s="2">
        <v>237.0</v>
      </c>
      <c r="C2263" s="2" t="s">
        <v>140</v>
      </c>
    </row>
    <row r="2264">
      <c r="A2264" s="1">
        <v>43366.49224523148</v>
      </c>
      <c r="B2264" s="2">
        <v>705.0</v>
      </c>
      <c r="C2264" s="2" t="s">
        <v>168</v>
      </c>
      <c r="D2264" s="2" t="s">
        <v>5</v>
      </c>
    </row>
    <row r="2265">
      <c r="A2265" s="1">
        <v>43366.492321655096</v>
      </c>
      <c r="B2265" s="2">
        <v>713.0</v>
      </c>
      <c r="C2265" s="2" t="s">
        <v>121</v>
      </c>
      <c r="D2265" s="2" t="s">
        <v>5</v>
      </c>
    </row>
    <row r="2266">
      <c r="A2266" s="1">
        <v>43366.49237798611</v>
      </c>
      <c r="B2266" s="2">
        <v>714.0</v>
      </c>
      <c r="C2266" s="2" t="s">
        <v>122</v>
      </c>
      <c r="D2266" s="2" t="s">
        <v>5</v>
      </c>
    </row>
    <row r="2267">
      <c r="A2267" s="1">
        <v>43366.49248851852</v>
      </c>
      <c r="B2267" s="3" t="s">
        <v>119</v>
      </c>
      <c r="C2267" s="2" t="s">
        <v>120</v>
      </c>
    </row>
    <row r="2268">
      <c r="A2268" s="1">
        <v>43366.49267636574</v>
      </c>
      <c r="B2268" s="3" t="s">
        <v>117</v>
      </c>
      <c r="C2268" s="2" t="s">
        <v>118</v>
      </c>
    </row>
    <row r="2269">
      <c r="A2269" s="1">
        <v>43367.90284173611</v>
      </c>
      <c r="B2269" s="2">
        <v>259.0</v>
      </c>
      <c r="C2269" s="2" t="s">
        <v>66</v>
      </c>
    </row>
    <row r="2270">
      <c r="A2270" s="1">
        <v>43367.907354525465</v>
      </c>
      <c r="B2270" s="2">
        <v>259.0</v>
      </c>
      <c r="C2270" s="2" t="s">
        <v>66</v>
      </c>
    </row>
    <row r="2271">
      <c r="A2271" s="1">
        <v>43370.35090276621</v>
      </c>
      <c r="B2271" s="3" t="s">
        <v>42</v>
      </c>
      <c r="C2271" s="2" t="s">
        <v>43</v>
      </c>
    </row>
    <row r="2272">
      <c r="A2272" s="1">
        <v>43370.351047233795</v>
      </c>
      <c r="B2272" s="3" t="s">
        <v>42</v>
      </c>
      <c r="C2272" s="2" t="s">
        <v>43</v>
      </c>
    </row>
    <row r="2273">
      <c r="A2273" s="1">
        <v>43370.351098506944</v>
      </c>
      <c r="B2273" s="3" t="s">
        <v>42</v>
      </c>
      <c r="C2273" s="2" t="s">
        <v>43</v>
      </c>
    </row>
    <row r="2274">
      <c r="A2274" s="1">
        <v>43370.351661099536</v>
      </c>
      <c r="B2274" s="3" t="s">
        <v>42</v>
      </c>
      <c r="C2274" s="2" t="s">
        <v>43</v>
      </c>
    </row>
    <row r="2275">
      <c r="A2275" s="1">
        <v>43370.351665775466</v>
      </c>
      <c r="B2275" s="3" t="s">
        <v>42</v>
      </c>
      <c r="C2275" s="2" t="s">
        <v>43</v>
      </c>
    </row>
    <row r="2276">
      <c r="A2276" s="1">
        <v>43370.35212552083</v>
      </c>
      <c r="B2276" s="3" t="s">
        <v>42</v>
      </c>
      <c r="C2276" s="2" t="s">
        <v>43</v>
      </c>
    </row>
    <row r="2277">
      <c r="A2277" s="1">
        <v>43370.352128506944</v>
      </c>
      <c r="B2277" s="3" t="s">
        <v>42</v>
      </c>
      <c r="C2277" s="2" t="s">
        <v>43</v>
      </c>
    </row>
    <row r="2278">
      <c r="A2278" s="1">
        <v>43370.35213038194</v>
      </c>
      <c r="B2278" s="3" t="s">
        <v>42</v>
      </c>
      <c r="C2278" s="2" t="s">
        <v>43</v>
      </c>
    </row>
    <row r="2279">
      <c r="A2279" s="1">
        <v>43370.41977071759</v>
      </c>
      <c r="B2279" s="3" t="s">
        <v>184</v>
      </c>
      <c r="C2279" s="2" t="s">
        <v>185</v>
      </c>
    </row>
    <row r="2280">
      <c r="A2280" s="1">
        <v>43370.60653278935</v>
      </c>
      <c r="B2280" s="2">
        <v>656.0</v>
      </c>
      <c r="C2280" s="2" t="s">
        <v>144</v>
      </c>
    </row>
    <row r="2281">
      <c r="A2281" s="1">
        <v>43370.60693030093</v>
      </c>
      <c r="B2281" s="3" t="s">
        <v>103</v>
      </c>
      <c r="C2281" s="2" t="s">
        <v>104</v>
      </c>
    </row>
    <row r="2282">
      <c r="A2282" s="1">
        <v>43370.607025150464</v>
      </c>
      <c r="B2282" s="2">
        <v>253.0</v>
      </c>
      <c r="C2282" s="2" t="s">
        <v>138</v>
      </c>
    </row>
    <row r="2283">
      <c r="A2283" s="1">
        <v>43370.607380636575</v>
      </c>
      <c r="B2283" s="2">
        <v>604.0</v>
      </c>
      <c r="C2283" s="2" t="s">
        <v>36</v>
      </c>
    </row>
    <row r="2284">
      <c r="A2284" s="1">
        <v>43370.60749891204</v>
      </c>
      <c r="B2284" s="2">
        <v>649.0</v>
      </c>
      <c r="C2284" s="2" t="s">
        <v>177</v>
      </c>
    </row>
    <row r="2285">
      <c r="A2285" s="1">
        <v>43370.6078778125</v>
      </c>
      <c r="B2285" s="2">
        <v>662.0</v>
      </c>
      <c r="C2285" s="2" t="s">
        <v>18</v>
      </c>
    </row>
    <row r="2286">
      <c r="A2286" s="1">
        <v>43370.612509074075</v>
      </c>
      <c r="B2286" s="2">
        <v>193.0</v>
      </c>
      <c r="C2286" s="2" t="s">
        <v>30</v>
      </c>
    </row>
    <row r="2287">
      <c r="A2287" s="1">
        <v>43370.614476793984</v>
      </c>
      <c r="B2287" s="2">
        <v>632.0</v>
      </c>
      <c r="C2287" s="2" t="s">
        <v>146</v>
      </c>
    </row>
    <row r="2288">
      <c r="A2288" s="1">
        <v>43370.61711238426</v>
      </c>
      <c r="B2288" s="2">
        <v>721.0</v>
      </c>
      <c r="C2288" s="2" t="s">
        <v>156</v>
      </c>
      <c r="D2288" s="2" t="s">
        <v>5</v>
      </c>
    </row>
    <row r="2289">
      <c r="A2289" s="1">
        <v>43370.61749741898</v>
      </c>
      <c r="B2289" s="2">
        <v>736.0</v>
      </c>
      <c r="C2289" s="2" t="s">
        <v>175</v>
      </c>
      <c r="D2289" s="2" t="s">
        <v>5</v>
      </c>
    </row>
    <row r="2290">
      <c r="A2290" s="1">
        <v>43370.61755859954</v>
      </c>
      <c r="B2290" s="2">
        <v>737.0</v>
      </c>
      <c r="C2290" s="2" t="s">
        <v>176</v>
      </c>
      <c r="D2290" s="2" t="s">
        <v>5</v>
      </c>
    </row>
    <row r="2291">
      <c r="A2291" s="1">
        <v>43372.278811261574</v>
      </c>
      <c r="B2291" s="2">
        <v>734.0</v>
      </c>
      <c r="C2291" s="2" t="s">
        <v>63</v>
      </c>
      <c r="D2291" s="2" t="s">
        <v>5</v>
      </c>
    </row>
    <row r="2292">
      <c r="A2292" s="1">
        <v>43372.27893111111</v>
      </c>
      <c r="B2292" s="2">
        <v>734.0</v>
      </c>
      <c r="C2292" s="2" t="s">
        <v>63</v>
      </c>
      <c r="D2292" s="2" t="s">
        <v>5</v>
      </c>
    </row>
    <row r="2293">
      <c r="A2293" s="1">
        <v>43373.418180023145</v>
      </c>
      <c r="B2293" s="2">
        <v>611.0</v>
      </c>
      <c r="C2293" s="2" t="s">
        <v>143</v>
      </c>
    </row>
    <row r="2294">
      <c r="A2294" s="1">
        <v>43373.42293342593</v>
      </c>
      <c r="B2294" s="2">
        <v>246.0</v>
      </c>
      <c r="C2294" s="2" t="s">
        <v>26</v>
      </c>
    </row>
    <row r="2295">
      <c r="A2295" s="1">
        <v>43373.42322680556</v>
      </c>
      <c r="B2295" s="2">
        <v>246.0</v>
      </c>
      <c r="C2295" s="2" t="s">
        <v>26</v>
      </c>
    </row>
    <row r="2296">
      <c r="A2296" s="1">
        <v>43373.42352214121</v>
      </c>
      <c r="B2296" s="2">
        <v>246.0</v>
      </c>
      <c r="C2296" s="2" t="s">
        <v>26</v>
      </c>
    </row>
    <row r="2297">
      <c r="A2297" s="1">
        <v>43373.423663113426</v>
      </c>
      <c r="B2297" s="2">
        <v>246.0</v>
      </c>
      <c r="C2297" s="2" t="s">
        <v>26</v>
      </c>
    </row>
    <row r="2298">
      <c r="A2298" s="1">
        <v>43373.424041921295</v>
      </c>
      <c r="B2298" s="2">
        <v>246.0</v>
      </c>
      <c r="C2298" s="2" t="s">
        <v>26</v>
      </c>
    </row>
    <row r="2299">
      <c r="A2299" s="1">
        <v>43373.42407403935</v>
      </c>
      <c r="B2299" s="2">
        <v>708.0</v>
      </c>
      <c r="C2299" s="2" t="s">
        <v>4</v>
      </c>
      <c r="D2299" s="2" t="s">
        <v>5</v>
      </c>
    </row>
    <row r="2300">
      <c r="A2300" s="1">
        <v>43373.424361990736</v>
      </c>
      <c r="B2300" s="2">
        <v>670.0</v>
      </c>
      <c r="C2300" s="2" t="s">
        <v>139</v>
      </c>
    </row>
    <row r="2301">
      <c r="A2301" s="1">
        <v>43373.42464358796</v>
      </c>
      <c r="B2301" s="2">
        <v>735.0</v>
      </c>
      <c r="C2301" s="2" t="s">
        <v>37</v>
      </c>
      <c r="D2301" s="2" t="s">
        <v>5</v>
      </c>
    </row>
    <row r="2302">
      <c r="A2302" s="1">
        <v>43373.42470533565</v>
      </c>
      <c r="B2302" s="2">
        <v>735.0</v>
      </c>
      <c r="C2302" s="2" t="s">
        <v>37</v>
      </c>
      <c r="D2302" s="2" t="s">
        <v>5</v>
      </c>
    </row>
    <row r="2303">
      <c r="A2303" s="1">
        <v>43373.42477150463</v>
      </c>
      <c r="B2303" s="2">
        <v>708.0</v>
      </c>
      <c r="C2303" s="2" t="s">
        <v>4</v>
      </c>
      <c r="D2303" s="2" t="s">
        <v>5</v>
      </c>
    </row>
    <row r="2304">
      <c r="A2304" s="1">
        <v>43373.42507814815</v>
      </c>
      <c r="B2304" s="3" t="s">
        <v>55</v>
      </c>
      <c r="C2304" s="2" t="s">
        <v>56</v>
      </c>
    </row>
    <row r="2305">
      <c r="A2305" s="1">
        <v>43373.42510886574</v>
      </c>
      <c r="B2305" s="3" t="s">
        <v>55</v>
      </c>
      <c r="C2305" s="2" t="s">
        <v>56</v>
      </c>
    </row>
    <row r="2306">
      <c r="A2306" s="1">
        <v>43373.425220289355</v>
      </c>
      <c r="B2306" s="3" t="s">
        <v>55</v>
      </c>
      <c r="C2306" s="2" t="s">
        <v>56</v>
      </c>
    </row>
    <row r="2307">
      <c r="A2307" s="1">
        <v>43373.42535415509</v>
      </c>
      <c r="B2307" s="3" t="s">
        <v>55</v>
      </c>
      <c r="C2307" s="2" t="s">
        <v>56</v>
      </c>
    </row>
    <row r="2308">
      <c r="A2308" s="1">
        <v>43373.425553090274</v>
      </c>
      <c r="B2308" s="3" t="s">
        <v>55</v>
      </c>
      <c r="C2308" s="2" t="s">
        <v>56</v>
      </c>
    </row>
    <row r="2309">
      <c r="A2309" s="1">
        <v>43373.42563337963</v>
      </c>
      <c r="B2309" s="3" t="s">
        <v>55</v>
      </c>
      <c r="C2309" s="2" t="s">
        <v>56</v>
      </c>
    </row>
    <row r="2310">
      <c r="A2310" s="1">
        <v>43373.42566267361</v>
      </c>
      <c r="B2310" s="2">
        <v>708.0</v>
      </c>
      <c r="C2310" s="2" t="s">
        <v>4</v>
      </c>
      <c r="D2310" s="2" t="s">
        <v>5</v>
      </c>
    </row>
    <row r="2311">
      <c r="A2311" s="1">
        <v>43373.42621802083</v>
      </c>
      <c r="B2311" s="2">
        <v>252.0</v>
      </c>
      <c r="C2311" s="2" t="s">
        <v>34</v>
      </c>
    </row>
    <row r="2312">
      <c r="A2312" s="1">
        <v>43373.42646350694</v>
      </c>
      <c r="B2312" s="2">
        <v>613.0</v>
      </c>
      <c r="C2312" s="2" t="s">
        <v>124</v>
      </c>
    </row>
    <row r="2313">
      <c r="A2313" s="1">
        <v>43373.42663923611</v>
      </c>
      <c r="B2313" s="2">
        <v>165.0</v>
      </c>
      <c r="C2313" s="2" t="s">
        <v>50</v>
      </c>
    </row>
    <row r="2314">
      <c r="A2314" s="1">
        <v>43373.42668341435</v>
      </c>
      <c r="B2314" s="2">
        <v>175.0</v>
      </c>
      <c r="C2314" s="2" t="s">
        <v>69</v>
      </c>
    </row>
    <row r="2315">
      <c r="A2315" s="1">
        <v>43373.427284942125</v>
      </c>
      <c r="B2315" s="2">
        <v>701.0</v>
      </c>
      <c r="C2315" s="2" t="s">
        <v>93</v>
      </c>
      <c r="D2315" s="2" t="s">
        <v>5</v>
      </c>
    </row>
    <row r="2316">
      <c r="A2316" s="1">
        <v>43373.42757467592</v>
      </c>
      <c r="B2316" s="2">
        <v>214.0</v>
      </c>
      <c r="C2316" s="2" t="s">
        <v>47</v>
      </c>
    </row>
    <row r="2317">
      <c r="A2317" s="1">
        <v>43373.42759510416</v>
      </c>
      <c r="B2317" s="3" t="s">
        <v>111</v>
      </c>
      <c r="C2317" s="2" t="s">
        <v>112</v>
      </c>
    </row>
    <row r="2318">
      <c r="A2318" s="1">
        <v>43373.42778953703</v>
      </c>
      <c r="B2318" s="3" t="s">
        <v>32</v>
      </c>
      <c r="C2318" s="2" t="s">
        <v>33</v>
      </c>
    </row>
    <row r="2319">
      <c r="A2319" s="1">
        <v>43373.42792682871</v>
      </c>
      <c r="B2319" s="2">
        <v>614.0</v>
      </c>
      <c r="C2319" s="2" t="s">
        <v>76</v>
      </c>
    </row>
    <row r="2320">
      <c r="A2320" s="1">
        <v>43373.42802664352</v>
      </c>
      <c r="B2320" s="2">
        <v>113.0</v>
      </c>
      <c r="C2320" s="2" t="s">
        <v>29</v>
      </c>
    </row>
    <row r="2321">
      <c r="A2321" s="1">
        <v>43373.428049375</v>
      </c>
      <c r="B2321" s="2">
        <v>52.0</v>
      </c>
      <c r="C2321" s="2" t="s">
        <v>41</v>
      </c>
    </row>
    <row r="2322">
      <c r="A2322" s="1">
        <v>43373.428141689816</v>
      </c>
      <c r="B2322" s="2">
        <v>602.0</v>
      </c>
      <c r="C2322" s="2" t="s">
        <v>131</v>
      </c>
    </row>
    <row r="2323">
      <c r="A2323" s="1">
        <v>43373.428325960645</v>
      </c>
      <c r="B2323" s="3" t="s">
        <v>126</v>
      </c>
      <c r="C2323" s="2" t="s">
        <v>127</v>
      </c>
    </row>
    <row r="2324">
      <c r="A2324" s="1">
        <v>43373.428332881944</v>
      </c>
      <c r="B2324" s="2">
        <v>219.0</v>
      </c>
      <c r="C2324" s="2" t="s">
        <v>31</v>
      </c>
    </row>
    <row r="2325">
      <c r="A2325" s="1">
        <v>43373.428599363426</v>
      </c>
      <c r="B2325" s="3" t="s">
        <v>11</v>
      </c>
      <c r="C2325" s="2" t="s">
        <v>12</v>
      </c>
    </row>
    <row r="2326">
      <c r="A2326" s="1">
        <v>43373.42891037037</v>
      </c>
      <c r="B2326" s="2">
        <v>716.0</v>
      </c>
      <c r="C2326" s="2" t="s">
        <v>123</v>
      </c>
      <c r="D2326" s="2" t="s">
        <v>5</v>
      </c>
    </row>
    <row r="2327">
      <c r="A2327" s="1">
        <v>43373.42917295139</v>
      </c>
      <c r="B2327" s="2">
        <v>215.0</v>
      </c>
      <c r="C2327" s="2" t="s">
        <v>137</v>
      </c>
    </row>
    <row r="2328">
      <c r="A2328" s="1">
        <v>43373.42988784722</v>
      </c>
      <c r="B2328" s="2">
        <v>201.0</v>
      </c>
      <c r="C2328" s="2" t="s">
        <v>70</v>
      </c>
    </row>
    <row r="2329">
      <c r="A2329" s="1">
        <v>43373.43024315972</v>
      </c>
      <c r="B2329" s="2">
        <v>229.0</v>
      </c>
      <c r="C2329" s="2" t="s">
        <v>86</v>
      </c>
    </row>
    <row r="2330">
      <c r="A2330" s="1">
        <v>43373.4310703588</v>
      </c>
      <c r="B2330" s="2">
        <v>715.0</v>
      </c>
      <c r="C2330" s="2" t="s">
        <v>203</v>
      </c>
      <c r="D2330" s="2" t="s">
        <v>5</v>
      </c>
    </row>
    <row r="2331">
      <c r="A2331" s="1">
        <v>43373.43140901621</v>
      </c>
      <c r="B2331" s="3" t="s">
        <v>51</v>
      </c>
      <c r="C2331" s="2" t="s">
        <v>52</v>
      </c>
    </row>
    <row r="2332">
      <c r="A2332" s="1">
        <v>43373.431438252315</v>
      </c>
      <c r="B2332" s="2">
        <v>661.0</v>
      </c>
      <c r="C2332" s="2" t="s">
        <v>153</v>
      </c>
    </row>
    <row r="2333">
      <c r="A2333" s="1">
        <v>43373.431797199075</v>
      </c>
      <c r="B2333" s="2">
        <v>207.0</v>
      </c>
      <c r="C2333" s="2" t="s">
        <v>85</v>
      </c>
    </row>
    <row r="2334">
      <c r="A2334" s="1">
        <v>43373.43207412037</v>
      </c>
      <c r="B2334" s="2">
        <v>717.0</v>
      </c>
      <c r="C2334" s="2" t="s">
        <v>152</v>
      </c>
      <c r="D2334" s="2" t="s">
        <v>5</v>
      </c>
    </row>
    <row r="2335">
      <c r="A2335" s="1">
        <v>43373.4322177662</v>
      </c>
      <c r="B2335" s="2">
        <v>729.0</v>
      </c>
      <c r="C2335" s="2" t="s">
        <v>54</v>
      </c>
      <c r="D2335" s="2" t="s">
        <v>5</v>
      </c>
    </row>
    <row r="2336">
      <c r="A2336" s="1">
        <v>43373.4325271875</v>
      </c>
      <c r="B2336" s="2">
        <v>717.0</v>
      </c>
      <c r="C2336" s="2" t="s">
        <v>152</v>
      </c>
      <c r="D2336" s="2" t="s">
        <v>5</v>
      </c>
    </row>
    <row r="2337">
      <c r="A2337" s="1">
        <v>43373.43265618055</v>
      </c>
      <c r="B2337" s="2">
        <v>717.0</v>
      </c>
      <c r="C2337" s="2" t="s">
        <v>152</v>
      </c>
      <c r="D2337" s="2" t="s">
        <v>5</v>
      </c>
    </row>
    <row r="2338">
      <c r="A2338" s="1">
        <v>43373.43287548611</v>
      </c>
      <c r="B2338" s="2">
        <v>737.0</v>
      </c>
      <c r="C2338" s="2" t="s">
        <v>176</v>
      </c>
      <c r="D2338" s="2" t="s">
        <v>5</v>
      </c>
    </row>
    <row r="2339">
      <c r="A2339" s="1">
        <v>43373.432894930556</v>
      </c>
    </row>
    <row r="2340">
      <c r="A2340" s="1">
        <v>43373.433062488424</v>
      </c>
      <c r="B2340" s="2">
        <v>673.0</v>
      </c>
      <c r="C2340" s="2" t="s">
        <v>189</v>
      </c>
    </row>
    <row r="2341">
      <c r="A2341" s="1">
        <v>43373.43313351852</v>
      </c>
      <c r="B2341" s="2">
        <v>707.0</v>
      </c>
      <c r="C2341" s="2" t="s">
        <v>57</v>
      </c>
      <c r="D2341" s="2" t="s">
        <v>5</v>
      </c>
    </row>
    <row r="2342">
      <c r="A2342" s="1">
        <v>43373.43359958333</v>
      </c>
      <c r="B2342" s="2">
        <v>141.0</v>
      </c>
      <c r="C2342" s="2" t="s">
        <v>53</v>
      </c>
    </row>
    <row r="2343">
      <c r="A2343" s="1">
        <v>43373.43439927083</v>
      </c>
      <c r="B2343" s="2">
        <v>654.0</v>
      </c>
      <c r="C2343" s="2" t="s">
        <v>115</v>
      </c>
    </row>
    <row r="2344">
      <c r="A2344" s="1">
        <v>43373.4345555787</v>
      </c>
      <c r="B2344" s="2">
        <v>198.0</v>
      </c>
      <c r="C2344" s="2" t="s">
        <v>97</v>
      </c>
    </row>
    <row r="2345">
      <c r="A2345" s="1">
        <v>43373.43464857639</v>
      </c>
      <c r="B2345" s="2">
        <v>655.0</v>
      </c>
      <c r="C2345" s="2" t="s">
        <v>17</v>
      </c>
    </row>
    <row r="2346">
      <c r="A2346" s="1">
        <v>43373.434677129626</v>
      </c>
      <c r="B2346" s="2">
        <v>198.0</v>
      </c>
      <c r="C2346" s="2" t="s">
        <v>97</v>
      </c>
    </row>
    <row r="2347">
      <c r="A2347" s="1">
        <v>43373.43473252315</v>
      </c>
      <c r="B2347" s="2">
        <v>198.0</v>
      </c>
      <c r="C2347" s="2" t="s">
        <v>97</v>
      </c>
    </row>
    <row r="2348">
      <c r="A2348" s="1">
        <v>43373.434850868056</v>
      </c>
      <c r="B2348" s="3" t="s">
        <v>88</v>
      </c>
      <c r="C2348" s="2" t="s">
        <v>89</v>
      </c>
    </row>
    <row r="2349">
      <c r="A2349" s="1">
        <v>43373.43495712963</v>
      </c>
      <c r="B2349" s="2">
        <v>702.0</v>
      </c>
      <c r="C2349" s="2" t="s">
        <v>96</v>
      </c>
      <c r="D2349" s="2" t="s">
        <v>5</v>
      </c>
    </row>
    <row r="2350">
      <c r="A2350" s="1">
        <v>43373.43498569445</v>
      </c>
      <c r="B2350" s="3" t="s">
        <v>78</v>
      </c>
      <c r="C2350" s="2" t="s">
        <v>79</v>
      </c>
    </row>
    <row r="2351">
      <c r="A2351" s="1">
        <v>43373.43508623843</v>
      </c>
      <c r="B2351" s="2">
        <v>723.0</v>
      </c>
      <c r="C2351" s="2" t="s">
        <v>84</v>
      </c>
      <c r="D2351" s="2" t="s">
        <v>5</v>
      </c>
    </row>
    <row r="2352">
      <c r="A2352" s="1">
        <v>43373.435151921294</v>
      </c>
      <c r="B2352" s="3" t="s">
        <v>94</v>
      </c>
      <c r="C2352" s="2" t="s">
        <v>95</v>
      </c>
    </row>
    <row r="2353">
      <c r="A2353" s="1">
        <v>43373.435216631944</v>
      </c>
      <c r="B2353" s="3" t="s">
        <v>82</v>
      </c>
      <c r="C2353" s="2" t="s">
        <v>83</v>
      </c>
    </row>
    <row r="2354">
      <c r="A2354" s="1">
        <v>43373.43607430556</v>
      </c>
      <c r="B2354" s="3" t="s">
        <v>13</v>
      </c>
      <c r="C2354" s="2" t="s">
        <v>14</v>
      </c>
    </row>
    <row r="2355">
      <c r="A2355" s="1">
        <v>43373.43632368055</v>
      </c>
      <c r="B2355" s="3" t="s">
        <v>44</v>
      </c>
      <c r="C2355" s="2" t="s">
        <v>45</v>
      </c>
    </row>
    <row r="2356">
      <c r="A2356" s="1">
        <v>43373.43689981481</v>
      </c>
      <c r="B2356" s="3" t="s">
        <v>42</v>
      </c>
      <c r="C2356" s="2" t="s">
        <v>43</v>
      </c>
    </row>
    <row r="2357">
      <c r="A2357" s="1">
        <v>43373.43755268518</v>
      </c>
      <c r="B2357" s="2">
        <v>158.0</v>
      </c>
      <c r="C2357" s="2" t="s">
        <v>62</v>
      </c>
    </row>
    <row r="2358">
      <c r="A2358" s="1">
        <v>43373.43791528935</v>
      </c>
      <c r="B2358" s="2">
        <v>260.0</v>
      </c>
      <c r="C2358" s="2" t="s">
        <v>67</v>
      </c>
    </row>
    <row r="2359">
      <c r="A2359" s="1">
        <v>43373.43798408565</v>
      </c>
      <c r="B2359" s="2">
        <v>259.0</v>
      </c>
      <c r="C2359" s="2" t="s">
        <v>66</v>
      </c>
    </row>
    <row r="2360">
      <c r="A2360" s="1">
        <v>43373.43817729167</v>
      </c>
      <c r="B2360" s="3" t="s">
        <v>98</v>
      </c>
      <c r="C2360" s="2" t="s">
        <v>99</v>
      </c>
    </row>
    <row r="2361">
      <c r="A2361" s="1">
        <v>43373.43833428241</v>
      </c>
      <c r="B2361" s="2">
        <v>147.0</v>
      </c>
      <c r="C2361" s="2" t="s">
        <v>100</v>
      </c>
    </row>
    <row r="2362">
      <c r="A2362" s="1">
        <v>43373.438472222224</v>
      </c>
      <c r="B2362" s="2">
        <v>726.0</v>
      </c>
      <c r="C2362" s="2" t="s">
        <v>101</v>
      </c>
      <c r="D2362" s="2" t="s">
        <v>5</v>
      </c>
    </row>
    <row r="2363">
      <c r="A2363" s="1">
        <v>43373.438787141204</v>
      </c>
      <c r="B2363" s="2">
        <v>732.0</v>
      </c>
      <c r="C2363" s="2" t="s">
        <v>102</v>
      </c>
      <c r="D2363" s="2" t="s">
        <v>5</v>
      </c>
    </row>
    <row r="2364">
      <c r="A2364" s="1">
        <v>43373.4388108912</v>
      </c>
      <c r="B2364" s="2">
        <v>667.0</v>
      </c>
      <c r="C2364" s="2" t="s">
        <v>73</v>
      </c>
    </row>
    <row r="2365">
      <c r="A2365" s="1">
        <v>43373.438919305554</v>
      </c>
      <c r="B2365" s="2">
        <v>706.0</v>
      </c>
      <c r="C2365" s="2" t="s">
        <v>149</v>
      </c>
      <c r="D2365" s="2" t="s">
        <v>5</v>
      </c>
    </row>
    <row r="2366">
      <c r="A2366" s="1">
        <v>43373.43903594908</v>
      </c>
      <c r="B2366" s="3" t="s">
        <v>74</v>
      </c>
      <c r="C2366" s="2" t="s">
        <v>75</v>
      </c>
    </row>
    <row r="2367">
      <c r="A2367" s="1">
        <v>43373.43914179398</v>
      </c>
      <c r="B2367" s="2">
        <v>262.0</v>
      </c>
      <c r="C2367" s="2" t="s">
        <v>28</v>
      </c>
    </row>
    <row r="2368">
      <c r="A2368" s="1">
        <v>43373.43920141204</v>
      </c>
      <c r="B2368" s="3" t="s">
        <v>150</v>
      </c>
      <c r="C2368" s="2" t="s">
        <v>151</v>
      </c>
    </row>
    <row r="2369">
      <c r="A2369" s="1">
        <v>43373.43922777778</v>
      </c>
      <c r="B2369" s="2">
        <v>662.0</v>
      </c>
      <c r="C2369" s="2" t="s">
        <v>18</v>
      </c>
    </row>
    <row r="2370">
      <c r="A2370" s="1">
        <v>43373.43943196759</v>
      </c>
      <c r="B2370" s="3" t="s">
        <v>94</v>
      </c>
      <c r="C2370" s="2" t="s">
        <v>95</v>
      </c>
    </row>
    <row r="2371">
      <c r="A2371" s="1">
        <v>43373.43961212963</v>
      </c>
      <c r="B2371" s="3" t="s">
        <v>80</v>
      </c>
      <c r="C2371" s="2" t="s">
        <v>81</v>
      </c>
    </row>
    <row r="2372">
      <c r="A2372" s="1">
        <v>43373.43981684028</v>
      </c>
      <c r="B2372" s="2">
        <v>702.0</v>
      </c>
      <c r="C2372" s="2" t="s">
        <v>96</v>
      </c>
      <c r="D2372" s="2" t="s">
        <v>5</v>
      </c>
    </row>
    <row r="2373">
      <c r="A2373" s="1">
        <v>43373.440110625</v>
      </c>
      <c r="B2373" s="2">
        <v>198.0</v>
      </c>
      <c r="C2373" s="2" t="s">
        <v>97</v>
      </c>
    </row>
    <row r="2374">
      <c r="A2374" s="1">
        <v>43373.44030809028</v>
      </c>
      <c r="B2374" s="2">
        <v>126.0</v>
      </c>
      <c r="C2374" s="2" t="s">
        <v>87</v>
      </c>
    </row>
    <row r="2375">
      <c r="A2375" s="1">
        <v>43373.44060927084</v>
      </c>
      <c r="B2375" s="2">
        <v>253.0</v>
      </c>
      <c r="C2375" s="2" t="s">
        <v>138</v>
      </c>
    </row>
    <row r="2376">
      <c r="A2376" s="1">
        <v>43373.441846851856</v>
      </c>
      <c r="B2376" s="3" t="s">
        <v>9</v>
      </c>
      <c r="C2376" s="2" t="s">
        <v>10</v>
      </c>
    </row>
    <row r="2377">
      <c r="A2377" s="1">
        <v>43373.44212234954</v>
      </c>
      <c r="B2377" s="2">
        <v>708.0</v>
      </c>
      <c r="C2377" s="2" t="s">
        <v>4</v>
      </c>
      <c r="D2377" s="2" t="s">
        <v>5</v>
      </c>
    </row>
    <row r="2378">
      <c r="A2378" s="1">
        <v>43373.44243876157</v>
      </c>
      <c r="B2378" s="2">
        <v>709.0</v>
      </c>
      <c r="C2378" s="2" t="s">
        <v>20</v>
      </c>
      <c r="D2378" s="2" t="s">
        <v>5</v>
      </c>
    </row>
    <row r="2379">
      <c r="A2379" s="1">
        <v>43373.44255931713</v>
      </c>
      <c r="B2379" s="2">
        <v>710.0</v>
      </c>
      <c r="C2379" s="2" t="s">
        <v>21</v>
      </c>
      <c r="D2379" s="2" t="s">
        <v>5</v>
      </c>
    </row>
    <row r="2380">
      <c r="A2380" s="1">
        <v>43373.445280381944</v>
      </c>
      <c r="B2380" s="2">
        <v>733.0</v>
      </c>
      <c r="C2380" s="2" t="s">
        <v>110</v>
      </c>
      <c r="D2380" s="2" t="s">
        <v>5</v>
      </c>
    </row>
    <row r="2381">
      <c r="A2381" s="1">
        <v>43373.44535146991</v>
      </c>
      <c r="B2381" s="2">
        <v>663.0</v>
      </c>
      <c r="C2381" s="2" t="s">
        <v>109</v>
      </c>
    </row>
    <row r="2382">
      <c r="A2382" s="1">
        <v>43373.4499864699</v>
      </c>
      <c r="B2382" s="2">
        <v>708.0</v>
      </c>
      <c r="C2382" s="2" t="s">
        <v>4</v>
      </c>
      <c r="D2382" s="2" t="s">
        <v>5</v>
      </c>
    </row>
    <row r="2383">
      <c r="A2383" s="1">
        <v>43373.44999130787</v>
      </c>
      <c r="B2383" s="3" t="s">
        <v>103</v>
      </c>
      <c r="C2383" s="2" t="s">
        <v>104</v>
      </c>
    </row>
    <row r="2384">
      <c r="A2384" s="1">
        <v>43373.450059849536</v>
      </c>
      <c r="B2384" s="2">
        <v>708.0</v>
      </c>
      <c r="C2384" s="2" t="s">
        <v>4</v>
      </c>
      <c r="D2384" s="2" t="s">
        <v>5</v>
      </c>
    </row>
    <row r="2385">
      <c r="A2385" s="1">
        <v>43373.450069513885</v>
      </c>
      <c r="B2385" s="2">
        <v>717.0</v>
      </c>
      <c r="C2385" s="2" t="s">
        <v>152</v>
      </c>
      <c r="D2385" s="2" t="s">
        <v>5</v>
      </c>
    </row>
    <row r="2386">
      <c r="A2386" s="1">
        <v>43373.45323561343</v>
      </c>
      <c r="B2386" s="2">
        <v>228.0</v>
      </c>
      <c r="C2386" s="2" t="s">
        <v>135</v>
      </c>
    </row>
    <row r="2387">
      <c r="A2387" s="1">
        <v>43373.4532712963</v>
      </c>
      <c r="B2387" s="2">
        <v>101.0</v>
      </c>
      <c r="C2387" s="2" t="s">
        <v>108</v>
      </c>
    </row>
    <row r="2388">
      <c r="A2388" s="1">
        <v>43373.45331819444</v>
      </c>
      <c r="B2388" s="2">
        <v>718.0</v>
      </c>
      <c r="C2388" s="2" t="s">
        <v>105</v>
      </c>
      <c r="D2388" s="2" t="s">
        <v>5</v>
      </c>
    </row>
    <row r="2389">
      <c r="A2389" s="1">
        <v>43373.453356134254</v>
      </c>
      <c r="B2389" s="2">
        <v>719.0</v>
      </c>
      <c r="C2389" s="2" t="s">
        <v>106</v>
      </c>
      <c r="D2389" s="2" t="s">
        <v>5</v>
      </c>
    </row>
    <row r="2390">
      <c r="A2390" s="1">
        <v>43373.498422662036</v>
      </c>
      <c r="B2390" s="2">
        <v>244.0</v>
      </c>
      <c r="C2390" s="2" t="s">
        <v>38</v>
      </c>
    </row>
    <row r="2391">
      <c r="A2391" s="1">
        <v>43373.50380363426</v>
      </c>
      <c r="B2391" s="2">
        <v>214.0</v>
      </c>
      <c r="C2391" s="2" t="s">
        <v>47</v>
      </c>
    </row>
    <row r="2392">
      <c r="A2392" s="1">
        <v>43373.615435</v>
      </c>
      <c r="B2392" s="2">
        <v>734.0</v>
      </c>
      <c r="C2392" s="2" t="s">
        <v>63</v>
      </c>
      <c r="D2392" s="2" t="s">
        <v>5</v>
      </c>
    </row>
    <row r="2393">
      <c r="A2393" s="1">
        <v>43378.43877523148</v>
      </c>
      <c r="B2393" s="3" t="s">
        <v>22</v>
      </c>
      <c r="C2393" s="2" t="s">
        <v>23</v>
      </c>
    </row>
    <row r="2394">
      <c r="A2394" s="1">
        <v>43378.442803136575</v>
      </c>
      <c r="B2394" s="3" t="s">
        <v>113</v>
      </c>
      <c r="C2394" s="2" t="s">
        <v>114</v>
      </c>
    </row>
    <row r="2395">
      <c r="A2395" s="1">
        <v>43378.44291662037</v>
      </c>
      <c r="B2395" s="2">
        <v>101.0</v>
      </c>
      <c r="C2395" s="2" t="s">
        <v>108</v>
      </c>
    </row>
    <row r="2396">
      <c r="A2396" s="1">
        <v>43378.44303594907</v>
      </c>
      <c r="B2396" s="2">
        <v>718.0</v>
      </c>
      <c r="C2396" s="2" t="s">
        <v>105</v>
      </c>
      <c r="D2396" s="2" t="s">
        <v>5</v>
      </c>
    </row>
    <row r="2397">
      <c r="A2397" s="1">
        <v>43378.44309418982</v>
      </c>
      <c r="B2397" s="2">
        <v>719.0</v>
      </c>
      <c r="C2397" s="2" t="s">
        <v>106</v>
      </c>
      <c r="D2397" s="2" t="s">
        <v>5</v>
      </c>
    </row>
    <row r="2398">
      <c r="A2398" s="1">
        <v>43378.4440856713</v>
      </c>
      <c r="B2398" s="2">
        <v>124.0</v>
      </c>
      <c r="C2398" s="2" t="s">
        <v>107</v>
      </c>
    </row>
    <row r="2399">
      <c r="A2399" s="1">
        <v>43378.44512829861</v>
      </c>
      <c r="B2399" s="2">
        <v>208.0</v>
      </c>
      <c r="C2399" s="2" t="s">
        <v>182</v>
      </c>
    </row>
    <row r="2400">
      <c r="A2400" s="1">
        <v>43378.446876250004</v>
      </c>
      <c r="B2400" s="2">
        <v>608.0</v>
      </c>
      <c r="C2400" s="2" t="s">
        <v>7</v>
      </c>
    </row>
    <row r="2401">
      <c r="A2401" s="1">
        <v>43378.44801157407</v>
      </c>
      <c r="B2401" s="2">
        <v>643.0</v>
      </c>
      <c r="C2401" s="2" t="s">
        <v>166</v>
      </c>
    </row>
    <row r="2402">
      <c r="A2402" s="1">
        <v>43380.40239451389</v>
      </c>
      <c r="B2402" s="2">
        <v>165.0</v>
      </c>
      <c r="C2402" s="2" t="s">
        <v>50</v>
      </c>
    </row>
    <row r="2403">
      <c r="A2403" s="1">
        <v>43380.40260403935</v>
      </c>
      <c r="B2403" s="3" t="s">
        <v>113</v>
      </c>
      <c r="C2403" s="2" t="s">
        <v>114</v>
      </c>
    </row>
    <row r="2404">
      <c r="A2404" s="1">
        <v>43380.402727361114</v>
      </c>
      <c r="B2404" s="2">
        <v>193.0</v>
      </c>
      <c r="C2404" s="2" t="s">
        <v>30</v>
      </c>
    </row>
    <row r="2405">
      <c r="A2405" s="1">
        <v>43380.40335396991</v>
      </c>
      <c r="B2405" s="3" t="s">
        <v>113</v>
      </c>
      <c r="C2405" s="2" t="s">
        <v>114</v>
      </c>
    </row>
    <row r="2406">
      <c r="A2406" s="1">
        <v>43380.40449927084</v>
      </c>
      <c r="B2406" s="2">
        <v>167.0</v>
      </c>
      <c r="C2406" s="2" t="s">
        <v>39</v>
      </c>
    </row>
    <row r="2407">
      <c r="A2407" s="1">
        <v>43380.40495138889</v>
      </c>
      <c r="B2407" s="2">
        <v>167.0</v>
      </c>
      <c r="C2407" s="2" t="s">
        <v>39</v>
      </c>
    </row>
    <row r="2408">
      <c r="A2408" s="1">
        <v>43380.40705422453</v>
      </c>
      <c r="B2408" s="3" t="s">
        <v>113</v>
      </c>
      <c r="C2408" s="2" t="s">
        <v>114</v>
      </c>
    </row>
    <row r="2409">
      <c r="A2409" s="1">
        <v>43380.407174155094</v>
      </c>
      <c r="B2409" s="3" t="s">
        <v>42</v>
      </c>
      <c r="C2409" s="2" t="s">
        <v>43</v>
      </c>
    </row>
    <row r="2410">
      <c r="A2410" s="1">
        <v>43380.407210833335</v>
      </c>
      <c r="B2410" s="3" t="s">
        <v>113</v>
      </c>
      <c r="C2410" s="2" t="s">
        <v>114</v>
      </c>
    </row>
    <row r="2411">
      <c r="A2411" s="1">
        <v>43380.407334166666</v>
      </c>
      <c r="B2411" s="2">
        <v>172.0</v>
      </c>
      <c r="C2411" s="2" t="s">
        <v>65</v>
      </c>
    </row>
    <row r="2412">
      <c r="A2412" s="1">
        <v>43380.40737248842</v>
      </c>
      <c r="B2412" s="3" t="s">
        <v>113</v>
      </c>
      <c r="C2412" s="2" t="s">
        <v>114</v>
      </c>
    </row>
    <row r="2413">
      <c r="A2413" s="1">
        <v>43380.40790710648</v>
      </c>
      <c r="B2413" s="2">
        <v>607.0</v>
      </c>
      <c r="C2413" s="2" t="s">
        <v>68</v>
      </c>
    </row>
    <row r="2414">
      <c r="A2414" s="1">
        <v>43380.40795472222</v>
      </c>
      <c r="B2414" s="3" t="s">
        <v>113</v>
      </c>
      <c r="C2414" s="2" t="s">
        <v>114</v>
      </c>
    </row>
    <row r="2415">
      <c r="A2415" s="1">
        <v>43380.40961284722</v>
      </c>
      <c r="B2415" s="3" t="s">
        <v>159</v>
      </c>
      <c r="C2415" s="2" t="s">
        <v>160</v>
      </c>
    </row>
    <row r="2416">
      <c r="A2416" s="1">
        <v>43380.413179166666</v>
      </c>
      <c r="B2416" s="3" t="s">
        <v>113</v>
      </c>
      <c r="C2416" s="2" t="s">
        <v>114</v>
      </c>
    </row>
    <row r="2417">
      <c r="A2417" s="1">
        <v>43380.41338081019</v>
      </c>
      <c r="B2417" s="2">
        <v>210.0</v>
      </c>
      <c r="C2417" s="2" t="s">
        <v>64</v>
      </c>
    </row>
    <row r="2418">
      <c r="A2418" s="1">
        <v>43380.4136977662</v>
      </c>
      <c r="B2418" s="3" t="s">
        <v>113</v>
      </c>
      <c r="C2418" s="2" t="s">
        <v>114</v>
      </c>
    </row>
    <row r="2419">
      <c r="A2419" s="1">
        <v>43380.41880871527</v>
      </c>
      <c r="B2419" s="3" t="s">
        <v>184</v>
      </c>
      <c r="C2419" s="2" t="s">
        <v>185</v>
      </c>
    </row>
    <row r="2420">
      <c r="A2420" s="1">
        <v>43380.41884479167</v>
      </c>
      <c r="B2420" s="3" t="s">
        <v>113</v>
      </c>
      <c r="C2420" s="2" t="s">
        <v>114</v>
      </c>
    </row>
    <row r="2421">
      <c r="A2421" s="1">
        <v>43380.41889149306</v>
      </c>
      <c r="B2421" s="3" t="s">
        <v>186</v>
      </c>
      <c r="C2421" s="2" t="s">
        <v>187</v>
      </c>
    </row>
    <row r="2422">
      <c r="A2422" s="1">
        <v>43380.41989105324</v>
      </c>
      <c r="B2422" s="2">
        <v>246.0</v>
      </c>
      <c r="C2422" s="2" t="s">
        <v>26</v>
      </c>
    </row>
    <row r="2423">
      <c r="A2423" s="1">
        <v>43380.420136678236</v>
      </c>
      <c r="B2423" s="2">
        <v>722.0</v>
      </c>
      <c r="C2423" s="2" t="s">
        <v>25</v>
      </c>
      <c r="D2423" s="2" t="s">
        <v>5</v>
      </c>
    </row>
    <row r="2424">
      <c r="A2424" s="1">
        <v>43380.4202568287</v>
      </c>
      <c r="B2424" s="2">
        <v>738.0</v>
      </c>
      <c r="C2424" s="2" t="s">
        <v>161</v>
      </c>
    </row>
    <row r="2425">
      <c r="A2425" s="1">
        <v>43380.420379247684</v>
      </c>
      <c r="B2425" s="2">
        <v>631.0</v>
      </c>
      <c r="C2425" s="2" t="s">
        <v>178</v>
      </c>
    </row>
    <row r="2426">
      <c r="A2426" s="1">
        <v>43380.4207870949</v>
      </c>
      <c r="B2426" s="3" t="s">
        <v>113</v>
      </c>
      <c r="C2426" s="2" t="s">
        <v>114</v>
      </c>
    </row>
    <row r="2427">
      <c r="A2427" s="1">
        <v>43380.4210178588</v>
      </c>
      <c r="B2427" s="3" t="s">
        <v>51</v>
      </c>
      <c r="C2427" s="2" t="s">
        <v>52</v>
      </c>
    </row>
    <row r="2428">
      <c r="A2428" s="1">
        <v>43380.422976435184</v>
      </c>
      <c r="B2428" s="2">
        <v>219.0</v>
      </c>
      <c r="C2428" s="2" t="s">
        <v>31</v>
      </c>
    </row>
    <row r="2429">
      <c r="A2429" s="1">
        <v>43380.42331628472</v>
      </c>
      <c r="B2429" s="2">
        <v>207.0</v>
      </c>
      <c r="C2429" s="2" t="s">
        <v>85</v>
      </c>
    </row>
    <row r="2430">
      <c r="A2430" s="1">
        <v>43380.42359756945</v>
      </c>
      <c r="B2430" s="2">
        <v>236.0</v>
      </c>
      <c r="C2430" s="2" t="s">
        <v>142</v>
      </c>
    </row>
    <row r="2431">
      <c r="A2431" s="1">
        <v>43380.42364979167</v>
      </c>
      <c r="B2431" s="3" t="s">
        <v>113</v>
      </c>
      <c r="C2431" s="2" t="s">
        <v>114</v>
      </c>
    </row>
    <row r="2432">
      <c r="A2432" s="1">
        <v>43380.42372038194</v>
      </c>
      <c r="B2432" s="3" t="s">
        <v>44</v>
      </c>
      <c r="C2432" s="2" t="s">
        <v>45</v>
      </c>
    </row>
    <row r="2433">
      <c r="A2433" s="1">
        <v>43380.42474773148</v>
      </c>
      <c r="B2433" s="3" t="s">
        <v>113</v>
      </c>
      <c r="C2433" s="2" t="s">
        <v>114</v>
      </c>
    </row>
    <row r="2434">
      <c r="A2434" s="1">
        <v>43380.42505667824</v>
      </c>
      <c r="B2434" s="2">
        <v>219.0</v>
      </c>
      <c r="C2434" s="2" t="s">
        <v>31</v>
      </c>
    </row>
    <row r="2435">
      <c r="A2435" s="1">
        <v>43380.42539358797</v>
      </c>
      <c r="B2435" s="3" t="s">
        <v>150</v>
      </c>
      <c r="C2435" s="2" t="s">
        <v>151</v>
      </c>
    </row>
    <row r="2436">
      <c r="A2436" s="1">
        <v>43380.42559293981</v>
      </c>
      <c r="B2436" s="3" t="s">
        <v>78</v>
      </c>
      <c r="C2436" s="2" t="s">
        <v>79</v>
      </c>
    </row>
    <row r="2437">
      <c r="A2437" s="1">
        <v>43380.42564893518</v>
      </c>
      <c r="B2437" s="3" t="s">
        <v>113</v>
      </c>
      <c r="C2437" s="2" t="s">
        <v>114</v>
      </c>
    </row>
    <row r="2438">
      <c r="A2438" s="1">
        <v>43380.425767962966</v>
      </c>
      <c r="B2438" s="2">
        <v>723.0</v>
      </c>
      <c r="C2438" s="2" t="s">
        <v>84</v>
      </c>
      <c r="D2438" s="2" t="s">
        <v>5</v>
      </c>
    </row>
    <row r="2439">
      <c r="A2439" s="1">
        <v>43380.425799895835</v>
      </c>
      <c r="B2439" s="3" t="s">
        <v>113</v>
      </c>
      <c r="C2439" s="2" t="s">
        <v>114</v>
      </c>
    </row>
    <row r="2440">
      <c r="A2440" s="1">
        <v>43380.42586998842</v>
      </c>
      <c r="B2440" s="2">
        <v>113.0</v>
      </c>
      <c r="C2440" s="2" t="s">
        <v>29</v>
      </c>
    </row>
    <row r="2441">
      <c r="A2441" s="1">
        <v>43380.425936377316</v>
      </c>
      <c r="B2441" s="3" t="s">
        <v>113</v>
      </c>
      <c r="C2441" s="2" t="s">
        <v>114</v>
      </c>
    </row>
    <row r="2442">
      <c r="A2442" s="1">
        <v>43380.426179375005</v>
      </c>
      <c r="B2442" s="2">
        <v>173.0</v>
      </c>
      <c r="C2442" s="2" t="s">
        <v>24</v>
      </c>
    </row>
    <row r="2443">
      <c r="A2443" s="1">
        <v>43380.426242581016</v>
      </c>
      <c r="B2443" s="3" t="s">
        <v>113</v>
      </c>
      <c r="C2443" s="2" t="s">
        <v>114</v>
      </c>
    </row>
    <row r="2444">
      <c r="A2444" s="1">
        <v>43380.42656078703</v>
      </c>
      <c r="B2444" s="2">
        <v>229.0</v>
      </c>
      <c r="C2444" s="2" t="s">
        <v>86</v>
      </c>
    </row>
    <row r="2445">
      <c r="A2445" s="1">
        <v>43380.426589375</v>
      </c>
      <c r="B2445" s="3" t="s">
        <v>113</v>
      </c>
      <c r="C2445" s="2" t="s">
        <v>114</v>
      </c>
    </row>
    <row r="2446">
      <c r="A2446" s="1">
        <v>43380.42681336806</v>
      </c>
      <c r="B2446" s="2">
        <v>157.0</v>
      </c>
      <c r="C2446" s="2" t="s">
        <v>141</v>
      </c>
    </row>
    <row r="2447">
      <c r="A2447" s="1">
        <v>43380.42686064815</v>
      </c>
      <c r="B2447" s="3" t="s">
        <v>113</v>
      </c>
      <c r="C2447" s="2" t="s">
        <v>114</v>
      </c>
    </row>
    <row r="2448">
      <c r="A2448" s="1">
        <v>43380.42701357639</v>
      </c>
      <c r="B2448" s="2">
        <v>214.0</v>
      </c>
      <c r="C2448" s="2" t="s">
        <v>47</v>
      </c>
    </row>
    <row r="2449">
      <c r="A2449" s="1">
        <v>43380.427075590276</v>
      </c>
      <c r="B2449" s="3" t="s">
        <v>113</v>
      </c>
      <c r="C2449" s="2" t="s">
        <v>114</v>
      </c>
    </row>
    <row r="2450">
      <c r="A2450" s="1">
        <v>43380.42751538195</v>
      </c>
      <c r="B2450" s="3" t="s">
        <v>111</v>
      </c>
      <c r="C2450" s="2" t="s">
        <v>112</v>
      </c>
    </row>
    <row r="2451">
      <c r="A2451" s="1">
        <v>43380.42756806713</v>
      </c>
      <c r="B2451" s="3" t="s">
        <v>113</v>
      </c>
      <c r="C2451" s="2" t="s">
        <v>114</v>
      </c>
    </row>
    <row r="2452">
      <c r="A2452" s="1">
        <v>43380.42764759259</v>
      </c>
      <c r="B2452" s="2">
        <v>158.0</v>
      </c>
      <c r="C2452" s="2" t="s">
        <v>62</v>
      </c>
    </row>
    <row r="2453">
      <c r="A2453" s="1">
        <v>43380.42768013889</v>
      </c>
      <c r="B2453" s="3" t="s">
        <v>113</v>
      </c>
      <c r="C2453" s="2" t="s">
        <v>114</v>
      </c>
    </row>
    <row r="2454">
      <c r="A2454" s="1">
        <v>43380.42775538194</v>
      </c>
      <c r="B2454" s="2">
        <v>237.0</v>
      </c>
      <c r="C2454" s="2" t="s">
        <v>140</v>
      </c>
    </row>
    <row r="2455">
      <c r="A2455" s="1">
        <v>43380.42786118056</v>
      </c>
      <c r="B2455" s="3" t="s">
        <v>113</v>
      </c>
      <c r="C2455" s="2" t="s">
        <v>114</v>
      </c>
    </row>
    <row r="2456">
      <c r="A2456" s="1">
        <v>43380.42794688657</v>
      </c>
      <c r="B2456" s="3" t="s">
        <v>32</v>
      </c>
      <c r="C2456" s="2" t="s">
        <v>33</v>
      </c>
    </row>
    <row r="2457">
      <c r="A2457" s="1">
        <v>43380.427985393515</v>
      </c>
      <c r="B2457" s="3" t="s">
        <v>113</v>
      </c>
      <c r="C2457" s="2" t="s">
        <v>114</v>
      </c>
    </row>
    <row r="2458">
      <c r="A2458" s="1">
        <v>43380.42918083334</v>
      </c>
      <c r="B2458" s="2">
        <v>614.0</v>
      </c>
      <c r="C2458" s="2" t="s">
        <v>76</v>
      </c>
    </row>
    <row r="2459">
      <c r="A2459" s="1">
        <v>43380.429316759255</v>
      </c>
      <c r="B2459" s="3" t="s">
        <v>113</v>
      </c>
      <c r="C2459" s="2" t="s">
        <v>114</v>
      </c>
    </row>
    <row r="2460">
      <c r="A2460" s="1">
        <v>43380.42938613426</v>
      </c>
      <c r="B2460" s="2">
        <v>613.0</v>
      </c>
      <c r="C2460" s="2" t="s">
        <v>124</v>
      </c>
    </row>
    <row r="2461">
      <c r="A2461" s="1">
        <v>43380.42941809028</v>
      </c>
      <c r="B2461" s="3" t="s">
        <v>113</v>
      </c>
      <c r="C2461" s="2" t="s">
        <v>114</v>
      </c>
    </row>
    <row r="2462">
      <c r="A2462" s="1">
        <v>43380.4295077662</v>
      </c>
      <c r="B2462" s="2">
        <v>175.0</v>
      </c>
      <c r="C2462" s="2" t="s">
        <v>69</v>
      </c>
    </row>
    <row r="2463">
      <c r="A2463" s="1">
        <v>43380.42955881944</v>
      </c>
      <c r="B2463" s="3" t="s">
        <v>113</v>
      </c>
      <c r="C2463" s="2" t="s">
        <v>114</v>
      </c>
    </row>
    <row r="2464">
      <c r="A2464" s="1">
        <v>43380.42981518518</v>
      </c>
      <c r="B2464" s="2">
        <v>201.0</v>
      </c>
      <c r="C2464" s="2" t="s">
        <v>70</v>
      </c>
    </row>
    <row r="2465">
      <c r="A2465" s="1">
        <v>43380.43006518518</v>
      </c>
      <c r="B2465" s="3" t="s">
        <v>113</v>
      </c>
      <c r="C2465" s="2" t="s">
        <v>114</v>
      </c>
    </row>
    <row r="2466">
      <c r="A2466" s="1">
        <v>43380.430855555554</v>
      </c>
      <c r="B2466" s="2">
        <v>654.0</v>
      </c>
      <c r="C2466" s="2" t="s">
        <v>115</v>
      </c>
    </row>
    <row r="2467">
      <c r="A2467" s="1">
        <v>43380.43093609954</v>
      </c>
      <c r="B2467" s="3" t="s">
        <v>113</v>
      </c>
      <c r="C2467" s="2" t="s">
        <v>114</v>
      </c>
    </row>
    <row r="2468">
      <c r="A2468" s="1">
        <v>43380.431229444446</v>
      </c>
      <c r="B2468" s="3" t="s">
        <v>88</v>
      </c>
      <c r="C2468" s="2" t="s">
        <v>89</v>
      </c>
    </row>
    <row r="2469">
      <c r="A2469" s="1">
        <v>43380.43127560185</v>
      </c>
      <c r="B2469" s="3" t="s">
        <v>113</v>
      </c>
      <c r="C2469" s="2" t="s">
        <v>114</v>
      </c>
    </row>
    <row r="2470">
      <c r="A2470" s="1">
        <v>43380.43180810185</v>
      </c>
      <c r="B2470" s="3" t="s">
        <v>22</v>
      </c>
      <c r="C2470" s="2" t="s">
        <v>23</v>
      </c>
    </row>
    <row r="2471">
      <c r="A2471" s="1">
        <v>43380.43206518519</v>
      </c>
      <c r="B2471" s="3" t="s">
        <v>113</v>
      </c>
      <c r="C2471" s="2" t="s">
        <v>114</v>
      </c>
    </row>
    <row r="2472">
      <c r="A2472" s="1">
        <v>43380.433614016205</v>
      </c>
      <c r="B2472" s="2">
        <v>254.0</v>
      </c>
      <c r="C2472" s="2" t="s">
        <v>132</v>
      </c>
    </row>
    <row r="2473">
      <c r="A2473" s="1">
        <v>43380.43410763889</v>
      </c>
      <c r="B2473" s="3" t="s">
        <v>113</v>
      </c>
      <c r="C2473" s="2" t="s">
        <v>114</v>
      </c>
    </row>
    <row r="2474">
      <c r="A2474" s="1">
        <v>43380.43423233797</v>
      </c>
      <c r="B2474" s="2">
        <v>259.0</v>
      </c>
      <c r="C2474" s="2" t="s">
        <v>66</v>
      </c>
    </row>
    <row r="2475">
      <c r="A2475" s="1">
        <v>43380.434269143516</v>
      </c>
      <c r="B2475" s="3" t="s">
        <v>113</v>
      </c>
      <c r="C2475" s="2" t="s">
        <v>114</v>
      </c>
    </row>
    <row r="2476">
      <c r="A2476" s="1">
        <v>43380.43432645833</v>
      </c>
      <c r="B2476" s="2">
        <v>260.0</v>
      </c>
      <c r="C2476" s="2" t="s">
        <v>67</v>
      </c>
    </row>
    <row r="2477">
      <c r="A2477" s="1">
        <v>43380.43436295139</v>
      </c>
      <c r="B2477" s="3" t="s">
        <v>113</v>
      </c>
      <c r="C2477" s="2" t="s">
        <v>114</v>
      </c>
    </row>
    <row r="2478">
      <c r="A2478" s="1">
        <v>43380.43441393519</v>
      </c>
      <c r="B2478" s="2">
        <v>734.0</v>
      </c>
      <c r="C2478" s="2" t="s">
        <v>63</v>
      </c>
      <c r="D2478" s="2" t="s">
        <v>5</v>
      </c>
    </row>
    <row r="2479">
      <c r="A2479" s="1">
        <v>43380.434444432874</v>
      </c>
      <c r="B2479" s="3" t="s">
        <v>113</v>
      </c>
      <c r="C2479" s="2" t="s">
        <v>114</v>
      </c>
    </row>
    <row r="2480">
      <c r="A2480" s="1">
        <v>43380.434552928244</v>
      </c>
      <c r="B2480" s="3" t="s">
        <v>44</v>
      </c>
      <c r="C2480" s="2" t="s">
        <v>45</v>
      </c>
    </row>
    <row r="2481">
      <c r="A2481" s="1">
        <v>43380.435097037036</v>
      </c>
      <c r="B2481" s="3" t="s">
        <v>113</v>
      </c>
      <c r="C2481" s="2" t="s">
        <v>114</v>
      </c>
    </row>
    <row r="2482">
      <c r="A2482" s="1">
        <v>43380.43731857639</v>
      </c>
      <c r="B2482" s="2">
        <v>667.0</v>
      </c>
      <c r="C2482" s="2" t="s">
        <v>73</v>
      </c>
    </row>
    <row r="2483">
      <c r="A2483" s="1">
        <v>43380.43741597222</v>
      </c>
      <c r="B2483" s="2">
        <v>706.0</v>
      </c>
      <c r="C2483" s="2" t="s">
        <v>149</v>
      </c>
      <c r="D2483" s="2" t="s">
        <v>5</v>
      </c>
    </row>
    <row r="2484">
      <c r="A2484" s="1">
        <v>43380.43750476852</v>
      </c>
      <c r="B2484" s="3" t="s">
        <v>150</v>
      </c>
      <c r="C2484" s="2" t="s">
        <v>151</v>
      </c>
    </row>
    <row r="2485">
      <c r="A2485" s="1">
        <v>43380.437528553244</v>
      </c>
      <c r="B2485" s="2">
        <v>737.0</v>
      </c>
      <c r="C2485" s="2" t="s">
        <v>176</v>
      </c>
      <c r="D2485" s="2" t="s">
        <v>5</v>
      </c>
    </row>
    <row r="2486">
      <c r="A2486" s="1">
        <v>43380.43756174768</v>
      </c>
      <c r="B2486" s="3" t="s">
        <v>113</v>
      </c>
      <c r="C2486" s="2" t="s">
        <v>114</v>
      </c>
    </row>
    <row r="2487">
      <c r="A2487" s="1">
        <v>43380.437601840276</v>
      </c>
      <c r="B2487" s="3" t="s">
        <v>74</v>
      </c>
      <c r="C2487" s="2" t="s">
        <v>75</v>
      </c>
    </row>
    <row r="2488">
      <c r="A2488" s="1">
        <v>43380.437605439816</v>
      </c>
      <c r="B2488" s="2">
        <v>736.0</v>
      </c>
      <c r="C2488" s="2" t="s">
        <v>175</v>
      </c>
      <c r="D2488" s="2" t="s">
        <v>5</v>
      </c>
    </row>
    <row r="2489">
      <c r="A2489" s="1">
        <v>43380.43795101852</v>
      </c>
      <c r="B2489" s="3" t="s">
        <v>113</v>
      </c>
      <c r="C2489" s="2" t="s">
        <v>114</v>
      </c>
    </row>
    <row r="2490">
      <c r="A2490" s="1">
        <v>43380.43798570602</v>
      </c>
      <c r="B2490" s="2">
        <v>667.0</v>
      </c>
      <c r="C2490" s="2" t="s">
        <v>73</v>
      </c>
    </row>
    <row r="2491">
      <c r="A2491" s="1">
        <v>43380.43811923611</v>
      </c>
      <c r="B2491" s="2">
        <v>706.0</v>
      </c>
      <c r="C2491" s="2" t="s">
        <v>149</v>
      </c>
      <c r="D2491" s="2" t="s">
        <v>5</v>
      </c>
    </row>
    <row r="2492">
      <c r="A2492" s="1">
        <v>43380.43814637732</v>
      </c>
      <c r="B2492" s="2">
        <v>231.0</v>
      </c>
      <c r="C2492" s="2" t="s">
        <v>61</v>
      </c>
    </row>
    <row r="2493">
      <c r="A2493" s="1">
        <v>43380.43819189815</v>
      </c>
      <c r="B2493" s="3" t="s">
        <v>150</v>
      </c>
      <c r="C2493" s="2" t="s">
        <v>151</v>
      </c>
    </row>
    <row r="2494">
      <c r="A2494" s="1">
        <v>43380.438624699076</v>
      </c>
      <c r="B2494" s="3" t="s">
        <v>113</v>
      </c>
      <c r="C2494" s="2" t="s">
        <v>114</v>
      </c>
    </row>
    <row r="2495">
      <c r="A2495" s="1">
        <v>43380.43871434028</v>
      </c>
      <c r="B2495" s="2">
        <v>661.0</v>
      </c>
      <c r="C2495" s="2" t="s">
        <v>153</v>
      </c>
    </row>
    <row r="2496">
      <c r="A2496" s="1">
        <v>43380.43920001158</v>
      </c>
      <c r="B2496" s="3" t="s">
        <v>13</v>
      </c>
      <c r="C2496" s="2" t="s">
        <v>14</v>
      </c>
    </row>
    <row r="2497">
      <c r="A2497" s="1">
        <v>43380.43924078703</v>
      </c>
      <c r="B2497" s="3" t="s">
        <v>113</v>
      </c>
      <c r="C2497" s="2" t="s">
        <v>114</v>
      </c>
    </row>
    <row r="2498">
      <c r="A2498" s="1">
        <v>43380.44032232639</v>
      </c>
      <c r="B2498" s="2">
        <v>52.0</v>
      </c>
      <c r="C2498" s="2" t="s">
        <v>41</v>
      </c>
    </row>
    <row r="2499">
      <c r="A2499" s="1">
        <v>43380.44050619213</v>
      </c>
      <c r="B2499" s="3" t="s">
        <v>126</v>
      </c>
      <c r="C2499" s="2" t="s">
        <v>127</v>
      </c>
    </row>
    <row r="2500">
      <c r="A2500" s="1">
        <v>43380.44245778935</v>
      </c>
      <c r="B2500" s="2">
        <v>189.0</v>
      </c>
      <c r="C2500" s="2" t="s">
        <v>128</v>
      </c>
    </row>
    <row r="2501">
      <c r="A2501" s="1">
        <v>43380.442491747686</v>
      </c>
      <c r="B2501" s="3" t="s">
        <v>113</v>
      </c>
      <c r="C2501" s="2" t="s">
        <v>114</v>
      </c>
    </row>
    <row r="2502">
      <c r="A2502" s="1">
        <v>43380.44257625</v>
      </c>
      <c r="B2502" s="2">
        <v>244.0</v>
      </c>
      <c r="C2502" s="2" t="s">
        <v>38</v>
      </c>
    </row>
    <row r="2503">
      <c r="A2503" s="1">
        <v>43380.44304186343</v>
      </c>
      <c r="B2503" s="2">
        <v>714.0</v>
      </c>
      <c r="C2503" s="2" t="s">
        <v>122</v>
      </c>
      <c r="D2503" s="2" t="s">
        <v>5</v>
      </c>
    </row>
    <row r="2504">
      <c r="A2504" s="1">
        <v>43380.44313424769</v>
      </c>
      <c r="B2504" s="2">
        <v>716.0</v>
      </c>
      <c r="C2504" s="2" t="s">
        <v>123</v>
      </c>
      <c r="D2504" s="2" t="s">
        <v>5</v>
      </c>
    </row>
    <row r="2505">
      <c r="A2505" s="1">
        <v>43380.443439131945</v>
      </c>
      <c r="B2505" s="3" t="s">
        <v>113</v>
      </c>
      <c r="C2505" s="2" t="s">
        <v>114</v>
      </c>
    </row>
    <row r="2506">
      <c r="A2506" s="1">
        <v>43380.443584560184</v>
      </c>
      <c r="B2506" s="3" t="s">
        <v>98</v>
      </c>
      <c r="C2506" s="2" t="s">
        <v>99</v>
      </c>
    </row>
    <row r="2507">
      <c r="A2507" s="1">
        <v>43380.443672407404</v>
      </c>
      <c r="B2507" s="3" t="s">
        <v>113</v>
      </c>
      <c r="C2507" s="2" t="s">
        <v>114</v>
      </c>
    </row>
    <row r="2508">
      <c r="A2508" s="1">
        <v>43380.44377997685</v>
      </c>
      <c r="B2508" s="2">
        <v>147.0</v>
      </c>
      <c r="C2508" s="2" t="s">
        <v>100</v>
      </c>
    </row>
    <row r="2509">
      <c r="A2509" s="1">
        <v>43380.443897743055</v>
      </c>
      <c r="B2509" s="2">
        <v>726.0</v>
      </c>
      <c r="C2509" s="2" t="s">
        <v>101</v>
      </c>
      <c r="D2509" s="2" t="s">
        <v>5</v>
      </c>
    </row>
    <row r="2510">
      <c r="A2510" s="1">
        <v>43380.4439928125</v>
      </c>
      <c r="B2510" s="2">
        <v>732.0</v>
      </c>
      <c r="C2510" s="2" t="s">
        <v>102</v>
      </c>
      <c r="D2510" s="2" t="s">
        <v>5</v>
      </c>
    </row>
    <row r="2511">
      <c r="A2511" s="1">
        <v>43380.44431337963</v>
      </c>
      <c r="B2511" s="2">
        <v>723.0</v>
      </c>
      <c r="C2511" s="2" t="s">
        <v>84</v>
      </c>
      <c r="D2511" s="2" t="s">
        <v>5</v>
      </c>
    </row>
    <row r="2512">
      <c r="A2512" s="1">
        <v>43380.444491331014</v>
      </c>
      <c r="B2512" s="3" t="s">
        <v>80</v>
      </c>
      <c r="C2512" s="2" t="s">
        <v>81</v>
      </c>
    </row>
    <row r="2513">
      <c r="A2513" s="1">
        <v>43380.44474958333</v>
      </c>
      <c r="B2513" s="2">
        <v>126.0</v>
      </c>
      <c r="C2513" s="2" t="s">
        <v>87</v>
      </c>
    </row>
    <row r="2514">
      <c r="A2514" s="1">
        <v>43380.444950335645</v>
      </c>
      <c r="B2514" s="2">
        <v>702.0</v>
      </c>
      <c r="C2514" s="2" t="s">
        <v>96</v>
      </c>
      <c r="D2514" s="2" t="s">
        <v>5</v>
      </c>
    </row>
    <row r="2515">
      <c r="A2515" s="1">
        <v>43380.44524527778</v>
      </c>
      <c r="B2515" s="2">
        <v>198.0</v>
      </c>
      <c r="C2515" s="2" t="s">
        <v>97</v>
      </c>
    </row>
    <row r="2516">
      <c r="A2516" s="1">
        <v>43380.44545377315</v>
      </c>
      <c r="B2516" s="3" t="s">
        <v>94</v>
      </c>
      <c r="C2516" s="2" t="s">
        <v>95</v>
      </c>
    </row>
    <row r="2517">
      <c r="A2517" s="1">
        <v>43380.44564868056</v>
      </c>
      <c r="B2517" s="2">
        <v>215.0</v>
      </c>
      <c r="C2517" s="2" t="s">
        <v>137</v>
      </c>
    </row>
    <row r="2518">
      <c r="A2518" s="1">
        <v>43380.44569113426</v>
      </c>
      <c r="B2518" s="3" t="s">
        <v>113</v>
      </c>
      <c r="C2518" s="2" t="s">
        <v>114</v>
      </c>
    </row>
    <row r="2519">
      <c r="A2519" s="1">
        <v>43380.4525153125</v>
      </c>
      <c r="B2519" s="2">
        <v>124.0</v>
      </c>
      <c r="C2519" s="2" t="s">
        <v>107</v>
      </c>
    </row>
    <row r="2520">
      <c r="A2520" s="1">
        <v>43380.45256140047</v>
      </c>
      <c r="B2520" s="3" t="s">
        <v>113</v>
      </c>
      <c r="C2520" s="2" t="s">
        <v>114</v>
      </c>
    </row>
    <row r="2521">
      <c r="A2521" s="1">
        <v>43380.45265436343</v>
      </c>
      <c r="B2521" s="2">
        <v>228.0</v>
      </c>
      <c r="C2521" s="2" t="s">
        <v>135</v>
      </c>
    </row>
    <row r="2522">
      <c r="A2522" s="1">
        <v>43380.4526906713</v>
      </c>
      <c r="B2522" s="3" t="s">
        <v>113</v>
      </c>
      <c r="C2522" s="2" t="s">
        <v>114</v>
      </c>
    </row>
    <row r="2523">
      <c r="A2523" s="1">
        <v>43380.45275614584</v>
      </c>
      <c r="B2523" s="2">
        <v>101.0</v>
      </c>
      <c r="C2523" s="2" t="s">
        <v>108</v>
      </c>
    </row>
    <row r="2524">
      <c r="A2524" s="1">
        <v>43380.45278997685</v>
      </c>
      <c r="B2524" s="3" t="s">
        <v>113</v>
      </c>
      <c r="C2524" s="2" t="s">
        <v>114</v>
      </c>
    </row>
    <row r="2525">
      <c r="A2525" s="1">
        <v>43380.453023229165</v>
      </c>
      <c r="B2525" s="2">
        <v>719.0</v>
      </c>
      <c r="C2525" s="2" t="s">
        <v>106</v>
      </c>
      <c r="D2525" s="2" t="s">
        <v>5</v>
      </c>
    </row>
    <row r="2526">
      <c r="A2526" s="1">
        <v>43380.45305887732</v>
      </c>
      <c r="B2526" s="3" t="s">
        <v>113</v>
      </c>
      <c r="C2526" s="2" t="s">
        <v>114</v>
      </c>
    </row>
    <row r="2527">
      <c r="A2527" s="1">
        <v>43380.45309563658</v>
      </c>
      <c r="B2527" s="2">
        <v>718.0</v>
      </c>
      <c r="C2527" s="2" t="s">
        <v>105</v>
      </c>
      <c r="D2527" s="2" t="s">
        <v>5</v>
      </c>
    </row>
    <row r="2528">
      <c r="A2528" s="1">
        <v>43380.45597952546</v>
      </c>
      <c r="B2528" s="2">
        <v>636.0</v>
      </c>
      <c r="C2528" s="2" t="s">
        <v>204</v>
      </c>
    </row>
    <row r="2529">
      <c r="A2529" s="1">
        <v>43380.456079525466</v>
      </c>
      <c r="B2529" s="3" t="s">
        <v>113</v>
      </c>
      <c r="C2529" s="2" t="s">
        <v>114</v>
      </c>
    </row>
    <row r="2530">
      <c r="A2530" s="1">
        <v>43380.458069016204</v>
      </c>
      <c r="B2530" s="2">
        <v>729.0</v>
      </c>
      <c r="C2530" s="2" t="s">
        <v>54</v>
      </c>
      <c r="D2530" s="2" t="s">
        <v>5</v>
      </c>
    </row>
    <row r="2531">
      <c r="A2531" s="1">
        <v>43380.45809900463</v>
      </c>
      <c r="B2531" s="3" t="s">
        <v>113</v>
      </c>
      <c r="C2531" s="2" t="s">
        <v>114</v>
      </c>
    </row>
    <row r="2532">
      <c r="A2532" s="1">
        <v>43380.45833528935</v>
      </c>
      <c r="B2532" s="2">
        <v>707.0</v>
      </c>
      <c r="C2532" s="2" t="s">
        <v>57</v>
      </c>
      <c r="D2532" s="2" t="s">
        <v>5</v>
      </c>
    </row>
    <row r="2533">
      <c r="A2533" s="1">
        <v>43380.45839778935</v>
      </c>
      <c r="B2533" s="3" t="s">
        <v>113</v>
      </c>
      <c r="C2533" s="2" t="s">
        <v>114</v>
      </c>
    </row>
    <row r="2534">
      <c r="A2534" s="1">
        <v>43380.4586165162</v>
      </c>
      <c r="B2534" s="2">
        <v>141.0</v>
      </c>
      <c r="C2534" s="2" t="s">
        <v>53</v>
      </c>
    </row>
    <row r="2535">
      <c r="A2535" s="1">
        <v>43380.45868034722</v>
      </c>
      <c r="B2535" s="3" t="s">
        <v>113</v>
      </c>
      <c r="C2535" s="2" t="s">
        <v>114</v>
      </c>
    </row>
    <row r="2536">
      <c r="A2536" s="1">
        <v>43380.46011385416</v>
      </c>
      <c r="B2536" s="2">
        <v>708.0</v>
      </c>
      <c r="C2536" s="2" t="s">
        <v>4</v>
      </c>
      <c r="D2536" s="2" t="s">
        <v>5</v>
      </c>
    </row>
    <row r="2537">
      <c r="A2537" s="1">
        <v>43380.460143993056</v>
      </c>
      <c r="B2537" s="3" t="s">
        <v>113</v>
      </c>
      <c r="C2537" s="2" t="s">
        <v>114</v>
      </c>
    </row>
    <row r="2538">
      <c r="A2538" s="1">
        <v>43380.46018620371</v>
      </c>
      <c r="B2538" s="2">
        <v>709.0</v>
      </c>
      <c r="C2538" s="2" t="s">
        <v>20</v>
      </c>
      <c r="D2538" s="2" t="s">
        <v>5</v>
      </c>
    </row>
    <row r="2539">
      <c r="A2539" s="1">
        <v>43380.46021269676</v>
      </c>
      <c r="B2539" s="3" t="s">
        <v>113</v>
      </c>
      <c r="C2539" s="2" t="s">
        <v>114</v>
      </c>
    </row>
    <row r="2540">
      <c r="A2540" s="1">
        <v>43380.46025120371</v>
      </c>
      <c r="B2540" s="2">
        <v>710.0</v>
      </c>
      <c r="C2540" s="2" t="s">
        <v>21</v>
      </c>
      <c r="D2540" s="2" t="s">
        <v>5</v>
      </c>
    </row>
    <row r="2541">
      <c r="A2541" s="1">
        <v>43380.46028673611</v>
      </c>
      <c r="B2541" s="3" t="s">
        <v>113</v>
      </c>
      <c r="C2541" s="2" t="s">
        <v>114</v>
      </c>
    </row>
    <row r="2542">
      <c r="A2542" s="1">
        <v>43380.460388217594</v>
      </c>
      <c r="B2542" s="3" t="s">
        <v>9</v>
      </c>
      <c r="C2542" s="2" t="s">
        <v>10</v>
      </c>
    </row>
    <row r="2543">
      <c r="A2543" s="1">
        <v>43380.46047644676</v>
      </c>
      <c r="B2543" s="3" t="s">
        <v>113</v>
      </c>
      <c r="C2543" s="2" t="s">
        <v>114</v>
      </c>
    </row>
    <row r="2544">
      <c r="A2544" s="1">
        <v>43380.46769225695</v>
      </c>
      <c r="B2544" s="3" t="s">
        <v>117</v>
      </c>
      <c r="C2544" s="2" t="s">
        <v>118</v>
      </c>
    </row>
    <row r="2545">
      <c r="A2545" s="1">
        <v>43380.467722511574</v>
      </c>
      <c r="B2545" s="3" t="s">
        <v>113</v>
      </c>
      <c r="C2545" s="2" t="s">
        <v>114</v>
      </c>
    </row>
    <row r="2546">
      <c r="A2546" s="1">
        <v>43380.46796958333</v>
      </c>
      <c r="B2546" s="3" t="s">
        <v>119</v>
      </c>
      <c r="C2546" s="2" t="s">
        <v>120</v>
      </c>
    </row>
    <row r="2547">
      <c r="A2547" s="1">
        <v>43380.46803083333</v>
      </c>
      <c r="B2547" s="3" t="s">
        <v>113</v>
      </c>
      <c r="C2547" s="2" t="s">
        <v>114</v>
      </c>
    </row>
    <row r="2548">
      <c r="A2548" s="1">
        <v>43380.46854027778</v>
      </c>
      <c r="B2548" s="2">
        <v>714.0</v>
      </c>
      <c r="C2548" s="2" t="s">
        <v>122</v>
      </c>
      <c r="D2548" s="2" t="s">
        <v>5</v>
      </c>
    </row>
    <row r="2549">
      <c r="A2549" s="1">
        <v>43380.468569363424</v>
      </c>
      <c r="B2549" s="3" t="s">
        <v>113</v>
      </c>
      <c r="C2549" s="2" t="s">
        <v>114</v>
      </c>
    </row>
    <row r="2550">
      <c r="A2550" s="1">
        <v>43380.46866053241</v>
      </c>
      <c r="B2550" s="2">
        <v>714.0</v>
      </c>
      <c r="C2550" s="2" t="s">
        <v>122</v>
      </c>
      <c r="D2550" s="2" t="s">
        <v>5</v>
      </c>
    </row>
    <row r="2551">
      <c r="A2551" s="1">
        <v>43380.46873021991</v>
      </c>
      <c r="B2551" s="3" t="s">
        <v>113</v>
      </c>
      <c r="C2551" s="2" t="s">
        <v>114</v>
      </c>
    </row>
    <row r="2552">
      <c r="A2552" s="1">
        <v>43380.469508622686</v>
      </c>
      <c r="B2552" s="2">
        <v>713.0</v>
      </c>
      <c r="C2552" s="2" t="s">
        <v>121</v>
      </c>
      <c r="D2552" s="2" t="s">
        <v>5</v>
      </c>
    </row>
    <row r="2553">
      <c r="A2553" s="1">
        <v>43380.469545671294</v>
      </c>
      <c r="B2553" s="3" t="s">
        <v>113</v>
      </c>
      <c r="C2553" s="2" t="s">
        <v>114</v>
      </c>
    </row>
    <row r="2554">
      <c r="A2554" s="1">
        <v>43380.47014614583</v>
      </c>
      <c r="B2554" s="2">
        <v>672.0</v>
      </c>
      <c r="C2554" s="2" t="s">
        <v>6</v>
      </c>
    </row>
    <row r="2555">
      <c r="A2555" s="1">
        <v>43380.47028494213</v>
      </c>
      <c r="B2555" s="3" t="s">
        <v>113</v>
      </c>
      <c r="C2555" s="2" t="s">
        <v>114</v>
      </c>
    </row>
    <row r="2556">
      <c r="A2556" s="1">
        <v>43380.73844010416</v>
      </c>
      <c r="B2556" s="2">
        <v>661.0</v>
      </c>
      <c r="C2556" s="2" t="s">
        <v>153</v>
      </c>
    </row>
    <row r="2557">
      <c r="A2557" s="1">
        <v>43380.73844061342</v>
      </c>
      <c r="B2557" s="2">
        <v>661.0</v>
      </c>
      <c r="C2557" s="2" t="s">
        <v>153</v>
      </c>
    </row>
    <row r="2558">
      <c r="A2558" s="1">
        <v>43380.775470266206</v>
      </c>
      <c r="B2558" s="2">
        <v>661.0</v>
      </c>
      <c r="C2558" s="2" t="s">
        <v>153</v>
      </c>
    </row>
    <row r="2559">
      <c r="A2559" s="1">
        <v>43381.85503048611</v>
      </c>
      <c r="B2559" s="3" t="s">
        <v>94</v>
      </c>
      <c r="C2559" s="2" t="s">
        <v>95</v>
      </c>
    </row>
    <row r="2560">
      <c r="A2560" s="1">
        <v>43382.35941527778</v>
      </c>
      <c r="B2560" s="3" t="s">
        <v>94</v>
      </c>
      <c r="C2560" s="2" t="s">
        <v>95</v>
      </c>
    </row>
    <row r="2561">
      <c r="A2561" s="1">
        <v>43382.519755138885</v>
      </c>
      <c r="B2561" s="2">
        <v>661.0</v>
      </c>
      <c r="C2561" s="2" t="s">
        <v>153</v>
      </c>
    </row>
    <row r="2562">
      <c r="A2562" s="1">
        <v>43382.52223824074</v>
      </c>
      <c r="B2562" s="2">
        <v>661.0</v>
      </c>
      <c r="C2562" s="2" t="s">
        <v>153</v>
      </c>
    </row>
    <row r="2563">
      <c r="A2563" s="1">
        <v>43382.738477175924</v>
      </c>
      <c r="B2563" s="2">
        <v>267.0</v>
      </c>
      <c r="C2563" s="2" t="s">
        <v>115</v>
      </c>
    </row>
    <row r="2564">
      <c r="A2564" s="1">
        <v>43382.738479224536</v>
      </c>
      <c r="B2564" s="2">
        <v>267.0</v>
      </c>
      <c r="C2564" s="2" t="s">
        <v>115</v>
      </c>
    </row>
    <row r="2565">
      <c r="A2565" s="1">
        <v>43382.73848013888</v>
      </c>
      <c r="B2565" s="2">
        <v>267.0</v>
      </c>
      <c r="C2565" s="2" t="s">
        <v>115</v>
      </c>
    </row>
    <row r="2566">
      <c r="A2566" s="1">
        <v>43382.73848771991</v>
      </c>
      <c r="B2566" s="2">
        <v>267.0</v>
      </c>
      <c r="C2566" s="2" t="s">
        <v>115</v>
      </c>
    </row>
    <row r="2567">
      <c r="A2567" s="1">
        <v>43382.73855891204</v>
      </c>
      <c r="B2567" s="2">
        <v>267.0</v>
      </c>
      <c r="C2567" s="2" t="s">
        <v>115</v>
      </c>
    </row>
    <row r="2568">
      <c r="A2568" s="1">
        <v>43382.73866634259</v>
      </c>
      <c r="B2568" s="2">
        <v>268.0</v>
      </c>
      <c r="C2568" s="2" t="s">
        <v>205</v>
      </c>
    </row>
    <row r="2569">
      <c r="A2569" s="1">
        <v>43382.738673761574</v>
      </c>
      <c r="B2569" s="2">
        <v>268.0</v>
      </c>
      <c r="C2569" s="2" t="s">
        <v>205</v>
      </c>
    </row>
    <row r="2570">
      <c r="A2570" s="1">
        <v>43382.73870083333</v>
      </c>
      <c r="B2570" s="2">
        <v>268.0</v>
      </c>
      <c r="C2570" s="2" t="s">
        <v>205</v>
      </c>
    </row>
    <row r="2571">
      <c r="A2571" s="1">
        <v>43382.73873353009</v>
      </c>
      <c r="B2571" s="2">
        <v>268.0</v>
      </c>
      <c r="C2571" s="2" t="s">
        <v>205</v>
      </c>
    </row>
    <row r="2572">
      <c r="A2572" s="1">
        <v>43382.73884974537</v>
      </c>
      <c r="B2572" s="2">
        <v>270.0</v>
      </c>
      <c r="C2572" s="2" t="s">
        <v>153</v>
      </c>
    </row>
    <row r="2573">
      <c r="A2573" s="1">
        <v>43382.738894814815</v>
      </c>
      <c r="B2573" s="2">
        <v>270.0</v>
      </c>
      <c r="C2573" s="2" t="s">
        <v>153</v>
      </c>
    </row>
    <row r="2574">
      <c r="A2574" s="1">
        <v>43382.73889503472</v>
      </c>
      <c r="B2574" s="2">
        <v>270.0</v>
      </c>
      <c r="C2574" s="2" t="s">
        <v>153</v>
      </c>
    </row>
    <row r="2575">
      <c r="A2575" s="1">
        <v>43382.738913900466</v>
      </c>
      <c r="B2575" s="2">
        <v>270.0</v>
      </c>
      <c r="C2575" s="2" t="s">
        <v>153</v>
      </c>
    </row>
    <row r="2576">
      <c r="A2576" s="1">
        <v>43382.738963854164</v>
      </c>
      <c r="B2576" s="2">
        <v>270.0</v>
      </c>
      <c r="C2576" s="2" t="s">
        <v>153</v>
      </c>
    </row>
    <row r="2577">
      <c r="A2577" s="1">
        <v>43382.74019465278</v>
      </c>
      <c r="B2577" s="2">
        <v>267.0</v>
      </c>
      <c r="C2577" s="2" t="s">
        <v>115</v>
      </c>
    </row>
    <row r="2578">
      <c r="A2578" s="1">
        <v>43382.74026068287</v>
      </c>
      <c r="B2578" s="2">
        <v>267.0</v>
      </c>
      <c r="C2578" s="2" t="s">
        <v>115</v>
      </c>
    </row>
    <row r="2579">
      <c r="A2579" s="1">
        <v>43382.74058795139</v>
      </c>
      <c r="B2579" s="2">
        <v>268.0</v>
      </c>
      <c r="C2579" s="2" t="s">
        <v>205</v>
      </c>
    </row>
    <row r="2580">
      <c r="A2580" s="1">
        <v>43382.74070060185</v>
      </c>
      <c r="B2580" s="2">
        <v>270.0</v>
      </c>
      <c r="C2580" s="2" t="s">
        <v>153</v>
      </c>
    </row>
    <row r="2581">
      <c r="A2581" s="1">
        <v>43382.74165384259</v>
      </c>
      <c r="B2581" s="2">
        <v>270.0</v>
      </c>
      <c r="C2581" s="2" t="s">
        <v>153</v>
      </c>
    </row>
    <row r="2582">
      <c r="A2582" s="1">
        <v>43382.7416678125</v>
      </c>
      <c r="B2582" s="2">
        <v>270.0</v>
      </c>
      <c r="C2582" s="2" t="s">
        <v>153</v>
      </c>
    </row>
    <row r="2583">
      <c r="A2583" s="1">
        <v>43382.741748043976</v>
      </c>
      <c r="B2583" s="2">
        <v>267.0</v>
      </c>
      <c r="C2583" s="2" t="s">
        <v>115</v>
      </c>
    </row>
    <row r="2584">
      <c r="A2584" s="1">
        <v>43382.74192488426</v>
      </c>
      <c r="B2584" s="2">
        <v>268.0</v>
      </c>
      <c r="C2584" s="2" t="s">
        <v>205</v>
      </c>
    </row>
    <row r="2585">
      <c r="A2585" s="1">
        <v>43382.75318194444</v>
      </c>
      <c r="B2585" s="2">
        <v>267.0</v>
      </c>
      <c r="C2585" s="2" t="s">
        <v>115</v>
      </c>
    </row>
    <row r="2586">
      <c r="A2586" s="1">
        <v>43382.806635810186</v>
      </c>
      <c r="B2586" s="2">
        <v>268.0</v>
      </c>
      <c r="C2586" s="2" t="s">
        <v>205</v>
      </c>
    </row>
    <row r="2587">
      <c r="A2587" s="1">
        <v>43383.672103703706</v>
      </c>
      <c r="B2587" s="2">
        <v>267.0</v>
      </c>
      <c r="C2587" s="2" t="s">
        <v>115</v>
      </c>
    </row>
    <row r="2588">
      <c r="A2588" s="1">
        <v>43383.67453201389</v>
      </c>
      <c r="B2588" s="2">
        <v>270.0</v>
      </c>
      <c r="C2588" s="2" t="s">
        <v>153</v>
      </c>
    </row>
    <row r="2589">
      <c r="A2589" s="1">
        <v>43383.677630011574</v>
      </c>
      <c r="B2589" s="2">
        <v>267.0</v>
      </c>
      <c r="C2589" s="2" t="s">
        <v>115</v>
      </c>
    </row>
    <row r="2590">
      <c r="A2590" s="1">
        <v>43383.68552885417</v>
      </c>
      <c r="B2590" s="2">
        <v>270.0</v>
      </c>
      <c r="C2590" s="2" t="s">
        <v>153</v>
      </c>
    </row>
    <row r="2591">
      <c r="A2591" s="1">
        <v>43383.68563767361</v>
      </c>
      <c r="B2591" s="2">
        <v>270.0</v>
      </c>
      <c r="C2591" s="2" t="s">
        <v>153</v>
      </c>
    </row>
    <row r="2592">
      <c r="A2592" s="1">
        <v>43383.69286444444</v>
      </c>
      <c r="B2592" s="2">
        <v>268.0</v>
      </c>
      <c r="C2592" s="2" t="s">
        <v>205</v>
      </c>
    </row>
    <row r="2593">
      <c r="A2593" s="1">
        <v>43383.69290729167</v>
      </c>
      <c r="B2593" s="2">
        <v>270.0</v>
      </c>
      <c r="C2593" s="2" t="s">
        <v>153</v>
      </c>
    </row>
    <row r="2594">
      <c r="A2594" s="1">
        <v>43383.692977071754</v>
      </c>
      <c r="B2594" s="2">
        <v>267.0</v>
      </c>
      <c r="C2594" s="2" t="s">
        <v>115</v>
      </c>
    </row>
    <row r="2595">
      <c r="A2595" s="1">
        <v>43383.69595525463</v>
      </c>
      <c r="B2595" s="2">
        <v>268.0</v>
      </c>
      <c r="C2595" s="2" t="s">
        <v>205</v>
      </c>
    </row>
    <row r="2596">
      <c r="A2596" s="1">
        <v>43383.696805</v>
      </c>
      <c r="B2596" s="2">
        <v>268.0</v>
      </c>
      <c r="C2596" s="2" t="s">
        <v>205</v>
      </c>
    </row>
    <row r="2597">
      <c r="A2597" s="1">
        <v>43383.75206854167</v>
      </c>
      <c r="B2597" s="2">
        <v>714.0</v>
      </c>
      <c r="C2597" s="2" t="s">
        <v>122</v>
      </c>
      <c r="D2597" s="2" t="s">
        <v>5</v>
      </c>
    </row>
    <row r="2598">
      <c r="A2598" s="1">
        <v>43385.0605690625</v>
      </c>
      <c r="B2598" s="3" t="s">
        <v>11</v>
      </c>
      <c r="C2598" s="2" t="s">
        <v>12</v>
      </c>
    </row>
    <row r="2599">
      <c r="A2599" s="1">
        <v>43385.06349612269</v>
      </c>
      <c r="B2599" s="3" t="s">
        <v>82</v>
      </c>
      <c r="C2599" s="2" t="s">
        <v>83</v>
      </c>
    </row>
    <row r="2600">
      <c r="A2600" s="1">
        <v>43385.06492498843</v>
      </c>
      <c r="B2600" s="2">
        <v>208.0</v>
      </c>
      <c r="C2600" s="2" t="s">
        <v>182</v>
      </c>
    </row>
    <row r="2601">
      <c r="A2601" s="1">
        <v>43385.06568048611</v>
      </c>
      <c r="B2601" s="2">
        <v>253.0</v>
      </c>
      <c r="C2601" s="2" t="s">
        <v>138</v>
      </c>
    </row>
    <row r="2602">
      <c r="A2602" s="1">
        <v>43385.06640119213</v>
      </c>
      <c r="B2602" s="2">
        <v>257.0</v>
      </c>
      <c r="C2602" s="2" t="s">
        <v>27</v>
      </c>
    </row>
    <row r="2603">
      <c r="A2603" s="1">
        <v>43385.066790578705</v>
      </c>
      <c r="B2603" s="2">
        <v>603.0</v>
      </c>
      <c r="C2603" s="2" t="s">
        <v>40</v>
      </c>
    </row>
    <row r="2604">
      <c r="A2604" s="1">
        <v>43385.067373356476</v>
      </c>
      <c r="B2604" s="2">
        <v>611.0</v>
      </c>
      <c r="C2604" s="2" t="s">
        <v>143</v>
      </c>
    </row>
    <row r="2605">
      <c r="A2605" s="1">
        <v>43385.06890614583</v>
      </c>
      <c r="B2605" s="2">
        <v>667.0</v>
      </c>
      <c r="C2605" s="2" t="s">
        <v>73</v>
      </c>
    </row>
    <row r="2606">
      <c r="A2606" s="1">
        <v>43385.069298449074</v>
      </c>
      <c r="B2606" s="2">
        <v>705.0</v>
      </c>
      <c r="C2606" s="2" t="s">
        <v>168</v>
      </c>
      <c r="D2606" s="2" t="s">
        <v>5</v>
      </c>
    </row>
    <row r="2607">
      <c r="A2607" s="1">
        <v>43385.78818071759</v>
      </c>
      <c r="B2607" s="3" t="s">
        <v>184</v>
      </c>
      <c r="C2607" s="2" t="s">
        <v>185</v>
      </c>
    </row>
    <row r="2608">
      <c r="A2608" s="1">
        <v>43386.63240899306</v>
      </c>
      <c r="B2608" s="2">
        <v>267.0</v>
      </c>
      <c r="C2608" s="2" t="s">
        <v>115</v>
      </c>
    </row>
    <row r="2609">
      <c r="A2609" s="1">
        <v>43387.422665729166</v>
      </c>
      <c r="B2609" s="2">
        <v>207.0</v>
      </c>
      <c r="C2609" s="2" t="s">
        <v>85</v>
      </c>
    </row>
    <row r="2610">
      <c r="A2610" s="1">
        <v>43387.422935069444</v>
      </c>
      <c r="B2610" s="2">
        <v>707.0</v>
      </c>
      <c r="C2610" s="2" t="s">
        <v>57</v>
      </c>
      <c r="D2610" s="2" t="s">
        <v>5</v>
      </c>
    </row>
    <row r="2611">
      <c r="A2611" s="1">
        <v>43387.42314423611</v>
      </c>
      <c r="B2611" s="2">
        <v>141.0</v>
      </c>
      <c r="C2611" s="2" t="s">
        <v>53</v>
      </c>
    </row>
    <row r="2612">
      <c r="A2612" s="1">
        <v>43387.42338692129</v>
      </c>
      <c r="B2612" s="3" t="s">
        <v>159</v>
      </c>
      <c r="C2612" s="2" t="s">
        <v>160</v>
      </c>
    </row>
    <row r="2613">
      <c r="A2613" s="1">
        <v>43387.42341782407</v>
      </c>
      <c r="B2613" s="2">
        <v>729.0</v>
      </c>
      <c r="C2613" s="2" t="s">
        <v>54</v>
      </c>
      <c r="D2613" s="2" t="s">
        <v>5</v>
      </c>
    </row>
    <row r="2614">
      <c r="A2614" s="1">
        <v>43387.42356659722</v>
      </c>
      <c r="B2614" s="3" t="s">
        <v>159</v>
      </c>
      <c r="C2614" s="2" t="s">
        <v>160</v>
      </c>
    </row>
    <row r="2615">
      <c r="A2615" s="1">
        <v>43387.42361650463</v>
      </c>
      <c r="B2615" s="3" t="s">
        <v>113</v>
      </c>
      <c r="C2615" s="2" t="s">
        <v>114</v>
      </c>
    </row>
    <row r="2616">
      <c r="A2616" s="1">
        <v>43387.42377864583</v>
      </c>
      <c r="B2616" s="2">
        <v>158.0</v>
      </c>
      <c r="C2616" s="2" t="s">
        <v>62</v>
      </c>
    </row>
    <row r="2617">
      <c r="A2617" s="1">
        <v>43387.42383274305</v>
      </c>
      <c r="B2617" s="3" t="s">
        <v>113</v>
      </c>
      <c r="C2617" s="2" t="s">
        <v>114</v>
      </c>
    </row>
    <row r="2618">
      <c r="A2618" s="1">
        <v>43387.42387121527</v>
      </c>
      <c r="B2618" s="3" t="s">
        <v>55</v>
      </c>
      <c r="C2618" s="2" t="s">
        <v>56</v>
      </c>
    </row>
    <row r="2619">
      <c r="A2619" s="1">
        <v>43387.424380358796</v>
      </c>
      <c r="B2619" s="2">
        <v>244.0</v>
      </c>
      <c r="C2619" s="2" t="s">
        <v>38</v>
      </c>
    </row>
    <row r="2620">
      <c r="A2620" s="1">
        <v>43387.424607361114</v>
      </c>
      <c r="B2620" s="2">
        <v>244.0</v>
      </c>
      <c r="C2620" s="2" t="s">
        <v>38</v>
      </c>
    </row>
    <row r="2621">
      <c r="A2621" s="1">
        <v>43387.42465079861</v>
      </c>
      <c r="B2621" s="3" t="s">
        <v>113</v>
      </c>
      <c r="C2621" s="2" t="s">
        <v>114</v>
      </c>
    </row>
    <row r="2622">
      <c r="A2622" s="1">
        <v>43387.42495965278</v>
      </c>
      <c r="B2622" s="2">
        <v>244.0</v>
      </c>
      <c r="C2622" s="2" t="s">
        <v>38</v>
      </c>
    </row>
    <row r="2623">
      <c r="A2623" s="1">
        <v>43387.4250268287</v>
      </c>
      <c r="B2623" s="3" t="s">
        <v>113</v>
      </c>
      <c r="C2623" s="2" t="s">
        <v>114</v>
      </c>
    </row>
    <row r="2624">
      <c r="A2624" s="1">
        <v>43387.425203506944</v>
      </c>
      <c r="B2624" s="3" t="s">
        <v>44</v>
      </c>
      <c r="C2624" s="2" t="s">
        <v>45</v>
      </c>
    </row>
    <row r="2625">
      <c r="A2625" s="1">
        <v>43387.425596307876</v>
      </c>
      <c r="B2625" s="3" t="s">
        <v>42</v>
      </c>
      <c r="C2625" s="2" t="s">
        <v>43</v>
      </c>
    </row>
    <row r="2626">
      <c r="A2626" s="1">
        <v>43387.426196064815</v>
      </c>
      <c r="B2626" s="3" t="s">
        <v>22</v>
      </c>
      <c r="C2626" s="2" t="s">
        <v>23</v>
      </c>
    </row>
    <row r="2627">
      <c r="A2627" s="1">
        <v>43387.426245462964</v>
      </c>
      <c r="B2627" s="2">
        <v>627.0</v>
      </c>
      <c r="C2627" s="2" t="s">
        <v>134</v>
      </c>
    </row>
    <row r="2628">
      <c r="A2628" s="1">
        <v>43387.42624976852</v>
      </c>
      <c r="B2628" s="3" t="s">
        <v>113</v>
      </c>
      <c r="C2628" s="2" t="s">
        <v>114</v>
      </c>
    </row>
    <row r="2629">
      <c r="A2629" s="1">
        <v>43387.426284444446</v>
      </c>
      <c r="B2629" s="2">
        <v>627.0</v>
      </c>
      <c r="C2629" s="2" t="s">
        <v>134</v>
      </c>
    </row>
    <row r="2630">
      <c r="A2630" s="1">
        <v>43387.426348611116</v>
      </c>
      <c r="B2630" s="2">
        <v>627.0</v>
      </c>
      <c r="C2630" s="2" t="s">
        <v>134</v>
      </c>
    </row>
    <row r="2631">
      <c r="A2631" s="1">
        <v>43387.426378171294</v>
      </c>
      <c r="B2631" s="2">
        <v>167.0</v>
      </c>
      <c r="C2631" s="2" t="s">
        <v>39</v>
      </c>
    </row>
    <row r="2632">
      <c r="A2632" s="1">
        <v>43387.42648751158</v>
      </c>
      <c r="B2632" s="2">
        <v>113.0</v>
      </c>
      <c r="C2632" s="2" t="s">
        <v>29</v>
      </c>
    </row>
    <row r="2633">
      <c r="A2633" s="1">
        <v>43387.42667721065</v>
      </c>
      <c r="B2633" s="2">
        <v>167.0</v>
      </c>
      <c r="C2633" s="2" t="s">
        <v>39</v>
      </c>
    </row>
    <row r="2634">
      <c r="A2634" s="1">
        <v>43387.42668478009</v>
      </c>
      <c r="B2634" s="3" t="s">
        <v>113</v>
      </c>
      <c r="C2634" s="2" t="s">
        <v>114</v>
      </c>
    </row>
    <row r="2635">
      <c r="A2635" s="1">
        <v>43387.427048020836</v>
      </c>
      <c r="B2635" s="2">
        <v>167.0</v>
      </c>
      <c r="C2635" s="2" t="s">
        <v>39</v>
      </c>
    </row>
    <row r="2636">
      <c r="A2636" s="1">
        <v>43387.427105243056</v>
      </c>
      <c r="B2636" s="3" t="s">
        <v>113</v>
      </c>
      <c r="C2636" s="2" t="s">
        <v>114</v>
      </c>
    </row>
    <row r="2637">
      <c r="A2637" s="1">
        <v>43387.42722695602</v>
      </c>
      <c r="B2637" s="2">
        <v>167.0</v>
      </c>
      <c r="C2637" s="2" t="s">
        <v>39</v>
      </c>
    </row>
    <row r="2638">
      <c r="A2638" s="1">
        <v>43387.42734071759</v>
      </c>
      <c r="B2638" s="2">
        <v>165.0</v>
      </c>
      <c r="C2638" s="2" t="s">
        <v>50</v>
      </c>
    </row>
    <row r="2639">
      <c r="A2639" s="1">
        <v>43387.427341215276</v>
      </c>
      <c r="B2639" s="3" t="s">
        <v>113</v>
      </c>
      <c r="C2639" s="2" t="s">
        <v>114</v>
      </c>
    </row>
    <row r="2640">
      <c r="A2640" s="1">
        <v>43387.42759368056</v>
      </c>
      <c r="B2640" s="2">
        <v>604.0</v>
      </c>
      <c r="C2640" s="2" t="s">
        <v>36</v>
      </c>
    </row>
    <row r="2641">
      <c r="A2641" s="1">
        <v>43387.427640740745</v>
      </c>
      <c r="B2641" s="3" t="s">
        <v>113</v>
      </c>
      <c r="C2641" s="2" t="s">
        <v>114</v>
      </c>
    </row>
    <row r="2642">
      <c r="A2642" s="1">
        <v>43387.42781219908</v>
      </c>
      <c r="B2642" s="2">
        <v>602.0</v>
      </c>
      <c r="C2642" s="2" t="s">
        <v>131</v>
      </c>
    </row>
    <row r="2643">
      <c r="A2643" s="1">
        <v>43387.427853553236</v>
      </c>
      <c r="B2643" s="3" t="s">
        <v>113</v>
      </c>
      <c r="C2643" s="2" t="s">
        <v>114</v>
      </c>
    </row>
    <row r="2644">
      <c r="A2644" s="1">
        <v>43387.42798847222</v>
      </c>
      <c r="B2644" s="2">
        <v>605.0</v>
      </c>
      <c r="C2644" s="2" t="s">
        <v>206</v>
      </c>
    </row>
    <row r="2645">
      <c r="A2645" s="1">
        <v>43387.428420474535</v>
      </c>
      <c r="B2645" s="2">
        <v>655.0</v>
      </c>
      <c r="C2645" s="2" t="s">
        <v>17</v>
      </c>
    </row>
    <row r="2646">
      <c r="A2646" s="1">
        <v>43387.42857204861</v>
      </c>
      <c r="B2646" s="3" t="s">
        <v>113</v>
      </c>
      <c r="C2646" s="2" t="s">
        <v>114</v>
      </c>
    </row>
    <row r="2647">
      <c r="A2647" s="1">
        <v>43387.428773541666</v>
      </c>
      <c r="B2647" s="2">
        <v>735.0</v>
      </c>
      <c r="C2647" s="2" t="s">
        <v>37</v>
      </c>
      <c r="D2647" s="2" t="s">
        <v>5</v>
      </c>
    </row>
    <row r="2648">
      <c r="A2648" s="1">
        <v>43387.42886748843</v>
      </c>
      <c r="B2648" s="3" t="s">
        <v>113</v>
      </c>
      <c r="C2648" s="2" t="s">
        <v>114</v>
      </c>
    </row>
    <row r="2649">
      <c r="A2649" s="1">
        <v>43387.429285266204</v>
      </c>
      <c r="B2649" s="2">
        <v>189.0</v>
      </c>
      <c r="C2649" s="2" t="s">
        <v>128</v>
      </c>
    </row>
    <row r="2650">
      <c r="A2650" s="1">
        <v>43387.42972134259</v>
      </c>
      <c r="B2650" s="3" t="s">
        <v>113</v>
      </c>
      <c r="C2650" s="2" t="s">
        <v>114</v>
      </c>
    </row>
    <row r="2651">
      <c r="A2651" s="1">
        <v>43387.430252129634</v>
      </c>
      <c r="B2651" s="2">
        <v>201.0</v>
      </c>
      <c r="C2651" s="2" t="s">
        <v>70</v>
      </c>
    </row>
    <row r="2652">
      <c r="A2652" s="1">
        <v>43387.43032180556</v>
      </c>
      <c r="B2652" s="3" t="s">
        <v>113</v>
      </c>
      <c r="C2652" s="2" t="s">
        <v>114</v>
      </c>
    </row>
    <row r="2653">
      <c r="A2653" s="1">
        <v>43387.43085880787</v>
      </c>
      <c r="B2653" s="2">
        <v>193.0</v>
      </c>
      <c r="C2653" s="2" t="s">
        <v>30</v>
      </c>
    </row>
    <row r="2654">
      <c r="A2654" s="1">
        <v>43387.43093700231</v>
      </c>
      <c r="B2654" s="3" t="s">
        <v>113</v>
      </c>
      <c r="C2654" s="2" t="s">
        <v>114</v>
      </c>
    </row>
    <row r="2655">
      <c r="A2655" s="1">
        <v>43387.43115488426</v>
      </c>
      <c r="B2655" s="2">
        <v>173.0</v>
      </c>
      <c r="C2655" s="2" t="s">
        <v>24</v>
      </c>
    </row>
    <row r="2656">
      <c r="A2656" s="1">
        <v>43387.43130370371</v>
      </c>
      <c r="B2656" s="2">
        <v>201.0</v>
      </c>
      <c r="C2656" s="2" t="s">
        <v>70</v>
      </c>
    </row>
    <row r="2657">
      <c r="A2657" s="1">
        <v>43387.43138547454</v>
      </c>
      <c r="B2657" s="3" t="s">
        <v>113</v>
      </c>
      <c r="C2657" s="2" t="s">
        <v>114</v>
      </c>
    </row>
    <row r="2658">
      <c r="A2658" s="1">
        <v>43387.431885451384</v>
      </c>
      <c r="B2658" s="3" t="s">
        <v>32</v>
      </c>
      <c r="C2658" s="2" t="s">
        <v>33</v>
      </c>
    </row>
    <row r="2659">
      <c r="A2659" s="1">
        <v>43387.43197337963</v>
      </c>
      <c r="B2659" s="2">
        <v>219.0</v>
      </c>
      <c r="C2659" s="2" t="s">
        <v>31</v>
      </c>
    </row>
    <row r="2660">
      <c r="A2660" s="1">
        <v>43387.43198663194</v>
      </c>
      <c r="B2660" s="3" t="s">
        <v>113</v>
      </c>
      <c r="C2660" s="2" t="s">
        <v>114</v>
      </c>
    </row>
    <row r="2661">
      <c r="A2661" s="1">
        <v>43387.43207414352</v>
      </c>
      <c r="B2661" s="3" t="s">
        <v>51</v>
      </c>
      <c r="C2661" s="2" t="s">
        <v>52</v>
      </c>
    </row>
    <row r="2662">
      <c r="A2662" s="1">
        <v>43387.4321815625</v>
      </c>
      <c r="B2662" s="3" t="s">
        <v>113</v>
      </c>
      <c r="C2662" s="2" t="s">
        <v>114</v>
      </c>
    </row>
    <row r="2663">
      <c r="A2663" s="1">
        <v>43387.43224472222</v>
      </c>
      <c r="B2663" s="3" t="s">
        <v>78</v>
      </c>
      <c r="C2663" s="2" t="s">
        <v>79</v>
      </c>
    </row>
    <row r="2664">
      <c r="A2664" s="1">
        <v>43387.432286435185</v>
      </c>
      <c r="B2664" s="3" t="s">
        <v>113</v>
      </c>
      <c r="C2664" s="2" t="s">
        <v>114</v>
      </c>
    </row>
    <row r="2665">
      <c r="A2665" s="1">
        <v>43387.432381307866</v>
      </c>
      <c r="B2665" s="3" t="s">
        <v>82</v>
      </c>
      <c r="C2665" s="2" t="s">
        <v>83</v>
      </c>
    </row>
    <row r="2666">
      <c r="A2666" s="1">
        <v>43387.43241981481</v>
      </c>
      <c r="B2666" s="3" t="s">
        <v>113</v>
      </c>
      <c r="C2666" s="2" t="s">
        <v>114</v>
      </c>
    </row>
    <row r="2667">
      <c r="A2667" s="1">
        <v>43387.4325637963</v>
      </c>
      <c r="B2667" s="2">
        <v>723.0</v>
      </c>
      <c r="C2667" s="2" t="s">
        <v>84</v>
      </c>
      <c r="D2667" s="2" t="s">
        <v>5</v>
      </c>
    </row>
    <row r="2668">
      <c r="A2668" s="1">
        <v>43387.4326158912</v>
      </c>
      <c r="B2668" s="3" t="s">
        <v>113</v>
      </c>
      <c r="C2668" s="2" t="s">
        <v>114</v>
      </c>
    </row>
    <row r="2669">
      <c r="A2669" s="1">
        <v>43387.4339658449</v>
      </c>
      <c r="B2669" s="3" t="s">
        <v>126</v>
      </c>
      <c r="C2669" s="2" t="s">
        <v>127</v>
      </c>
    </row>
    <row r="2670">
      <c r="A2670" s="1">
        <v>43387.43409952546</v>
      </c>
      <c r="B2670" s="3" t="s">
        <v>113</v>
      </c>
      <c r="C2670" s="2" t="s">
        <v>114</v>
      </c>
    </row>
    <row r="2671">
      <c r="A2671" s="1">
        <v>43387.43433751157</v>
      </c>
      <c r="B2671" s="3" t="s">
        <v>11</v>
      </c>
      <c r="C2671" s="2" t="s">
        <v>12</v>
      </c>
    </row>
    <row r="2672">
      <c r="A2672" s="1">
        <v>43387.43440039352</v>
      </c>
      <c r="B2672" s="3" t="s">
        <v>113</v>
      </c>
      <c r="C2672" s="2" t="s">
        <v>114</v>
      </c>
    </row>
    <row r="2673">
      <c r="A2673" s="1">
        <v>43387.43516741898</v>
      </c>
      <c r="B2673" s="3" t="s">
        <v>11</v>
      </c>
      <c r="C2673" s="2" t="s">
        <v>12</v>
      </c>
    </row>
    <row r="2674">
      <c r="A2674" s="1">
        <v>43387.435232187505</v>
      </c>
      <c r="B2674" s="3" t="s">
        <v>113</v>
      </c>
      <c r="C2674" s="2" t="s">
        <v>114</v>
      </c>
    </row>
    <row r="2675">
      <c r="A2675" s="1">
        <v>43387.43543762731</v>
      </c>
      <c r="B2675" s="3" t="s">
        <v>111</v>
      </c>
      <c r="C2675" s="2" t="s">
        <v>112</v>
      </c>
    </row>
    <row r="2676">
      <c r="A2676" s="1">
        <v>43387.435611574074</v>
      </c>
      <c r="B2676" s="3" t="s">
        <v>98</v>
      </c>
      <c r="C2676" s="2" t="s">
        <v>99</v>
      </c>
    </row>
    <row r="2677">
      <c r="A2677" s="1">
        <v>43387.43569892361</v>
      </c>
      <c r="B2677" s="3" t="s">
        <v>113</v>
      </c>
      <c r="C2677" s="2" t="s">
        <v>114</v>
      </c>
    </row>
    <row r="2678">
      <c r="A2678" s="1">
        <v>43387.43570809028</v>
      </c>
      <c r="B2678" s="2">
        <v>667.0</v>
      </c>
      <c r="C2678" s="2" t="s">
        <v>73</v>
      </c>
    </row>
    <row r="2679">
      <c r="A2679" s="1">
        <v>43387.43584648149</v>
      </c>
      <c r="B2679" s="2">
        <v>706.0</v>
      </c>
      <c r="C2679" s="2" t="s">
        <v>149</v>
      </c>
      <c r="D2679" s="2" t="s">
        <v>5</v>
      </c>
    </row>
    <row r="2680">
      <c r="A2680" s="1">
        <v>43387.435855625</v>
      </c>
      <c r="B2680" s="2">
        <v>147.0</v>
      </c>
      <c r="C2680" s="2" t="s">
        <v>100</v>
      </c>
    </row>
    <row r="2681">
      <c r="A2681" s="1">
        <v>43387.435959594906</v>
      </c>
      <c r="B2681" s="3" t="s">
        <v>150</v>
      </c>
      <c r="C2681" s="2" t="s">
        <v>151</v>
      </c>
    </row>
    <row r="2682">
      <c r="A2682" s="1">
        <v>43387.43603762731</v>
      </c>
      <c r="B2682" s="2">
        <v>229.0</v>
      </c>
      <c r="C2682" s="2" t="s">
        <v>86</v>
      </c>
    </row>
    <row r="2683">
      <c r="A2683" s="1">
        <v>43387.43606853009</v>
      </c>
      <c r="B2683" s="3" t="s">
        <v>113</v>
      </c>
      <c r="C2683" s="2" t="s">
        <v>114</v>
      </c>
    </row>
    <row r="2684">
      <c r="A2684" s="1">
        <v>43387.43615541667</v>
      </c>
      <c r="B2684" s="2">
        <v>231.0</v>
      </c>
      <c r="C2684" s="2" t="s">
        <v>61</v>
      </c>
    </row>
    <row r="2685">
      <c r="A2685" s="1">
        <v>43387.436174745366</v>
      </c>
      <c r="B2685" s="3" t="s">
        <v>74</v>
      </c>
      <c r="C2685" s="2" t="s">
        <v>75</v>
      </c>
    </row>
    <row r="2686">
      <c r="A2686" s="1">
        <v>43387.43619416667</v>
      </c>
      <c r="B2686" s="3" t="s">
        <v>113</v>
      </c>
      <c r="C2686" s="2" t="s">
        <v>114</v>
      </c>
    </row>
    <row r="2687">
      <c r="A2687" s="1">
        <v>43387.43630922453</v>
      </c>
      <c r="B2687" s="2">
        <v>238.0</v>
      </c>
      <c r="C2687" s="2" t="s">
        <v>35</v>
      </c>
    </row>
    <row r="2688">
      <c r="A2688" s="1">
        <v>43387.436350902775</v>
      </c>
      <c r="B2688" s="3" t="s">
        <v>113</v>
      </c>
      <c r="C2688" s="2" t="s">
        <v>114</v>
      </c>
    </row>
    <row r="2689">
      <c r="A2689" s="1">
        <v>43387.436438206016</v>
      </c>
      <c r="B2689" s="3" t="s">
        <v>150</v>
      </c>
      <c r="C2689" s="2" t="s">
        <v>151</v>
      </c>
    </row>
    <row r="2690">
      <c r="A2690" s="1">
        <v>43387.43650759259</v>
      </c>
      <c r="B2690" s="2">
        <v>137.0</v>
      </c>
      <c r="C2690" s="2" t="s">
        <v>72</v>
      </c>
    </row>
    <row r="2691">
      <c r="A2691" s="1">
        <v>43387.43651905093</v>
      </c>
      <c r="B2691" s="2">
        <v>706.0</v>
      </c>
      <c r="C2691" s="2" t="s">
        <v>149</v>
      </c>
      <c r="D2691" s="2" t="s">
        <v>5</v>
      </c>
    </row>
    <row r="2692">
      <c r="A2692" s="1">
        <v>43387.43656269676</v>
      </c>
      <c r="B2692" s="3" t="s">
        <v>113</v>
      </c>
      <c r="C2692" s="2" t="s">
        <v>114</v>
      </c>
    </row>
    <row r="2693">
      <c r="A2693" s="1">
        <v>43387.436585393516</v>
      </c>
      <c r="B2693" s="2">
        <v>667.0</v>
      </c>
      <c r="C2693" s="2" t="s">
        <v>73</v>
      </c>
    </row>
    <row r="2694">
      <c r="A2694" s="1">
        <v>43387.436755312505</v>
      </c>
      <c r="B2694" s="2">
        <v>172.0</v>
      </c>
      <c r="C2694" s="2" t="s">
        <v>65</v>
      </c>
    </row>
    <row r="2695">
      <c r="A2695" s="1">
        <v>43387.43684277778</v>
      </c>
      <c r="B2695" s="3" t="s">
        <v>113</v>
      </c>
      <c r="C2695" s="2" t="s">
        <v>114</v>
      </c>
    </row>
    <row r="2696">
      <c r="A2696" s="1">
        <v>43387.43685114583</v>
      </c>
      <c r="B2696" s="2">
        <v>262.0</v>
      </c>
      <c r="C2696" s="2" t="s">
        <v>28</v>
      </c>
    </row>
    <row r="2697">
      <c r="A2697" s="1">
        <v>43387.43718184027</v>
      </c>
      <c r="B2697" s="2">
        <v>607.0</v>
      </c>
      <c r="C2697" s="2" t="s">
        <v>68</v>
      </c>
    </row>
    <row r="2698">
      <c r="A2698" s="1">
        <v>43387.437245740744</v>
      </c>
      <c r="B2698" s="3" t="s">
        <v>113</v>
      </c>
      <c r="C2698" s="2" t="s">
        <v>114</v>
      </c>
    </row>
    <row r="2699">
      <c r="A2699" s="1">
        <v>43387.43763594907</v>
      </c>
      <c r="B2699" s="2">
        <v>732.0</v>
      </c>
      <c r="C2699" s="2" t="s">
        <v>102</v>
      </c>
      <c r="D2699" s="2" t="s">
        <v>5</v>
      </c>
    </row>
    <row r="2700">
      <c r="A2700" s="1">
        <v>43387.43795872685</v>
      </c>
      <c r="B2700" s="2">
        <v>726.0</v>
      </c>
      <c r="C2700" s="2" t="s">
        <v>101</v>
      </c>
      <c r="D2700" s="2" t="s">
        <v>5</v>
      </c>
    </row>
    <row r="2701">
      <c r="A2701" s="1">
        <v>43387.43798990741</v>
      </c>
      <c r="B2701" s="3" t="s">
        <v>113</v>
      </c>
      <c r="C2701" s="2" t="s">
        <v>114</v>
      </c>
    </row>
    <row r="2702">
      <c r="A2702" s="1">
        <v>43387.43812878472</v>
      </c>
      <c r="B2702" s="2">
        <v>716.0</v>
      </c>
      <c r="C2702" s="2" t="s">
        <v>123</v>
      </c>
      <c r="D2702" s="2" t="s">
        <v>5</v>
      </c>
    </row>
    <row r="2703">
      <c r="A2703" s="1">
        <v>43387.43821445602</v>
      </c>
      <c r="B2703" s="3" t="s">
        <v>113</v>
      </c>
      <c r="C2703" s="2" t="s">
        <v>114</v>
      </c>
    </row>
    <row r="2704">
      <c r="A2704" s="1">
        <v>43387.43832327546</v>
      </c>
      <c r="B2704" s="3" t="s">
        <v>88</v>
      </c>
      <c r="C2704" s="2" t="s">
        <v>89</v>
      </c>
    </row>
    <row r="2705">
      <c r="A2705" s="1">
        <v>43387.4384233912</v>
      </c>
      <c r="B2705" s="3" t="s">
        <v>113</v>
      </c>
      <c r="C2705" s="2" t="s">
        <v>114</v>
      </c>
    </row>
    <row r="2706">
      <c r="A2706" s="1">
        <v>43387.438444722226</v>
      </c>
      <c r="B2706" s="2">
        <v>270.0</v>
      </c>
      <c r="C2706" s="2" t="s">
        <v>153</v>
      </c>
    </row>
    <row r="2707">
      <c r="A2707" s="1">
        <v>43387.438509803236</v>
      </c>
      <c r="B2707" s="2">
        <v>267.0</v>
      </c>
      <c r="C2707" s="2" t="s">
        <v>115</v>
      </c>
    </row>
    <row r="2708">
      <c r="A2708" s="1">
        <v>43387.43853622685</v>
      </c>
      <c r="B2708" s="3" t="s">
        <v>113</v>
      </c>
      <c r="C2708" s="2" t="s">
        <v>114</v>
      </c>
    </row>
    <row r="2709">
      <c r="A2709" s="1">
        <v>43387.43861201389</v>
      </c>
      <c r="B2709" s="3" t="s">
        <v>80</v>
      </c>
      <c r="C2709" s="2" t="s">
        <v>81</v>
      </c>
    </row>
    <row r="2710">
      <c r="A2710" s="1">
        <v>43387.43868060185</v>
      </c>
      <c r="B2710" s="3" t="s">
        <v>113</v>
      </c>
      <c r="C2710" s="2" t="s">
        <v>114</v>
      </c>
    </row>
    <row r="2711">
      <c r="A2711" s="1">
        <v>43387.438714178235</v>
      </c>
      <c r="B2711" s="2">
        <v>717.0</v>
      </c>
      <c r="C2711" s="2" t="s">
        <v>152</v>
      </c>
      <c r="D2711" s="2" t="s">
        <v>5</v>
      </c>
    </row>
    <row r="2712">
      <c r="A2712" s="1">
        <v>43387.44124049769</v>
      </c>
      <c r="B2712" s="2">
        <v>632.0</v>
      </c>
      <c r="C2712" s="2" t="s">
        <v>146</v>
      </c>
    </row>
    <row r="2713">
      <c r="A2713" s="1">
        <v>43387.44144239584</v>
      </c>
      <c r="B2713" s="3" t="s">
        <v>113</v>
      </c>
      <c r="C2713" s="2" t="s">
        <v>114</v>
      </c>
    </row>
    <row r="2714">
      <c r="A2714" s="1">
        <v>43387.44372376158</v>
      </c>
      <c r="B2714" s="2">
        <v>124.0</v>
      </c>
      <c r="C2714" s="2" t="s">
        <v>107</v>
      </c>
    </row>
    <row r="2715">
      <c r="A2715" s="1">
        <v>43387.44382920139</v>
      </c>
      <c r="B2715" s="3" t="s">
        <v>113</v>
      </c>
      <c r="C2715" s="2" t="s">
        <v>114</v>
      </c>
    </row>
    <row r="2716">
      <c r="A2716" s="1">
        <v>43387.44504145833</v>
      </c>
      <c r="B2716" s="2">
        <v>718.0</v>
      </c>
      <c r="C2716" s="2" t="s">
        <v>105</v>
      </c>
      <c r="D2716" s="2" t="s">
        <v>5</v>
      </c>
    </row>
    <row r="2717">
      <c r="A2717" s="1">
        <v>43387.44508065972</v>
      </c>
      <c r="B2717" s="3" t="s">
        <v>113</v>
      </c>
      <c r="C2717" s="2" t="s">
        <v>114</v>
      </c>
    </row>
    <row r="2718">
      <c r="A2718" s="1">
        <v>43387.44511884259</v>
      </c>
      <c r="B2718" s="2">
        <v>719.0</v>
      </c>
      <c r="C2718" s="2" t="s">
        <v>106</v>
      </c>
      <c r="D2718" s="2" t="s">
        <v>5</v>
      </c>
    </row>
    <row r="2719">
      <c r="A2719" s="1">
        <v>43387.44541672454</v>
      </c>
      <c r="B2719" s="2">
        <v>733.0</v>
      </c>
      <c r="C2719" s="2" t="s">
        <v>110</v>
      </c>
      <c r="D2719" s="2" t="s">
        <v>5</v>
      </c>
    </row>
    <row r="2720">
      <c r="A2720" s="1">
        <v>43387.44567516204</v>
      </c>
      <c r="B2720" s="2">
        <v>663.0</v>
      </c>
      <c r="C2720" s="2" t="s">
        <v>109</v>
      </c>
    </row>
    <row r="2721">
      <c r="A2721" s="1">
        <v>43387.445899293976</v>
      </c>
      <c r="B2721" s="2">
        <v>126.0</v>
      </c>
      <c r="C2721" s="2" t="s">
        <v>87</v>
      </c>
    </row>
    <row r="2722">
      <c r="A2722" s="1">
        <v>43387.446083622686</v>
      </c>
      <c r="B2722" s="2">
        <v>198.0</v>
      </c>
      <c r="C2722" s="2" t="s">
        <v>97</v>
      </c>
    </row>
    <row r="2723">
      <c r="A2723" s="1">
        <v>43387.446171261574</v>
      </c>
      <c r="B2723" s="3" t="s">
        <v>113</v>
      </c>
      <c r="C2723" s="2" t="s">
        <v>114</v>
      </c>
    </row>
    <row r="2724">
      <c r="A2724" s="1">
        <v>43387.44643377315</v>
      </c>
      <c r="B2724" s="2">
        <v>52.0</v>
      </c>
      <c r="C2724" s="2" t="s">
        <v>41</v>
      </c>
    </row>
    <row r="2725">
      <c r="A2725" s="1">
        <v>43387.446850567125</v>
      </c>
      <c r="B2725" s="2">
        <v>52.0</v>
      </c>
      <c r="C2725" s="2" t="s">
        <v>41</v>
      </c>
    </row>
    <row r="2726">
      <c r="A2726" s="1">
        <v>43387.447090393514</v>
      </c>
      <c r="B2726" s="2">
        <v>254.0</v>
      </c>
      <c r="C2726" s="2" t="s">
        <v>132</v>
      </c>
    </row>
    <row r="2727">
      <c r="A2727" s="1">
        <v>43387.447427708335</v>
      </c>
      <c r="B2727" s="3" t="s">
        <v>94</v>
      </c>
      <c r="C2727" s="2" t="s">
        <v>95</v>
      </c>
    </row>
    <row r="2728">
      <c r="A2728" s="1">
        <v>43387.44801199074</v>
      </c>
      <c r="B2728" s="3" t="s">
        <v>94</v>
      </c>
      <c r="C2728" s="2" t="s">
        <v>95</v>
      </c>
    </row>
    <row r="2729">
      <c r="A2729" s="1">
        <v>43387.44810616898</v>
      </c>
      <c r="B2729" s="3" t="s">
        <v>113</v>
      </c>
      <c r="C2729" s="2" t="s">
        <v>114</v>
      </c>
    </row>
    <row r="2730">
      <c r="A2730" s="1">
        <v>43387.44827291666</v>
      </c>
      <c r="B2730" s="2">
        <v>702.0</v>
      </c>
      <c r="C2730" s="2" t="s">
        <v>96</v>
      </c>
      <c r="D2730" s="2" t="s">
        <v>5</v>
      </c>
    </row>
    <row r="2731">
      <c r="A2731" s="1">
        <v>43387.44833033565</v>
      </c>
      <c r="B2731" s="3" t="s">
        <v>113</v>
      </c>
      <c r="C2731" s="2" t="s">
        <v>114</v>
      </c>
    </row>
    <row r="2732">
      <c r="A2732" s="1">
        <v>43387.44910892361</v>
      </c>
      <c r="B2732" s="2">
        <v>244.0</v>
      </c>
      <c r="C2732" s="2" t="s">
        <v>38</v>
      </c>
    </row>
    <row r="2733">
      <c r="A2733" s="1">
        <v>43387.4492109375</v>
      </c>
      <c r="B2733" s="3" t="s">
        <v>113</v>
      </c>
      <c r="C2733" s="2" t="s">
        <v>114</v>
      </c>
    </row>
    <row r="2734">
      <c r="A2734" s="1">
        <v>43387.44930902778</v>
      </c>
      <c r="B2734" s="2">
        <v>611.0</v>
      </c>
      <c r="C2734" s="2" t="s">
        <v>143</v>
      </c>
    </row>
    <row r="2735">
      <c r="A2735" s="1">
        <v>43387.45020769676</v>
      </c>
      <c r="B2735" s="2">
        <v>101.0</v>
      </c>
      <c r="C2735" s="2" t="s">
        <v>108</v>
      </c>
    </row>
    <row r="2736">
      <c r="A2736" s="1">
        <v>43387.4502515162</v>
      </c>
      <c r="B2736" s="3" t="s">
        <v>113</v>
      </c>
      <c r="C2736" s="2" t="s">
        <v>114</v>
      </c>
    </row>
    <row r="2737">
      <c r="A2737" s="1">
        <v>43387.45032445602</v>
      </c>
      <c r="B2737" s="3" t="s">
        <v>113</v>
      </c>
      <c r="C2737" s="2" t="s">
        <v>114</v>
      </c>
    </row>
    <row r="2738">
      <c r="A2738" s="1">
        <v>43387.450369502316</v>
      </c>
      <c r="B2738" s="3" t="s">
        <v>113</v>
      </c>
      <c r="C2738" s="2" t="s">
        <v>114</v>
      </c>
    </row>
    <row r="2739">
      <c r="A2739" s="1">
        <v>43387.45055792824</v>
      </c>
      <c r="B2739" s="2">
        <v>643.0</v>
      </c>
      <c r="C2739" s="2" t="s">
        <v>166</v>
      </c>
    </row>
    <row r="2740">
      <c r="A2740" s="1">
        <v>43387.45082921296</v>
      </c>
      <c r="B2740" s="2">
        <v>718.0</v>
      </c>
      <c r="C2740" s="2" t="s">
        <v>105</v>
      </c>
      <c r="D2740" s="2" t="s">
        <v>5</v>
      </c>
    </row>
    <row r="2741">
      <c r="A2741" s="1">
        <v>43387.45087635417</v>
      </c>
      <c r="B2741" s="3" t="s">
        <v>113</v>
      </c>
      <c r="C2741" s="2" t="s">
        <v>114</v>
      </c>
    </row>
    <row r="2742">
      <c r="A2742" s="1">
        <v>43387.4509221412</v>
      </c>
      <c r="B2742" s="2">
        <v>719.0</v>
      </c>
      <c r="C2742" s="2" t="s">
        <v>106</v>
      </c>
      <c r="D2742" s="2" t="s">
        <v>5</v>
      </c>
    </row>
    <row r="2743">
      <c r="A2743" s="1">
        <v>43387.45559675926</v>
      </c>
      <c r="B2743" s="3" t="s">
        <v>103</v>
      </c>
      <c r="C2743" s="2" t="s">
        <v>104</v>
      </c>
    </row>
    <row r="2744">
      <c r="A2744" s="1">
        <v>43387.455672951386</v>
      </c>
      <c r="B2744" s="3" t="s">
        <v>113</v>
      </c>
      <c r="C2744" s="2" t="s">
        <v>114</v>
      </c>
    </row>
    <row r="2745">
      <c r="A2745" s="1">
        <v>43387.45576513889</v>
      </c>
      <c r="B2745" s="3" t="s">
        <v>103</v>
      </c>
      <c r="C2745" s="2" t="s">
        <v>104</v>
      </c>
    </row>
    <row r="2746">
      <c r="A2746" s="1">
        <v>43387.46142905093</v>
      </c>
      <c r="B2746" s="3" t="s">
        <v>113</v>
      </c>
      <c r="C2746" s="2" t="s">
        <v>114</v>
      </c>
    </row>
    <row r="2747">
      <c r="A2747" s="1">
        <v>43387.462800810186</v>
      </c>
      <c r="B2747" s="2">
        <v>210.0</v>
      </c>
      <c r="C2747" s="2" t="s">
        <v>64</v>
      </c>
    </row>
    <row r="2748">
      <c r="A2748" s="1">
        <v>43387.464892812495</v>
      </c>
      <c r="B2748" s="2">
        <v>253.0</v>
      </c>
      <c r="C2748" s="2" t="s">
        <v>138</v>
      </c>
    </row>
    <row r="2749">
      <c r="A2749" s="1">
        <v>43387.467266921296</v>
      </c>
      <c r="B2749" s="2">
        <v>736.0</v>
      </c>
      <c r="C2749" s="2" t="s">
        <v>175</v>
      </c>
      <c r="D2749" s="2" t="s">
        <v>5</v>
      </c>
    </row>
    <row r="2750">
      <c r="A2750" s="1">
        <v>43387.46739016204</v>
      </c>
      <c r="B2750" s="2">
        <v>737.0</v>
      </c>
      <c r="C2750" s="2" t="s">
        <v>176</v>
      </c>
      <c r="D2750" s="2" t="s">
        <v>5</v>
      </c>
    </row>
    <row r="2751">
      <c r="A2751" s="1">
        <v>43387.46751270833</v>
      </c>
      <c r="B2751" s="2">
        <v>710.0</v>
      </c>
      <c r="C2751" s="2" t="s">
        <v>21</v>
      </c>
      <c r="D2751" s="2" t="s">
        <v>5</v>
      </c>
    </row>
    <row r="2752">
      <c r="A2752" s="1">
        <v>43387.46758387731</v>
      </c>
      <c r="B2752" s="2">
        <v>709.0</v>
      </c>
      <c r="C2752" s="2" t="s">
        <v>20</v>
      </c>
      <c r="D2752" s="2" t="s">
        <v>5</v>
      </c>
    </row>
    <row r="2753">
      <c r="A2753" s="1">
        <v>43387.467656608795</v>
      </c>
      <c r="B2753" s="2">
        <v>708.0</v>
      </c>
      <c r="C2753" s="2" t="s">
        <v>4</v>
      </c>
      <c r="D2753" s="2" t="s">
        <v>5</v>
      </c>
    </row>
    <row r="2754">
      <c r="A2754" s="1">
        <v>43387.46778230324</v>
      </c>
      <c r="B2754" s="3" t="s">
        <v>11</v>
      </c>
      <c r="C2754" s="2" t="s">
        <v>12</v>
      </c>
    </row>
    <row r="2755">
      <c r="A2755" s="1">
        <v>43387.487684374995</v>
      </c>
      <c r="B2755" s="2">
        <v>662.0</v>
      </c>
      <c r="C2755" s="2" t="s">
        <v>18</v>
      </c>
    </row>
    <row r="2756">
      <c r="A2756" s="1">
        <v>43387.48775344907</v>
      </c>
      <c r="B2756" s="2">
        <v>253.0</v>
      </c>
      <c r="C2756" s="2" t="s">
        <v>138</v>
      </c>
    </row>
    <row r="2757">
      <c r="A2757" s="1">
        <v>43387.48819052083</v>
      </c>
      <c r="B2757" s="2">
        <v>616.0</v>
      </c>
      <c r="C2757" s="2" t="s">
        <v>71</v>
      </c>
    </row>
    <row r="2758">
      <c r="A2758" s="1">
        <v>43387.4882386574</v>
      </c>
      <c r="B2758" s="2">
        <v>253.0</v>
      </c>
      <c r="C2758" s="2" t="s">
        <v>138</v>
      </c>
    </row>
    <row r="2759">
      <c r="A2759" s="1">
        <v>43387.4884409375</v>
      </c>
      <c r="B2759" s="2">
        <v>137.0</v>
      </c>
      <c r="C2759" s="2" t="s">
        <v>72</v>
      </c>
    </row>
    <row r="2760">
      <c r="A2760" s="1">
        <v>43387.48850178241</v>
      </c>
      <c r="B2760" s="2">
        <v>253.0</v>
      </c>
      <c r="C2760" s="2" t="s">
        <v>138</v>
      </c>
    </row>
    <row r="2761">
      <c r="A2761" s="1">
        <v>43389.4264128588</v>
      </c>
      <c r="B2761" s="2">
        <v>673.0</v>
      </c>
      <c r="C2761" s="2" t="s">
        <v>189</v>
      </c>
    </row>
    <row r="2762">
      <c r="A2762" s="1">
        <v>43389.47055375</v>
      </c>
      <c r="B2762" s="2">
        <v>167.0</v>
      </c>
      <c r="C2762" s="2" t="s">
        <v>39</v>
      </c>
    </row>
    <row r="2763">
      <c r="A2763" s="1">
        <v>43392.57418997685</v>
      </c>
      <c r="B2763" s="3" t="s">
        <v>9</v>
      </c>
      <c r="C2763" s="2" t="s">
        <v>10</v>
      </c>
    </row>
    <row r="2764">
      <c r="A2764" s="1">
        <v>43392.57810895833</v>
      </c>
      <c r="B2764" s="2">
        <v>603.0</v>
      </c>
      <c r="C2764" s="2" t="s">
        <v>40</v>
      </c>
    </row>
    <row r="2765">
      <c r="A2765" s="1">
        <v>43392.57911550926</v>
      </c>
      <c r="B2765" s="2">
        <v>653.0</v>
      </c>
      <c r="C2765" s="2" t="s">
        <v>77</v>
      </c>
    </row>
    <row r="2766">
      <c r="A2766" s="1">
        <v>43394.42101935185</v>
      </c>
      <c r="B2766" s="2">
        <v>219.0</v>
      </c>
      <c r="C2766" s="2" t="s">
        <v>31</v>
      </c>
    </row>
    <row r="2767">
      <c r="A2767" s="1">
        <v>43394.421077210645</v>
      </c>
      <c r="B2767" s="2">
        <v>207.0</v>
      </c>
      <c r="C2767" s="2" t="s">
        <v>85</v>
      </c>
    </row>
    <row r="2768">
      <c r="A2768" s="1">
        <v>43394.4223593287</v>
      </c>
      <c r="B2768" s="2">
        <v>214.0</v>
      </c>
      <c r="C2768" s="2" t="s">
        <v>47</v>
      </c>
    </row>
    <row r="2769">
      <c r="A2769" s="1">
        <v>43394.42277168982</v>
      </c>
      <c r="B2769" s="2">
        <v>627.0</v>
      </c>
      <c r="C2769" s="2" t="s">
        <v>134</v>
      </c>
    </row>
    <row r="2770">
      <c r="A2770" s="1">
        <v>43394.422775706014</v>
      </c>
      <c r="B2770" s="2">
        <v>627.0</v>
      </c>
      <c r="C2770" s="2" t="s">
        <v>134</v>
      </c>
    </row>
    <row r="2771">
      <c r="A2771" s="1">
        <v>43394.423825833335</v>
      </c>
      <c r="B2771" s="2">
        <v>602.0</v>
      </c>
      <c r="C2771" s="2" t="s">
        <v>131</v>
      </c>
    </row>
    <row r="2772">
      <c r="A2772" s="1">
        <v>43394.425844722224</v>
      </c>
      <c r="B2772" s="2">
        <v>175.0</v>
      </c>
      <c r="C2772" s="2" t="s">
        <v>69</v>
      </c>
    </row>
    <row r="2773">
      <c r="A2773" s="1">
        <v>43394.42659042824</v>
      </c>
      <c r="B2773" s="3" t="s">
        <v>32</v>
      </c>
      <c r="C2773" s="2" t="s">
        <v>33</v>
      </c>
    </row>
    <row r="2774">
      <c r="A2774" s="1">
        <v>43394.42666457176</v>
      </c>
      <c r="B2774" s="2">
        <v>253.0</v>
      </c>
      <c r="C2774" s="2" t="s">
        <v>138</v>
      </c>
    </row>
    <row r="2775">
      <c r="A2775" s="1">
        <v>43394.427053506945</v>
      </c>
      <c r="B2775" s="2">
        <v>238.0</v>
      </c>
      <c r="C2775" s="2" t="s">
        <v>35</v>
      </c>
    </row>
    <row r="2776">
      <c r="A2776" s="1">
        <v>43394.427104745366</v>
      </c>
      <c r="B2776" s="2">
        <v>253.0</v>
      </c>
      <c r="C2776" s="2" t="s">
        <v>138</v>
      </c>
    </row>
    <row r="2777">
      <c r="A2777" s="1">
        <v>43394.42791871528</v>
      </c>
      <c r="B2777" s="2">
        <v>173.0</v>
      </c>
      <c r="C2777" s="2" t="s">
        <v>24</v>
      </c>
    </row>
    <row r="2778">
      <c r="A2778" s="1">
        <v>43394.42800299768</v>
      </c>
      <c r="B2778" s="2">
        <v>253.0</v>
      </c>
      <c r="C2778" s="2" t="s">
        <v>138</v>
      </c>
    </row>
    <row r="2779">
      <c r="A2779" s="1">
        <v>43394.42806695602</v>
      </c>
      <c r="B2779" s="2">
        <v>167.0</v>
      </c>
      <c r="C2779" s="2" t="s">
        <v>39</v>
      </c>
    </row>
    <row r="2780">
      <c r="A2780" s="1">
        <v>43394.42825678241</v>
      </c>
      <c r="B2780" s="2">
        <v>167.0</v>
      </c>
      <c r="C2780" s="2" t="s">
        <v>39</v>
      </c>
    </row>
    <row r="2781">
      <c r="A2781" s="1">
        <v>43394.42828237268</v>
      </c>
      <c r="B2781" s="2">
        <v>201.0</v>
      </c>
      <c r="C2781" s="2" t="s">
        <v>70</v>
      </c>
    </row>
    <row r="2782">
      <c r="A2782" s="1">
        <v>43394.42853577546</v>
      </c>
      <c r="B2782" s="2">
        <v>624.0</v>
      </c>
      <c r="C2782" s="2" t="s">
        <v>90</v>
      </c>
    </row>
    <row r="2783">
      <c r="A2783" s="1">
        <v>43394.428671284724</v>
      </c>
      <c r="B2783" s="2">
        <v>624.0</v>
      </c>
      <c r="C2783" s="2" t="s">
        <v>90</v>
      </c>
    </row>
    <row r="2784">
      <c r="A2784" s="1">
        <v>43394.428705694445</v>
      </c>
      <c r="B2784" s="2">
        <v>253.0</v>
      </c>
      <c r="C2784" s="2" t="s">
        <v>138</v>
      </c>
    </row>
    <row r="2785">
      <c r="A2785" s="1">
        <v>43394.42886886574</v>
      </c>
      <c r="B2785" s="2">
        <v>113.0</v>
      </c>
      <c r="C2785" s="2" t="s">
        <v>29</v>
      </c>
    </row>
    <row r="2786">
      <c r="A2786" s="1">
        <v>43394.4289194213</v>
      </c>
      <c r="B2786" s="2">
        <v>253.0</v>
      </c>
      <c r="C2786" s="2" t="s">
        <v>138</v>
      </c>
    </row>
    <row r="2787">
      <c r="A2787" s="1">
        <v>43394.42900311343</v>
      </c>
      <c r="B2787" s="3" t="s">
        <v>22</v>
      </c>
      <c r="C2787" s="2" t="s">
        <v>23</v>
      </c>
    </row>
    <row r="2788">
      <c r="A2788" s="1">
        <v>43394.429042407406</v>
      </c>
      <c r="B2788" s="2">
        <v>253.0</v>
      </c>
      <c r="C2788" s="2" t="s">
        <v>138</v>
      </c>
    </row>
    <row r="2789">
      <c r="A2789" s="1">
        <v>43394.429110173616</v>
      </c>
      <c r="B2789" s="3" t="s">
        <v>159</v>
      </c>
      <c r="C2789" s="2" t="s">
        <v>160</v>
      </c>
    </row>
    <row r="2790">
      <c r="A2790" s="1">
        <v>43394.429134907405</v>
      </c>
      <c r="B2790" s="2">
        <v>253.0</v>
      </c>
      <c r="C2790" s="2" t="s">
        <v>138</v>
      </c>
    </row>
    <row r="2791">
      <c r="A2791" s="1">
        <v>43394.42932318287</v>
      </c>
      <c r="B2791" s="2">
        <v>189.0</v>
      </c>
      <c r="C2791" s="2" t="s">
        <v>128</v>
      </c>
    </row>
    <row r="2792">
      <c r="A2792" s="1">
        <v>43394.43008641204</v>
      </c>
      <c r="B2792" s="2">
        <v>253.0</v>
      </c>
      <c r="C2792" s="2" t="s">
        <v>138</v>
      </c>
    </row>
    <row r="2793">
      <c r="A2793" s="1">
        <v>43394.43015976852</v>
      </c>
      <c r="B2793" s="3" t="s">
        <v>51</v>
      </c>
      <c r="C2793" s="2" t="s">
        <v>52</v>
      </c>
    </row>
    <row r="2794">
      <c r="A2794" s="1">
        <v>43394.430194872686</v>
      </c>
      <c r="B2794" s="2">
        <v>253.0</v>
      </c>
      <c r="C2794" s="2" t="s">
        <v>138</v>
      </c>
    </row>
    <row r="2795">
      <c r="A2795" s="1">
        <v>43394.43056813657</v>
      </c>
      <c r="B2795" s="2">
        <v>193.0</v>
      </c>
      <c r="C2795" s="2" t="s">
        <v>30</v>
      </c>
    </row>
    <row r="2796">
      <c r="A2796" s="1">
        <v>43394.430635613426</v>
      </c>
      <c r="B2796" s="2">
        <v>253.0</v>
      </c>
      <c r="C2796" s="2" t="s">
        <v>138</v>
      </c>
    </row>
    <row r="2797">
      <c r="A2797" s="1">
        <v>43394.43117655093</v>
      </c>
      <c r="B2797" s="2">
        <v>614.0</v>
      </c>
      <c r="C2797" s="2" t="s">
        <v>76</v>
      </c>
    </row>
    <row r="2798">
      <c r="A2798" s="1">
        <v>43394.431247430555</v>
      </c>
      <c r="B2798" s="2">
        <v>253.0</v>
      </c>
      <c r="C2798" s="2" t="s">
        <v>138</v>
      </c>
    </row>
    <row r="2799">
      <c r="A2799" s="1">
        <v>43394.431310520835</v>
      </c>
      <c r="B2799" s="2">
        <v>613.0</v>
      </c>
      <c r="C2799" s="2" t="s">
        <v>124</v>
      </c>
    </row>
    <row r="2800">
      <c r="A2800" s="1">
        <v>43394.43138592593</v>
      </c>
      <c r="B2800" s="2">
        <v>262.0</v>
      </c>
      <c r="C2800" s="2" t="s">
        <v>28</v>
      </c>
    </row>
    <row r="2801">
      <c r="A2801" s="1">
        <v>43394.43167547454</v>
      </c>
      <c r="B2801" s="2">
        <v>613.0</v>
      </c>
      <c r="C2801" s="2" t="s">
        <v>124</v>
      </c>
    </row>
    <row r="2802">
      <c r="A2802" s="1">
        <v>43394.43176394676</v>
      </c>
      <c r="B2802" s="2">
        <v>614.0</v>
      </c>
      <c r="C2802" s="2" t="s">
        <v>76</v>
      </c>
    </row>
    <row r="2803">
      <c r="A2803" s="1">
        <v>43394.43181540509</v>
      </c>
      <c r="B2803" s="2">
        <v>253.0</v>
      </c>
      <c r="C2803" s="2" t="s">
        <v>138</v>
      </c>
    </row>
    <row r="2804">
      <c r="A2804" s="1">
        <v>43394.431970833335</v>
      </c>
      <c r="B2804" s="2">
        <v>724.0</v>
      </c>
      <c r="C2804" s="2" t="s">
        <v>91</v>
      </c>
      <c r="D2804" s="2" t="s">
        <v>5</v>
      </c>
    </row>
    <row r="2805">
      <c r="A2805" s="1">
        <v>43394.43200068287</v>
      </c>
      <c r="B2805" s="2">
        <v>253.0</v>
      </c>
      <c r="C2805" s="2" t="s">
        <v>138</v>
      </c>
    </row>
    <row r="2806">
      <c r="A2806" s="1">
        <v>43394.43214767361</v>
      </c>
      <c r="B2806" s="2">
        <v>725.0</v>
      </c>
      <c r="C2806" s="2" t="s">
        <v>92</v>
      </c>
      <c r="D2806" s="2" t="s">
        <v>5</v>
      </c>
    </row>
    <row r="2807">
      <c r="A2807" s="1">
        <v>43394.43246056713</v>
      </c>
      <c r="B2807" s="2">
        <v>253.0</v>
      </c>
      <c r="C2807" s="2" t="s">
        <v>138</v>
      </c>
    </row>
    <row r="2808">
      <c r="A2808" s="1">
        <v>43394.43254454861</v>
      </c>
      <c r="B2808" s="2">
        <v>723.0</v>
      </c>
      <c r="C2808" s="2" t="s">
        <v>84</v>
      </c>
      <c r="D2808" s="2" t="s">
        <v>5</v>
      </c>
    </row>
    <row r="2809">
      <c r="A2809" s="1">
        <v>43394.432619444444</v>
      </c>
      <c r="B2809" s="2">
        <v>253.0</v>
      </c>
      <c r="C2809" s="2" t="s">
        <v>138</v>
      </c>
    </row>
    <row r="2810">
      <c r="A2810" s="1">
        <v>43394.4327328588</v>
      </c>
      <c r="B2810" s="2">
        <v>725.0</v>
      </c>
      <c r="C2810" s="2" t="s">
        <v>92</v>
      </c>
      <c r="D2810" s="2" t="s">
        <v>5</v>
      </c>
    </row>
    <row r="2811">
      <c r="A2811" s="1">
        <v>43394.43277033565</v>
      </c>
      <c r="B2811" s="2">
        <v>253.0</v>
      </c>
      <c r="C2811" s="2" t="s">
        <v>138</v>
      </c>
    </row>
    <row r="2812">
      <c r="A2812" s="1">
        <v>43394.4332062037</v>
      </c>
      <c r="B2812" s="3" t="s">
        <v>78</v>
      </c>
      <c r="C2812" s="2" t="s">
        <v>79</v>
      </c>
    </row>
    <row r="2813">
      <c r="A2813" s="1">
        <v>43394.43323880787</v>
      </c>
      <c r="B2813" s="3" t="s">
        <v>55</v>
      </c>
      <c r="C2813" s="2" t="s">
        <v>56</v>
      </c>
    </row>
    <row r="2814">
      <c r="A2814" s="1">
        <v>43394.43324395834</v>
      </c>
      <c r="B2814" s="2">
        <v>253.0</v>
      </c>
      <c r="C2814" s="2" t="s">
        <v>138</v>
      </c>
    </row>
    <row r="2815">
      <c r="A2815" s="1">
        <v>43394.43333803241</v>
      </c>
      <c r="B2815" s="3" t="s">
        <v>82</v>
      </c>
      <c r="C2815" s="2" t="s">
        <v>83</v>
      </c>
    </row>
    <row r="2816">
      <c r="A2816" s="1">
        <v>43394.43348364583</v>
      </c>
      <c r="B2816" s="2">
        <v>729.0</v>
      </c>
      <c r="C2816" s="2" t="s">
        <v>54</v>
      </c>
      <c r="D2816" s="2" t="s">
        <v>5</v>
      </c>
    </row>
    <row r="2817">
      <c r="A2817" s="1">
        <v>43394.43362268519</v>
      </c>
      <c r="B2817" s="2">
        <v>141.0</v>
      </c>
      <c r="C2817" s="2" t="s">
        <v>53</v>
      </c>
    </row>
    <row r="2818">
      <c r="A2818" s="1">
        <v>43394.43378584491</v>
      </c>
      <c r="B2818" s="2">
        <v>707.0</v>
      </c>
      <c r="C2818" s="2" t="s">
        <v>57</v>
      </c>
      <c r="D2818" s="2" t="s">
        <v>5</v>
      </c>
    </row>
    <row r="2819">
      <c r="A2819" s="1">
        <v>43394.43439068287</v>
      </c>
      <c r="B2819" s="2">
        <v>253.0</v>
      </c>
      <c r="C2819" s="2" t="s">
        <v>138</v>
      </c>
    </row>
    <row r="2820">
      <c r="A2820" s="1">
        <v>43394.43449008102</v>
      </c>
      <c r="B2820" s="3" t="s">
        <v>44</v>
      </c>
      <c r="C2820" s="2" t="s">
        <v>45</v>
      </c>
    </row>
    <row r="2821">
      <c r="A2821" s="1">
        <v>43394.43455298611</v>
      </c>
      <c r="B2821" s="2">
        <v>253.0</v>
      </c>
      <c r="C2821" s="2" t="s">
        <v>138</v>
      </c>
    </row>
    <row r="2822">
      <c r="A2822" s="1">
        <v>43394.43540695602</v>
      </c>
      <c r="B2822" s="2">
        <v>172.0</v>
      </c>
      <c r="C2822" s="2" t="s">
        <v>65</v>
      </c>
    </row>
    <row r="2823">
      <c r="A2823" s="1">
        <v>43394.43553480324</v>
      </c>
      <c r="B2823" s="2">
        <v>706.0</v>
      </c>
      <c r="C2823" s="2" t="s">
        <v>149</v>
      </c>
      <c r="D2823" s="2" t="s">
        <v>5</v>
      </c>
    </row>
    <row r="2824">
      <c r="A2824" s="1">
        <v>43394.435621400466</v>
      </c>
      <c r="B2824" s="3" t="s">
        <v>150</v>
      </c>
      <c r="C2824" s="2" t="s">
        <v>151</v>
      </c>
    </row>
    <row r="2825">
      <c r="A2825" s="1">
        <v>43394.435724525465</v>
      </c>
      <c r="B2825" s="3" t="s">
        <v>88</v>
      </c>
      <c r="C2825" s="2" t="s">
        <v>89</v>
      </c>
    </row>
    <row r="2826">
      <c r="A2826" s="1">
        <v>43394.4357642824</v>
      </c>
      <c r="B2826" s="2">
        <v>253.0</v>
      </c>
      <c r="C2826" s="2" t="s">
        <v>138</v>
      </c>
    </row>
    <row r="2827">
      <c r="A2827" s="1">
        <v>43394.43590589121</v>
      </c>
      <c r="B2827" s="2">
        <v>229.0</v>
      </c>
      <c r="C2827" s="2" t="s">
        <v>86</v>
      </c>
    </row>
    <row r="2828">
      <c r="A2828" s="1">
        <v>43394.435946087964</v>
      </c>
      <c r="B2828" s="2">
        <v>253.0</v>
      </c>
      <c r="C2828" s="2" t="s">
        <v>138</v>
      </c>
    </row>
    <row r="2829">
      <c r="A2829" s="1">
        <v>43394.4363730787</v>
      </c>
      <c r="B2829" s="3" t="s">
        <v>126</v>
      </c>
      <c r="C2829" s="2" t="s">
        <v>127</v>
      </c>
    </row>
    <row r="2830">
      <c r="A2830" s="1">
        <v>43394.43640938657</v>
      </c>
      <c r="B2830" s="2">
        <v>253.0</v>
      </c>
      <c r="C2830" s="2" t="s">
        <v>138</v>
      </c>
    </row>
    <row r="2831">
      <c r="A2831" s="1">
        <v>43394.436474965274</v>
      </c>
      <c r="B2831" s="3" t="s">
        <v>11</v>
      </c>
      <c r="C2831" s="2" t="s">
        <v>12</v>
      </c>
    </row>
    <row r="2832">
      <c r="A2832" s="1">
        <v>43394.4365127662</v>
      </c>
      <c r="B2832" s="2">
        <v>253.0</v>
      </c>
      <c r="C2832" s="2" t="s">
        <v>138</v>
      </c>
    </row>
    <row r="2833">
      <c r="A2833" s="1">
        <v>43394.43688224537</v>
      </c>
      <c r="B2833" s="2">
        <v>716.0</v>
      </c>
      <c r="C2833" s="2" t="s">
        <v>123</v>
      </c>
      <c r="D2833" s="2" t="s">
        <v>5</v>
      </c>
    </row>
    <row r="2834">
      <c r="A2834" s="1">
        <v>43394.43691902778</v>
      </c>
      <c r="B2834" s="2">
        <v>253.0</v>
      </c>
      <c r="C2834" s="2" t="s">
        <v>138</v>
      </c>
    </row>
    <row r="2835">
      <c r="A2835" s="1">
        <v>43394.43772722222</v>
      </c>
      <c r="B2835" s="2">
        <v>215.0</v>
      </c>
      <c r="C2835" s="2" t="s">
        <v>137</v>
      </c>
    </row>
    <row r="2836">
      <c r="A2836" s="1">
        <v>43394.438943622685</v>
      </c>
      <c r="B2836" s="3" t="s">
        <v>94</v>
      </c>
      <c r="C2836" s="2" t="s">
        <v>95</v>
      </c>
    </row>
    <row r="2837">
      <c r="A2837" s="1">
        <v>43394.43919988426</v>
      </c>
      <c r="B2837" s="2">
        <v>210.0</v>
      </c>
      <c r="C2837" s="2" t="s">
        <v>64</v>
      </c>
    </row>
    <row r="2838">
      <c r="A2838" s="1">
        <v>43394.439515370366</v>
      </c>
      <c r="B2838" s="2">
        <v>253.0</v>
      </c>
      <c r="C2838" s="2" t="s">
        <v>138</v>
      </c>
    </row>
    <row r="2839">
      <c r="A2839" s="1">
        <v>43394.43989605324</v>
      </c>
      <c r="B2839" s="2">
        <v>267.0</v>
      </c>
      <c r="C2839" s="2" t="s">
        <v>115</v>
      </c>
    </row>
    <row r="2840">
      <c r="A2840" s="1">
        <v>43394.439960393516</v>
      </c>
      <c r="B2840" s="2">
        <v>198.0</v>
      </c>
      <c r="C2840" s="2" t="s">
        <v>97</v>
      </c>
    </row>
    <row r="2841">
      <c r="A2841" s="1">
        <v>43394.44015172454</v>
      </c>
      <c r="B2841" s="2">
        <v>253.0</v>
      </c>
      <c r="C2841" s="2" t="s">
        <v>138</v>
      </c>
    </row>
    <row r="2842">
      <c r="A2842" s="1">
        <v>43394.44026728009</v>
      </c>
      <c r="B2842" s="2">
        <v>198.0</v>
      </c>
      <c r="C2842" s="2" t="s">
        <v>97</v>
      </c>
    </row>
    <row r="2843">
      <c r="A2843" s="1">
        <v>43394.44027755787</v>
      </c>
      <c r="B2843" s="3" t="s">
        <v>94</v>
      </c>
      <c r="C2843" s="2" t="s">
        <v>95</v>
      </c>
    </row>
    <row r="2844">
      <c r="A2844" s="1">
        <v>43394.44043479167</v>
      </c>
      <c r="B2844" s="2">
        <v>702.0</v>
      </c>
      <c r="C2844" s="2" t="s">
        <v>96</v>
      </c>
      <c r="D2844" s="2" t="s">
        <v>5</v>
      </c>
    </row>
    <row r="2845">
      <c r="A2845" s="1">
        <v>43394.44043479167</v>
      </c>
      <c r="B2845" s="2">
        <v>253.0</v>
      </c>
      <c r="C2845" s="2" t="s">
        <v>138</v>
      </c>
    </row>
    <row r="2846">
      <c r="A2846" s="1">
        <v>43394.44062444444</v>
      </c>
      <c r="B2846" s="2">
        <v>653.0</v>
      </c>
      <c r="C2846" s="2" t="s">
        <v>77</v>
      </c>
    </row>
    <row r="2847">
      <c r="A2847" s="1">
        <v>43394.4406584838</v>
      </c>
      <c r="B2847" s="2">
        <v>253.0</v>
      </c>
      <c r="C2847" s="2" t="s">
        <v>138</v>
      </c>
    </row>
    <row r="2848">
      <c r="A2848" s="1">
        <v>43394.44074884259</v>
      </c>
      <c r="B2848" s="3" t="s">
        <v>80</v>
      </c>
      <c r="C2848" s="2" t="s">
        <v>81</v>
      </c>
    </row>
    <row r="2849">
      <c r="A2849" s="1">
        <v>43394.44237934028</v>
      </c>
      <c r="B2849" s="2">
        <v>253.0</v>
      </c>
      <c r="C2849" s="2" t="s">
        <v>138</v>
      </c>
    </row>
    <row r="2850">
      <c r="A2850" s="1">
        <v>43394.44244996528</v>
      </c>
      <c r="B2850" s="2">
        <v>124.0</v>
      </c>
      <c r="C2850" s="2" t="s">
        <v>107</v>
      </c>
    </row>
    <row r="2851">
      <c r="A2851" s="1">
        <v>43394.442487418986</v>
      </c>
      <c r="B2851" s="2">
        <v>253.0</v>
      </c>
      <c r="C2851" s="2" t="s">
        <v>138</v>
      </c>
    </row>
    <row r="2852">
      <c r="A2852" s="1">
        <v>43394.44290371527</v>
      </c>
      <c r="B2852" s="2">
        <v>244.0</v>
      </c>
      <c r="C2852" s="2" t="s">
        <v>38</v>
      </c>
    </row>
    <row r="2853">
      <c r="A2853" s="1">
        <v>43394.44295162037</v>
      </c>
      <c r="B2853" s="2">
        <v>253.0</v>
      </c>
      <c r="C2853" s="2" t="s">
        <v>138</v>
      </c>
    </row>
    <row r="2854">
      <c r="A2854" s="1">
        <v>43394.444647627315</v>
      </c>
      <c r="B2854" s="3" t="s">
        <v>98</v>
      </c>
      <c r="C2854" s="2" t="s">
        <v>99</v>
      </c>
    </row>
    <row r="2855">
      <c r="A2855" s="1">
        <v>43394.44468033565</v>
      </c>
      <c r="B2855" s="2">
        <v>253.0</v>
      </c>
      <c r="C2855" s="2" t="s">
        <v>138</v>
      </c>
    </row>
    <row r="2856">
      <c r="A2856" s="1">
        <v>43394.4447578125</v>
      </c>
      <c r="B2856" s="2">
        <v>147.0</v>
      </c>
      <c r="C2856" s="2" t="s">
        <v>100</v>
      </c>
    </row>
    <row r="2857">
      <c r="A2857" s="1">
        <v>43394.44479271991</v>
      </c>
      <c r="B2857" s="2">
        <v>253.0</v>
      </c>
      <c r="C2857" s="2" t="s">
        <v>138</v>
      </c>
    </row>
    <row r="2858">
      <c r="A2858" s="1">
        <v>43394.44503065972</v>
      </c>
      <c r="B2858" s="2">
        <v>726.0</v>
      </c>
      <c r="C2858" s="2" t="s">
        <v>101</v>
      </c>
      <c r="D2858" s="2" t="s">
        <v>5</v>
      </c>
    </row>
    <row r="2859">
      <c r="A2859" s="1">
        <v>43394.44509403935</v>
      </c>
      <c r="B2859" s="2">
        <v>253.0</v>
      </c>
      <c r="C2859" s="2" t="s">
        <v>138</v>
      </c>
    </row>
    <row r="2860">
      <c r="A2860" s="1">
        <v>43394.446645324075</v>
      </c>
      <c r="B2860" s="2">
        <v>268.0</v>
      </c>
      <c r="C2860" s="2" t="s">
        <v>205</v>
      </c>
    </row>
    <row r="2861">
      <c r="A2861" s="1">
        <v>43394.44666091436</v>
      </c>
      <c r="B2861" s="2">
        <v>663.0</v>
      </c>
      <c r="C2861" s="2" t="s">
        <v>109</v>
      </c>
    </row>
    <row r="2862">
      <c r="A2862" s="1">
        <v>43394.446675659725</v>
      </c>
      <c r="B2862" s="2">
        <v>253.0</v>
      </c>
      <c r="C2862" s="2" t="s">
        <v>138</v>
      </c>
    </row>
    <row r="2863">
      <c r="A2863" s="1">
        <v>43394.44675094908</v>
      </c>
      <c r="B2863" s="2">
        <v>733.0</v>
      </c>
      <c r="C2863" s="2" t="s">
        <v>110</v>
      </c>
      <c r="D2863" s="2" t="s">
        <v>5</v>
      </c>
    </row>
    <row r="2864">
      <c r="A2864" s="1">
        <v>43394.44686427084</v>
      </c>
      <c r="B2864" s="3" t="s">
        <v>11</v>
      </c>
      <c r="C2864" s="2" t="s">
        <v>12</v>
      </c>
    </row>
    <row r="2865">
      <c r="A2865" s="1">
        <v>43394.44701815972</v>
      </c>
      <c r="B2865" s="2">
        <v>126.0</v>
      </c>
      <c r="C2865" s="2" t="s">
        <v>87</v>
      </c>
    </row>
    <row r="2866">
      <c r="A2866" s="1">
        <v>43394.44708203703</v>
      </c>
      <c r="B2866" s="2">
        <v>253.0</v>
      </c>
      <c r="C2866" s="2" t="s">
        <v>138</v>
      </c>
    </row>
    <row r="2867">
      <c r="A2867" s="1">
        <v>43394.44716072916</v>
      </c>
      <c r="B2867" s="2">
        <v>716.0</v>
      </c>
      <c r="C2867" s="2" t="s">
        <v>123</v>
      </c>
      <c r="D2867" s="2" t="s">
        <v>5</v>
      </c>
    </row>
    <row r="2868">
      <c r="A2868" s="1">
        <v>43394.452686018514</v>
      </c>
      <c r="B2868" s="3" t="s">
        <v>13</v>
      </c>
      <c r="C2868" s="2" t="s">
        <v>14</v>
      </c>
    </row>
    <row r="2869">
      <c r="A2869" s="1">
        <v>43394.45272043982</v>
      </c>
      <c r="B2869" s="2">
        <v>253.0</v>
      </c>
      <c r="C2869" s="2" t="s">
        <v>138</v>
      </c>
    </row>
    <row r="2870">
      <c r="A2870" s="1">
        <v>43394.45441114584</v>
      </c>
      <c r="B2870" s="2">
        <v>604.0</v>
      </c>
      <c r="C2870" s="2" t="s">
        <v>36</v>
      </c>
    </row>
    <row r="2871">
      <c r="A2871" s="1">
        <v>43394.45445469907</v>
      </c>
      <c r="B2871" s="2">
        <v>253.0</v>
      </c>
      <c r="C2871" s="2" t="s">
        <v>138</v>
      </c>
    </row>
    <row r="2872">
      <c r="A2872" s="1">
        <v>43394.45563005787</v>
      </c>
      <c r="B2872" s="2">
        <v>732.0</v>
      </c>
      <c r="C2872" s="2" t="s">
        <v>102</v>
      </c>
      <c r="D2872" s="2" t="s">
        <v>5</v>
      </c>
    </row>
    <row r="2873">
      <c r="A2873" s="1">
        <v>43394.45652126157</v>
      </c>
      <c r="B2873" s="2">
        <v>603.0</v>
      </c>
      <c r="C2873" s="2" t="s">
        <v>40</v>
      </c>
    </row>
    <row r="2874">
      <c r="A2874" s="1">
        <v>43394.45713938658</v>
      </c>
      <c r="B2874" s="2">
        <v>735.0</v>
      </c>
      <c r="C2874" s="2" t="s">
        <v>37</v>
      </c>
      <c r="D2874" s="2" t="s">
        <v>5</v>
      </c>
    </row>
    <row r="2875">
      <c r="A2875" s="1">
        <v>43394.457892349536</v>
      </c>
      <c r="B2875" s="2">
        <v>259.0</v>
      </c>
      <c r="C2875" s="2" t="s">
        <v>66</v>
      </c>
    </row>
    <row r="2876">
      <c r="A2876" s="1">
        <v>43394.457931412035</v>
      </c>
      <c r="B2876" s="2">
        <v>253.0</v>
      </c>
      <c r="C2876" s="2" t="s">
        <v>138</v>
      </c>
    </row>
    <row r="2877">
      <c r="A2877" s="1">
        <v>43394.45867155092</v>
      </c>
      <c r="B2877" s="2">
        <v>734.0</v>
      </c>
      <c r="C2877" s="2" t="s">
        <v>63</v>
      </c>
      <c r="D2877" s="2" t="s">
        <v>5</v>
      </c>
    </row>
    <row r="2878">
      <c r="A2878" s="1">
        <v>43394.458764166666</v>
      </c>
      <c r="B2878" s="2">
        <v>253.0</v>
      </c>
      <c r="C2878" s="2" t="s">
        <v>138</v>
      </c>
    </row>
    <row r="2879">
      <c r="A2879" s="1">
        <v>43394.4589208449</v>
      </c>
      <c r="B2879" s="2">
        <v>260.0</v>
      </c>
      <c r="C2879" s="2" t="s">
        <v>67</v>
      </c>
    </row>
    <row r="2880">
      <c r="A2880" s="1">
        <v>43394.459177349534</v>
      </c>
      <c r="B2880" s="2">
        <v>237.0</v>
      </c>
      <c r="C2880" s="2" t="s">
        <v>140</v>
      </c>
    </row>
    <row r="2881">
      <c r="A2881" s="1">
        <v>43394.45932511574</v>
      </c>
      <c r="B2881" s="2">
        <v>157.0</v>
      </c>
      <c r="C2881" s="2" t="s">
        <v>141</v>
      </c>
    </row>
    <row r="2882">
      <c r="A2882" s="1">
        <v>43394.459363229165</v>
      </c>
      <c r="B2882" s="2">
        <v>253.0</v>
      </c>
      <c r="C2882" s="2" t="s">
        <v>138</v>
      </c>
    </row>
    <row r="2883">
      <c r="A2883" s="1">
        <v>43394.459459861115</v>
      </c>
      <c r="B2883" s="2">
        <v>705.0</v>
      </c>
      <c r="C2883" s="2" t="s">
        <v>168</v>
      </c>
      <c r="D2883" s="2" t="s">
        <v>5</v>
      </c>
    </row>
    <row r="2884">
      <c r="A2884" s="1">
        <v>43394.460785752315</v>
      </c>
      <c r="B2884" s="2">
        <v>253.0</v>
      </c>
      <c r="C2884" s="2" t="s">
        <v>138</v>
      </c>
    </row>
    <row r="2885">
      <c r="A2885" s="1">
        <v>43394.46090760417</v>
      </c>
      <c r="B2885" s="2">
        <v>708.0</v>
      </c>
      <c r="C2885" s="2" t="s">
        <v>4</v>
      </c>
      <c r="D2885" s="2" t="s">
        <v>5</v>
      </c>
    </row>
    <row r="2886">
      <c r="A2886" s="1">
        <v>43394.46094525463</v>
      </c>
      <c r="B2886" s="2">
        <v>253.0</v>
      </c>
      <c r="C2886" s="2" t="s">
        <v>138</v>
      </c>
    </row>
    <row r="2887">
      <c r="A2887" s="1">
        <v>43394.46098732638</v>
      </c>
      <c r="B2887" s="2">
        <v>709.0</v>
      </c>
      <c r="C2887" s="2" t="s">
        <v>20</v>
      </c>
      <c r="D2887" s="2" t="s">
        <v>5</v>
      </c>
    </row>
    <row r="2888">
      <c r="A2888" s="1">
        <v>43394.461180115744</v>
      </c>
      <c r="B2888" s="2">
        <v>710.0</v>
      </c>
      <c r="C2888" s="2" t="s">
        <v>21</v>
      </c>
      <c r="D2888" s="2" t="s">
        <v>5</v>
      </c>
    </row>
    <row r="2889">
      <c r="A2889" s="1">
        <v>43394.46123153935</v>
      </c>
      <c r="B2889" s="2">
        <v>253.0</v>
      </c>
      <c r="C2889" s="2" t="s">
        <v>138</v>
      </c>
    </row>
    <row r="2890">
      <c r="A2890" s="1">
        <v>43394.46143667824</v>
      </c>
      <c r="B2890" s="3" t="s">
        <v>9</v>
      </c>
      <c r="C2890" s="2" t="s">
        <v>10</v>
      </c>
    </row>
    <row r="2891">
      <c r="A2891" s="1">
        <v>43394.46148229166</v>
      </c>
      <c r="B2891" s="2">
        <v>253.0</v>
      </c>
      <c r="C2891" s="2" t="s">
        <v>138</v>
      </c>
    </row>
    <row r="2892">
      <c r="A2892" s="1">
        <v>43394.462062743056</v>
      </c>
      <c r="B2892" s="3" t="s">
        <v>111</v>
      </c>
      <c r="C2892" s="2" t="s">
        <v>112</v>
      </c>
    </row>
    <row r="2893">
      <c r="A2893" s="1">
        <v>43394.46227584491</v>
      </c>
      <c r="B2893" s="2">
        <v>253.0</v>
      </c>
      <c r="C2893" s="2" t="s">
        <v>138</v>
      </c>
    </row>
    <row r="2894">
      <c r="A2894" s="1">
        <v>43394.464480891205</v>
      </c>
      <c r="B2894" s="3" t="s">
        <v>119</v>
      </c>
      <c r="C2894" s="2" t="s">
        <v>120</v>
      </c>
    </row>
    <row r="2895">
      <c r="A2895" s="1">
        <v>43394.464527511576</v>
      </c>
      <c r="B2895" s="2">
        <v>253.0</v>
      </c>
      <c r="C2895" s="2" t="s">
        <v>138</v>
      </c>
    </row>
    <row r="2896">
      <c r="A2896" s="1">
        <v>43394.46487030093</v>
      </c>
      <c r="B2896" s="3" t="s">
        <v>117</v>
      </c>
      <c r="C2896" s="2" t="s">
        <v>118</v>
      </c>
    </row>
    <row r="2897">
      <c r="A2897" s="1">
        <v>43394.46490802083</v>
      </c>
      <c r="B2897" s="2">
        <v>253.0</v>
      </c>
      <c r="C2897" s="2" t="s">
        <v>138</v>
      </c>
    </row>
    <row r="2898">
      <c r="A2898" s="1">
        <v>43394.46511532407</v>
      </c>
      <c r="B2898" s="2">
        <v>713.0</v>
      </c>
      <c r="C2898" s="2" t="s">
        <v>121</v>
      </c>
      <c r="D2898" s="2" t="s">
        <v>5</v>
      </c>
    </row>
    <row r="2899">
      <c r="A2899" s="1">
        <v>43394.46515752315</v>
      </c>
      <c r="B2899" s="2">
        <v>253.0</v>
      </c>
      <c r="C2899" s="2" t="s">
        <v>138</v>
      </c>
    </row>
    <row r="2900">
      <c r="A2900" s="1">
        <v>43394.46519659722</v>
      </c>
      <c r="B2900" s="2">
        <v>714.0</v>
      </c>
      <c r="C2900" s="2" t="s">
        <v>122</v>
      </c>
      <c r="D2900" s="2" t="s">
        <v>5</v>
      </c>
    </row>
    <row r="2901">
      <c r="A2901" s="1">
        <v>43394.46532609954</v>
      </c>
      <c r="B2901" s="2">
        <v>253.0</v>
      </c>
      <c r="C2901" s="2" t="s">
        <v>138</v>
      </c>
    </row>
    <row r="2902">
      <c r="A2902" s="1">
        <v>43394.46694355324</v>
      </c>
      <c r="B2902" s="2">
        <v>208.0</v>
      </c>
      <c r="C2902" s="2" t="s">
        <v>182</v>
      </c>
    </row>
    <row r="2903">
      <c r="A2903" s="1">
        <v>43394.4670535301</v>
      </c>
      <c r="B2903" s="2">
        <v>253.0</v>
      </c>
      <c r="C2903" s="2" t="s">
        <v>138</v>
      </c>
    </row>
    <row r="2904">
      <c r="A2904" s="1">
        <v>43394.46770162037</v>
      </c>
      <c r="B2904" s="2">
        <v>672.0</v>
      </c>
      <c r="C2904" s="2" t="s">
        <v>6</v>
      </c>
    </row>
    <row r="2905">
      <c r="A2905" s="1">
        <v>43394.46877630787</v>
      </c>
      <c r="B2905" s="2">
        <v>214.0</v>
      </c>
      <c r="C2905" s="2" t="s">
        <v>47</v>
      </c>
    </row>
    <row r="2906">
      <c r="A2906" s="1">
        <v>43394.47306261574</v>
      </c>
      <c r="B2906" s="2">
        <v>611.0</v>
      </c>
      <c r="C2906" s="2" t="s">
        <v>143</v>
      </c>
    </row>
    <row r="2907">
      <c r="A2907" s="1">
        <v>43394.473218287036</v>
      </c>
      <c r="B2907" s="2">
        <v>643.0</v>
      </c>
      <c r="C2907" s="2" t="s">
        <v>166</v>
      </c>
    </row>
    <row r="2908">
      <c r="A2908" s="1">
        <v>43394.473483877315</v>
      </c>
      <c r="B2908" s="2">
        <v>602.0</v>
      </c>
      <c r="C2908" s="2" t="s">
        <v>131</v>
      </c>
    </row>
    <row r="2909">
      <c r="A2909" s="1">
        <v>43394.474524907404</v>
      </c>
      <c r="B2909" s="2">
        <v>655.0</v>
      </c>
      <c r="C2909" s="2" t="s">
        <v>17</v>
      </c>
    </row>
    <row r="2910">
      <c r="A2910" s="1">
        <v>43394.475248738425</v>
      </c>
      <c r="B2910" s="2">
        <v>253.0</v>
      </c>
      <c r="C2910" s="2" t="s">
        <v>138</v>
      </c>
    </row>
    <row r="2911">
      <c r="A2911" s="1">
        <v>43394.477862395834</v>
      </c>
      <c r="B2911" s="2">
        <v>653.0</v>
      </c>
      <c r="C2911" s="2" t="s">
        <v>77</v>
      </c>
    </row>
    <row r="2912">
      <c r="A2912" s="1">
        <v>43394.47893920139</v>
      </c>
      <c r="B2912" s="2">
        <v>219.0</v>
      </c>
      <c r="C2912" s="2" t="s">
        <v>31</v>
      </c>
    </row>
    <row r="2913">
      <c r="A2913" s="1">
        <v>43394.47907663195</v>
      </c>
      <c r="B2913" s="2">
        <v>207.0</v>
      </c>
      <c r="C2913" s="2" t="s">
        <v>85</v>
      </c>
    </row>
    <row r="2914">
      <c r="A2914" s="1">
        <v>43394.479838252315</v>
      </c>
      <c r="B2914" s="2">
        <v>189.0</v>
      </c>
      <c r="C2914" s="2" t="s">
        <v>128</v>
      </c>
    </row>
    <row r="2915">
      <c r="A2915" s="1">
        <v>43394.479911608796</v>
      </c>
      <c r="B2915" s="2">
        <v>198.0</v>
      </c>
      <c r="C2915" s="2" t="s">
        <v>97</v>
      </c>
    </row>
    <row r="2916">
      <c r="A2916" s="1">
        <v>43394.48712662037</v>
      </c>
      <c r="B2916" s="2">
        <v>267.0</v>
      </c>
      <c r="C2916" s="2" t="s">
        <v>115</v>
      </c>
    </row>
    <row r="2917">
      <c r="A2917" s="1">
        <v>43394.58866650463</v>
      </c>
      <c r="B2917" s="2">
        <v>602.0</v>
      </c>
      <c r="C2917" s="2" t="s">
        <v>131</v>
      </c>
    </row>
    <row r="2918">
      <c r="A2918" s="1">
        <v>43396.710880439816</v>
      </c>
      <c r="B2918" s="3" t="s">
        <v>184</v>
      </c>
      <c r="C2918" s="2" t="s">
        <v>185</v>
      </c>
    </row>
    <row r="2919">
      <c r="A2919" s="1">
        <v>43397.7956709375</v>
      </c>
      <c r="B2919" s="3" t="s">
        <v>184</v>
      </c>
      <c r="C2919" s="2" t="s">
        <v>185</v>
      </c>
    </row>
    <row r="2920">
      <c r="A2920" s="1">
        <v>43399.6203364699</v>
      </c>
      <c r="B2920" s="2">
        <v>667.0</v>
      </c>
      <c r="C2920" s="2" t="s">
        <v>73</v>
      </c>
    </row>
    <row r="2921">
      <c r="A2921" s="1">
        <v>43401.40820622686</v>
      </c>
      <c r="B2921" s="2">
        <v>246.0</v>
      </c>
      <c r="C2921" s="2" t="s">
        <v>26</v>
      </c>
    </row>
    <row r="2922">
      <c r="A2922" s="1">
        <v>43401.42040002315</v>
      </c>
      <c r="B2922" s="3" t="s">
        <v>42</v>
      </c>
      <c r="C2922" s="2" t="s">
        <v>43</v>
      </c>
    </row>
    <row r="2923">
      <c r="A2923" s="1">
        <v>43401.42062984954</v>
      </c>
      <c r="B2923" s="3" t="s">
        <v>42</v>
      </c>
      <c r="C2923" s="2" t="s">
        <v>43</v>
      </c>
    </row>
    <row r="2924">
      <c r="A2924" s="1">
        <v>43401.420769131946</v>
      </c>
      <c r="B2924" s="2">
        <v>632.0</v>
      </c>
    </row>
    <row r="2925">
      <c r="A2925" s="1">
        <v>43401.425283136574</v>
      </c>
      <c r="B2925" s="2">
        <v>721.0</v>
      </c>
      <c r="C2925" s="2" t="s">
        <v>156</v>
      </c>
      <c r="D2925" s="2" t="s">
        <v>5</v>
      </c>
    </row>
    <row r="2926">
      <c r="A2926" s="1">
        <v>43401.4253359838</v>
      </c>
      <c r="B2926" s="2">
        <v>721.0</v>
      </c>
      <c r="C2926" s="2" t="s">
        <v>156</v>
      </c>
      <c r="D2926" s="2" t="s">
        <v>5</v>
      </c>
    </row>
    <row r="2927">
      <c r="A2927" s="1">
        <v>43401.42542351852</v>
      </c>
      <c r="B2927" s="2">
        <v>721.0</v>
      </c>
      <c r="C2927" s="2" t="s">
        <v>156</v>
      </c>
      <c r="D2927" s="2" t="s">
        <v>5</v>
      </c>
    </row>
    <row r="2928">
      <c r="A2928" s="1">
        <v>43401.42659512731</v>
      </c>
      <c r="B2928" s="2">
        <v>165.0</v>
      </c>
      <c r="C2928" s="2" t="s">
        <v>50</v>
      </c>
    </row>
    <row r="2929">
      <c r="A2929" s="1">
        <v>43401.42676446759</v>
      </c>
      <c r="B2929" s="2">
        <v>253.0</v>
      </c>
      <c r="C2929" s="2" t="s">
        <v>138</v>
      </c>
    </row>
    <row r="2930">
      <c r="A2930" s="1">
        <v>43401.42691202546</v>
      </c>
      <c r="B2930" s="3" t="s">
        <v>88</v>
      </c>
      <c r="C2930" s="2" t="s">
        <v>89</v>
      </c>
    </row>
    <row r="2931">
      <c r="A2931" s="1">
        <v>43401.426953472226</v>
      </c>
      <c r="B2931" s="2">
        <v>253.0</v>
      </c>
      <c r="C2931" s="2" t="s">
        <v>138</v>
      </c>
    </row>
    <row r="2932">
      <c r="A2932" s="1">
        <v>43401.42713228009</v>
      </c>
      <c r="B2932" s="2">
        <v>201.0</v>
      </c>
      <c r="C2932" s="2" t="s">
        <v>70</v>
      </c>
    </row>
    <row r="2933">
      <c r="A2933" s="1">
        <v>43401.4271712037</v>
      </c>
      <c r="B2933" s="2">
        <v>253.0</v>
      </c>
      <c r="C2933" s="2" t="s">
        <v>138</v>
      </c>
    </row>
    <row r="2934">
      <c r="A2934" s="1">
        <v>43401.42727230324</v>
      </c>
      <c r="B2934" s="3" t="s">
        <v>162</v>
      </c>
      <c r="C2934" s="2" t="s">
        <v>163</v>
      </c>
    </row>
    <row r="2935">
      <c r="A2935" s="1">
        <v>43401.42733710648</v>
      </c>
      <c r="B2935" s="2">
        <v>253.0</v>
      </c>
      <c r="C2935" s="2" t="s">
        <v>138</v>
      </c>
    </row>
    <row r="2936">
      <c r="A2936" s="1">
        <v>43401.42750302084</v>
      </c>
      <c r="B2936" s="3" t="s">
        <v>51</v>
      </c>
      <c r="C2936" s="2" t="s">
        <v>52</v>
      </c>
    </row>
    <row r="2937">
      <c r="A2937" s="1">
        <v>43401.42754608796</v>
      </c>
      <c r="B2937" s="2">
        <v>253.0</v>
      </c>
      <c r="C2937" s="2" t="s">
        <v>138</v>
      </c>
    </row>
    <row r="2938">
      <c r="A2938" s="1">
        <v>43401.4277356713</v>
      </c>
      <c r="B2938" s="2">
        <v>613.0</v>
      </c>
      <c r="C2938" s="2" t="s">
        <v>124</v>
      </c>
    </row>
    <row r="2939">
      <c r="A2939" s="1">
        <v>43401.42778023148</v>
      </c>
      <c r="B2939" s="2">
        <v>253.0</v>
      </c>
      <c r="C2939" s="2" t="s">
        <v>138</v>
      </c>
    </row>
    <row r="2940">
      <c r="A2940" s="1">
        <v>43401.42781793981</v>
      </c>
      <c r="B2940" s="2">
        <v>614.0</v>
      </c>
      <c r="C2940" s="2" t="s">
        <v>76</v>
      </c>
    </row>
    <row r="2941">
      <c r="A2941" s="1">
        <v>43401.42785087963</v>
      </c>
      <c r="B2941" s="2">
        <v>253.0</v>
      </c>
      <c r="C2941" s="2" t="s">
        <v>138</v>
      </c>
    </row>
    <row r="2942">
      <c r="A2942" s="1">
        <v>43401.42796583333</v>
      </c>
      <c r="B2942" s="2">
        <v>735.0</v>
      </c>
      <c r="C2942" s="2" t="s">
        <v>37</v>
      </c>
      <c r="D2942" s="2" t="s">
        <v>5</v>
      </c>
    </row>
    <row r="2943">
      <c r="A2943" s="1">
        <v>43401.42804111111</v>
      </c>
      <c r="B2943" s="2">
        <v>253.0</v>
      </c>
      <c r="C2943" s="2" t="s">
        <v>138</v>
      </c>
    </row>
    <row r="2944">
      <c r="A2944" s="1">
        <v>43401.4287415625</v>
      </c>
      <c r="B2944" s="2">
        <v>219.0</v>
      </c>
      <c r="C2944" s="2" t="s">
        <v>31</v>
      </c>
    </row>
    <row r="2945">
      <c r="A2945" s="1">
        <v>43401.42883315972</v>
      </c>
      <c r="B2945" s="2">
        <v>207.0</v>
      </c>
      <c r="C2945" s="2" t="s">
        <v>85</v>
      </c>
    </row>
    <row r="2946">
      <c r="A2946" s="1">
        <v>43401.428972951384</v>
      </c>
      <c r="B2946" s="3" t="s">
        <v>159</v>
      </c>
      <c r="C2946" s="2" t="s">
        <v>160</v>
      </c>
    </row>
    <row r="2947">
      <c r="A2947" s="1">
        <v>43401.42901523148</v>
      </c>
      <c r="B2947" s="2">
        <v>253.0</v>
      </c>
      <c r="C2947" s="2" t="s">
        <v>138</v>
      </c>
    </row>
    <row r="2948">
      <c r="A2948" s="1">
        <v>43401.42916459491</v>
      </c>
      <c r="B2948" s="2">
        <v>173.0</v>
      </c>
      <c r="C2948" s="2" t="s">
        <v>24</v>
      </c>
    </row>
    <row r="2949">
      <c r="A2949" s="1">
        <v>43401.42921530093</v>
      </c>
      <c r="B2949" s="2">
        <v>253.0</v>
      </c>
      <c r="C2949" s="2" t="s">
        <v>138</v>
      </c>
    </row>
    <row r="2950">
      <c r="A2950" s="1">
        <v>43401.42955395833</v>
      </c>
      <c r="B2950" s="3" t="s">
        <v>111</v>
      </c>
      <c r="C2950" s="2" t="s">
        <v>112</v>
      </c>
    </row>
    <row r="2951">
      <c r="A2951" s="1">
        <v>43401.42958984953</v>
      </c>
      <c r="B2951" s="2">
        <v>253.0</v>
      </c>
      <c r="C2951" s="2" t="s">
        <v>138</v>
      </c>
    </row>
    <row r="2952">
      <c r="A2952" s="1">
        <v>43401.429801782404</v>
      </c>
      <c r="B2952" s="2">
        <v>231.0</v>
      </c>
      <c r="C2952" s="2" t="s">
        <v>61</v>
      </c>
    </row>
    <row r="2953">
      <c r="A2953" s="1">
        <v>43401.4299562963</v>
      </c>
      <c r="B2953" s="2">
        <v>193.0</v>
      </c>
      <c r="C2953" s="2" t="s">
        <v>30</v>
      </c>
    </row>
    <row r="2954">
      <c r="A2954" s="1">
        <v>43401.430004340276</v>
      </c>
      <c r="B2954" s="2">
        <v>253.0</v>
      </c>
      <c r="C2954" s="2" t="s">
        <v>138</v>
      </c>
    </row>
    <row r="2955">
      <c r="A2955" s="1">
        <v>43401.430309375</v>
      </c>
      <c r="B2955" s="3" t="s">
        <v>32</v>
      </c>
      <c r="C2955" s="2" t="s">
        <v>33</v>
      </c>
    </row>
    <row r="2956">
      <c r="A2956" s="1">
        <v>43401.43035091435</v>
      </c>
      <c r="B2956" s="2">
        <v>253.0</v>
      </c>
      <c r="C2956" s="2" t="s">
        <v>138</v>
      </c>
    </row>
    <row r="2957">
      <c r="A2957" s="1">
        <v>43401.430423680555</v>
      </c>
      <c r="B2957" s="2">
        <v>113.0</v>
      </c>
      <c r="C2957" s="2" t="s">
        <v>29</v>
      </c>
    </row>
    <row r="2958">
      <c r="A2958" s="1">
        <v>43401.43051199074</v>
      </c>
      <c r="B2958" s="2">
        <v>253.0</v>
      </c>
      <c r="C2958" s="2" t="s">
        <v>138</v>
      </c>
    </row>
    <row r="2959">
      <c r="A2959" s="1">
        <v>43401.43072082176</v>
      </c>
      <c r="B2959" s="2">
        <v>214.0</v>
      </c>
      <c r="C2959" s="2" t="s">
        <v>47</v>
      </c>
    </row>
    <row r="2960">
      <c r="A2960" s="1">
        <v>43401.430792326384</v>
      </c>
      <c r="B2960" s="2">
        <v>253.0</v>
      </c>
      <c r="C2960" s="2" t="s">
        <v>138</v>
      </c>
    </row>
    <row r="2961">
      <c r="A2961" s="1">
        <v>43401.43115962963</v>
      </c>
      <c r="B2961" s="2">
        <v>238.0</v>
      </c>
      <c r="C2961" s="2" t="s">
        <v>35</v>
      </c>
    </row>
    <row r="2962">
      <c r="A2962" s="1">
        <v>43401.43135028935</v>
      </c>
      <c r="B2962" s="2">
        <v>253.0</v>
      </c>
      <c r="C2962" s="2" t="s">
        <v>138</v>
      </c>
    </row>
    <row r="2963">
      <c r="A2963" s="1">
        <v>43401.431425312505</v>
      </c>
      <c r="B2963" s="2">
        <v>157.0</v>
      </c>
      <c r="C2963" s="2" t="s">
        <v>141</v>
      </c>
    </row>
    <row r="2964">
      <c r="A2964" s="1">
        <v>43401.43150726851</v>
      </c>
      <c r="B2964" s="2">
        <v>253.0</v>
      </c>
      <c r="C2964" s="2" t="s">
        <v>138</v>
      </c>
    </row>
    <row r="2965">
      <c r="A2965" s="1">
        <v>43401.431600393524</v>
      </c>
      <c r="B2965" s="2">
        <v>244.0</v>
      </c>
      <c r="C2965" s="2" t="s">
        <v>38</v>
      </c>
    </row>
    <row r="2966">
      <c r="A2966" s="1">
        <v>43401.43190188658</v>
      </c>
      <c r="B2966" s="2">
        <v>253.0</v>
      </c>
      <c r="C2966" s="2" t="s">
        <v>138</v>
      </c>
    </row>
    <row r="2967">
      <c r="A2967" s="1">
        <v>43401.43269648148</v>
      </c>
      <c r="B2967" s="2">
        <v>737.0</v>
      </c>
      <c r="C2967" s="2" t="s">
        <v>176</v>
      </c>
      <c r="D2967" s="2" t="s">
        <v>5</v>
      </c>
    </row>
    <row r="2968">
      <c r="A2968" s="1">
        <v>43401.43274193287</v>
      </c>
      <c r="B2968" s="2">
        <v>253.0</v>
      </c>
      <c r="C2968" s="2" t="s">
        <v>138</v>
      </c>
    </row>
    <row r="2969">
      <c r="A2969" s="1">
        <v>43401.43301574074</v>
      </c>
      <c r="B2969" s="2">
        <v>167.0</v>
      </c>
      <c r="C2969" s="2" t="s">
        <v>39</v>
      </c>
    </row>
    <row r="2970">
      <c r="A2970" s="1">
        <v>43401.43353675926</v>
      </c>
      <c r="B2970" s="2">
        <v>706.0</v>
      </c>
      <c r="C2970" s="2" t="s">
        <v>149</v>
      </c>
      <c r="D2970" s="2" t="s">
        <v>5</v>
      </c>
    </row>
    <row r="2971">
      <c r="A2971" s="1">
        <v>43401.43358077546</v>
      </c>
      <c r="B2971" s="2">
        <v>52.0</v>
      </c>
      <c r="C2971" s="2" t="s">
        <v>41</v>
      </c>
    </row>
    <row r="2972">
      <c r="A2972" s="1">
        <v>43401.43360289352</v>
      </c>
      <c r="B2972" s="2">
        <v>667.0</v>
      </c>
      <c r="C2972" s="2" t="s">
        <v>73</v>
      </c>
    </row>
    <row r="2973">
      <c r="A2973" s="1">
        <v>43401.43365377314</v>
      </c>
      <c r="B2973" s="2">
        <v>253.0</v>
      </c>
      <c r="C2973" s="2" t="s">
        <v>138</v>
      </c>
    </row>
    <row r="2974">
      <c r="A2974" s="1">
        <v>43401.43435497685</v>
      </c>
      <c r="B2974" s="2">
        <v>663.0</v>
      </c>
      <c r="C2974" s="2" t="s">
        <v>109</v>
      </c>
    </row>
    <row r="2975">
      <c r="A2975" s="1">
        <v>43401.43439461806</v>
      </c>
      <c r="B2975" s="2">
        <v>253.0</v>
      </c>
      <c r="C2975" s="2" t="s">
        <v>138</v>
      </c>
    </row>
    <row r="2976">
      <c r="A2976" s="1">
        <v>43401.43454079861</v>
      </c>
      <c r="B2976" s="2">
        <v>733.0</v>
      </c>
      <c r="C2976" s="2" t="s">
        <v>110</v>
      </c>
      <c r="D2976" s="2" t="s">
        <v>5</v>
      </c>
    </row>
    <row r="2977">
      <c r="A2977" s="1">
        <v>43401.43460378472</v>
      </c>
      <c r="B2977" s="2">
        <v>253.0</v>
      </c>
      <c r="C2977" s="2" t="s">
        <v>138</v>
      </c>
    </row>
    <row r="2978">
      <c r="A2978" s="1">
        <v>43401.434775104164</v>
      </c>
      <c r="B2978" s="2">
        <v>253.0</v>
      </c>
      <c r="C2978" s="2" t="s">
        <v>138</v>
      </c>
    </row>
    <row r="2979">
      <c r="A2979" s="1">
        <v>43401.43487333333</v>
      </c>
      <c r="B2979" s="2">
        <v>253.0</v>
      </c>
      <c r="C2979" s="2" t="s">
        <v>138</v>
      </c>
    </row>
    <row r="2980">
      <c r="A2980" s="1">
        <v>43401.43491606481</v>
      </c>
      <c r="B2980" s="2">
        <v>257.0</v>
      </c>
      <c r="C2980" s="2" t="s">
        <v>27</v>
      </c>
    </row>
    <row r="2981">
      <c r="A2981" s="1">
        <v>43401.43498497685</v>
      </c>
      <c r="B2981" s="2">
        <v>253.0</v>
      </c>
      <c r="C2981" s="2" t="s">
        <v>138</v>
      </c>
    </row>
    <row r="2982">
      <c r="A2982" s="1">
        <v>43401.43597427083</v>
      </c>
      <c r="B2982" s="2">
        <v>607.0</v>
      </c>
      <c r="C2982" s="2" t="s">
        <v>68</v>
      </c>
    </row>
    <row r="2983">
      <c r="A2983" s="1">
        <v>43401.43600003472</v>
      </c>
      <c r="B2983" s="2">
        <v>611.0</v>
      </c>
      <c r="C2983" s="2" t="s">
        <v>143</v>
      </c>
    </row>
    <row r="2984">
      <c r="A2984" s="1">
        <v>43401.43608864583</v>
      </c>
      <c r="B2984" s="2">
        <v>253.0</v>
      </c>
      <c r="C2984" s="2" t="s">
        <v>138</v>
      </c>
    </row>
    <row r="2985">
      <c r="A2985" s="1">
        <v>43401.43622928241</v>
      </c>
      <c r="B2985" s="2">
        <v>667.0</v>
      </c>
      <c r="C2985" s="2" t="s">
        <v>73</v>
      </c>
    </row>
    <row r="2986">
      <c r="A2986" s="1">
        <v>43401.436385891204</v>
      </c>
      <c r="B2986" s="2">
        <v>706.0</v>
      </c>
      <c r="C2986" s="2" t="s">
        <v>149</v>
      </c>
      <c r="D2986" s="2" t="s">
        <v>5</v>
      </c>
    </row>
    <row r="2987">
      <c r="A2987" s="1">
        <v>43401.43647810185</v>
      </c>
      <c r="B2987" s="3" t="s">
        <v>150</v>
      </c>
      <c r="C2987" s="2" t="s">
        <v>151</v>
      </c>
    </row>
    <row r="2988">
      <c r="A2988" s="1">
        <v>43401.436582662034</v>
      </c>
      <c r="B2988" s="3" t="s">
        <v>74</v>
      </c>
      <c r="C2988" s="2" t="s">
        <v>75</v>
      </c>
    </row>
    <row r="2989">
      <c r="A2989" s="1">
        <v>43401.43689641204</v>
      </c>
      <c r="B2989" s="2">
        <v>607.0</v>
      </c>
      <c r="C2989" s="2" t="s">
        <v>68</v>
      </c>
    </row>
    <row r="2990">
      <c r="A2990" s="1">
        <v>43401.43719010417</v>
      </c>
      <c r="B2990" s="2">
        <v>172.0</v>
      </c>
      <c r="C2990" s="2" t="s">
        <v>65</v>
      </c>
    </row>
    <row r="2991">
      <c r="A2991" s="1">
        <v>43401.43723623843</v>
      </c>
      <c r="B2991" s="2">
        <v>253.0</v>
      </c>
      <c r="C2991" s="2" t="s">
        <v>138</v>
      </c>
    </row>
    <row r="2992">
      <c r="A2992" s="1">
        <v>43401.437281446764</v>
      </c>
      <c r="B2992" s="2">
        <v>672.0</v>
      </c>
      <c r="C2992" s="2" t="s">
        <v>6</v>
      </c>
    </row>
    <row r="2993">
      <c r="A2993" s="1">
        <v>43401.43740709491</v>
      </c>
      <c r="B2993" s="3" t="s">
        <v>126</v>
      </c>
      <c r="C2993" s="2" t="s">
        <v>127</v>
      </c>
    </row>
    <row r="2994">
      <c r="A2994" s="1">
        <v>43401.43751618055</v>
      </c>
      <c r="B2994" s="2">
        <v>253.0</v>
      </c>
      <c r="C2994" s="2" t="s">
        <v>138</v>
      </c>
    </row>
    <row r="2995">
      <c r="A2995" s="1">
        <v>43401.437652430555</v>
      </c>
      <c r="B2995" s="3" t="s">
        <v>78</v>
      </c>
      <c r="C2995" s="2" t="s">
        <v>79</v>
      </c>
    </row>
    <row r="2996">
      <c r="A2996" s="1">
        <v>43401.43768203704</v>
      </c>
      <c r="B2996" s="2">
        <v>253.0</v>
      </c>
      <c r="C2996" s="2" t="s">
        <v>138</v>
      </c>
    </row>
    <row r="2997">
      <c r="A2997" s="1">
        <v>43401.43779859954</v>
      </c>
      <c r="B2997" s="3" t="s">
        <v>11</v>
      </c>
      <c r="C2997" s="2" t="s">
        <v>12</v>
      </c>
    </row>
    <row r="2998">
      <c r="A2998" s="1">
        <v>43401.43784483796</v>
      </c>
      <c r="B2998" s="2">
        <v>253.0</v>
      </c>
      <c r="C2998" s="2" t="s">
        <v>138</v>
      </c>
    </row>
    <row r="2999">
      <c r="A2999" s="1">
        <v>43401.438070613425</v>
      </c>
      <c r="B2999" s="2">
        <v>723.0</v>
      </c>
      <c r="C2999" s="2" t="s">
        <v>84</v>
      </c>
      <c r="D2999" s="2" t="s">
        <v>5</v>
      </c>
    </row>
    <row r="3000">
      <c r="A3000" s="1">
        <v>43401.43814091435</v>
      </c>
      <c r="B3000" s="2">
        <v>253.0</v>
      </c>
      <c r="C3000" s="2" t="s">
        <v>138</v>
      </c>
    </row>
    <row r="3001">
      <c r="A3001" s="1">
        <v>43401.43839217593</v>
      </c>
      <c r="B3001" s="3" t="s">
        <v>82</v>
      </c>
      <c r="C3001" s="2" t="s">
        <v>83</v>
      </c>
    </row>
    <row r="3002">
      <c r="A3002" s="1">
        <v>43401.4385639699</v>
      </c>
      <c r="B3002" s="2">
        <v>253.0</v>
      </c>
      <c r="C3002" s="2" t="s">
        <v>138</v>
      </c>
    </row>
    <row r="3003">
      <c r="A3003" s="1">
        <v>43401.43904927083</v>
      </c>
      <c r="B3003" s="2">
        <v>126.0</v>
      </c>
      <c r="C3003" s="2" t="s">
        <v>87</v>
      </c>
    </row>
    <row r="3004">
      <c r="A3004" s="1">
        <v>43401.43911559028</v>
      </c>
      <c r="B3004" s="2">
        <v>253.0</v>
      </c>
      <c r="C3004" s="2" t="s">
        <v>138</v>
      </c>
    </row>
    <row r="3005">
      <c r="A3005" s="1">
        <v>43401.43929175926</v>
      </c>
      <c r="B3005" s="2">
        <v>716.0</v>
      </c>
      <c r="C3005" s="2" t="s">
        <v>123</v>
      </c>
      <c r="D3005" s="2" t="s">
        <v>5</v>
      </c>
    </row>
    <row r="3006">
      <c r="A3006" s="1">
        <v>43401.43933498843</v>
      </c>
      <c r="B3006" s="2">
        <v>253.0</v>
      </c>
      <c r="C3006" s="2" t="s">
        <v>138</v>
      </c>
    </row>
    <row r="3007">
      <c r="A3007" s="1">
        <v>43401.439452719904</v>
      </c>
      <c r="B3007" s="2">
        <v>671.0</v>
      </c>
      <c r="C3007" s="2" t="s">
        <v>129</v>
      </c>
    </row>
    <row r="3008">
      <c r="A3008" s="1">
        <v>43401.43969028935</v>
      </c>
      <c r="B3008" s="2">
        <v>670.0</v>
      </c>
      <c r="C3008" s="2" t="s">
        <v>139</v>
      </c>
    </row>
    <row r="3009">
      <c r="A3009" s="1">
        <v>43401.440255277776</v>
      </c>
      <c r="B3009" s="3" t="s">
        <v>98</v>
      </c>
      <c r="C3009" s="2" t="s">
        <v>99</v>
      </c>
    </row>
    <row r="3010">
      <c r="A3010" s="1">
        <v>43401.44132244213</v>
      </c>
      <c r="B3010" s="2">
        <v>208.0</v>
      </c>
      <c r="C3010" s="2" t="s">
        <v>182</v>
      </c>
    </row>
    <row r="3011">
      <c r="A3011" s="1">
        <v>43401.44176515046</v>
      </c>
      <c r="B3011" s="2">
        <v>253.0</v>
      </c>
      <c r="C3011" s="2" t="s">
        <v>138</v>
      </c>
    </row>
    <row r="3012">
      <c r="A3012" s="1">
        <v>43401.441775914354</v>
      </c>
      <c r="B3012" s="3" t="s">
        <v>98</v>
      </c>
      <c r="C3012" s="2" t="s">
        <v>99</v>
      </c>
    </row>
    <row r="3013">
      <c r="A3013" s="1">
        <v>43401.441790798606</v>
      </c>
      <c r="B3013" s="2">
        <v>253.0</v>
      </c>
      <c r="C3013" s="2" t="s">
        <v>138</v>
      </c>
    </row>
    <row r="3014">
      <c r="A3014" s="1">
        <v>43401.44189148148</v>
      </c>
      <c r="B3014" s="3" t="s">
        <v>80</v>
      </c>
      <c r="C3014" s="2" t="s">
        <v>81</v>
      </c>
    </row>
    <row r="3015">
      <c r="A3015" s="1">
        <v>43401.44222322917</v>
      </c>
      <c r="B3015" s="2">
        <v>726.0</v>
      </c>
      <c r="C3015" s="2" t="s">
        <v>101</v>
      </c>
      <c r="D3015" s="2" t="s">
        <v>5</v>
      </c>
    </row>
    <row r="3016">
      <c r="A3016" s="1">
        <v>43401.44228641204</v>
      </c>
      <c r="B3016" s="2">
        <v>253.0</v>
      </c>
      <c r="C3016" s="2" t="s">
        <v>138</v>
      </c>
    </row>
    <row r="3017">
      <c r="A3017" s="1">
        <v>43401.4445309375</v>
      </c>
      <c r="B3017" s="2">
        <v>267.0</v>
      </c>
      <c r="C3017" s="2" t="s">
        <v>115</v>
      </c>
    </row>
    <row r="3018">
      <c r="A3018" s="1">
        <v>43401.444603310185</v>
      </c>
      <c r="B3018" s="2">
        <v>253.0</v>
      </c>
      <c r="C3018" s="2" t="s">
        <v>138</v>
      </c>
    </row>
    <row r="3019">
      <c r="A3019" s="1">
        <v>43401.44510890046</v>
      </c>
      <c r="B3019" s="2">
        <v>52.0</v>
      </c>
      <c r="C3019" s="2" t="s">
        <v>41</v>
      </c>
    </row>
    <row r="3020">
      <c r="A3020" s="1">
        <v>43401.44515652778</v>
      </c>
      <c r="B3020" s="2">
        <v>253.0</v>
      </c>
      <c r="C3020" s="2" t="s">
        <v>138</v>
      </c>
    </row>
    <row r="3021">
      <c r="A3021" s="1">
        <v>43401.448427083335</v>
      </c>
      <c r="B3021" s="3" t="s">
        <v>103</v>
      </c>
      <c r="C3021" s="2" t="s">
        <v>104</v>
      </c>
    </row>
    <row r="3022">
      <c r="A3022" s="1">
        <v>43401.44849875</v>
      </c>
      <c r="B3022" s="2">
        <v>253.0</v>
      </c>
      <c r="C3022" s="2" t="s">
        <v>138</v>
      </c>
    </row>
    <row r="3023">
      <c r="A3023" s="1">
        <v>43401.44931797453</v>
      </c>
      <c r="B3023" s="3" t="s">
        <v>103</v>
      </c>
      <c r="C3023" s="2" t="s">
        <v>104</v>
      </c>
    </row>
    <row r="3024">
      <c r="A3024" s="1">
        <v>43401.450974004634</v>
      </c>
      <c r="B3024" s="2">
        <v>210.0</v>
      </c>
      <c r="C3024" s="2" t="s">
        <v>64</v>
      </c>
    </row>
    <row r="3025">
      <c r="A3025" s="1">
        <v>43401.451090138886</v>
      </c>
      <c r="B3025" s="2">
        <v>262.0</v>
      </c>
      <c r="C3025" s="2" t="s">
        <v>28</v>
      </c>
    </row>
    <row r="3026">
      <c r="A3026" s="1">
        <v>43401.45162025463</v>
      </c>
      <c r="B3026" s="2">
        <v>157.0</v>
      </c>
      <c r="C3026" s="2" t="s">
        <v>141</v>
      </c>
    </row>
    <row r="3027">
      <c r="A3027" s="1">
        <v>43401.451658171296</v>
      </c>
      <c r="B3027" s="2">
        <v>253.0</v>
      </c>
      <c r="C3027" s="2" t="s">
        <v>138</v>
      </c>
    </row>
    <row r="3028">
      <c r="A3028" s="1">
        <v>43401.45174952546</v>
      </c>
      <c r="B3028" s="2">
        <v>157.0</v>
      </c>
      <c r="C3028" s="2" t="s">
        <v>141</v>
      </c>
    </row>
    <row r="3029">
      <c r="A3029" s="1">
        <v>43401.45178005787</v>
      </c>
      <c r="B3029" s="2">
        <v>253.0</v>
      </c>
      <c r="C3029" s="2" t="s">
        <v>138</v>
      </c>
    </row>
    <row r="3030">
      <c r="A3030" s="1">
        <v>43401.451964305554</v>
      </c>
      <c r="B3030" s="2">
        <v>231.0</v>
      </c>
      <c r="C3030" s="2" t="s">
        <v>61</v>
      </c>
    </row>
    <row r="3031">
      <c r="A3031" s="1">
        <v>43401.452014317125</v>
      </c>
      <c r="B3031" s="2">
        <v>253.0</v>
      </c>
      <c r="C3031" s="2" t="s">
        <v>138</v>
      </c>
    </row>
    <row r="3032">
      <c r="A3032" s="1">
        <v>43401.45214709491</v>
      </c>
      <c r="B3032" s="2">
        <v>705.0</v>
      </c>
      <c r="C3032" s="2" t="s">
        <v>168</v>
      </c>
      <c r="D3032" s="2" t="s">
        <v>5</v>
      </c>
    </row>
    <row r="3033">
      <c r="A3033" s="1">
        <v>43401.45218898148</v>
      </c>
      <c r="B3033" s="2">
        <v>253.0</v>
      </c>
      <c r="C3033" s="2" t="s">
        <v>138</v>
      </c>
    </row>
    <row r="3034">
      <c r="A3034" s="1">
        <v>43401.45554418981</v>
      </c>
      <c r="B3034" s="2">
        <v>101.0</v>
      </c>
      <c r="C3034" s="2" t="s">
        <v>108</v>
      </c>
    </row>
    <row r="3035">
      <c r="A3035" s="1">
        <v>43401.455644120375</v>
      </c>
      <c r="B3035" s="2">
        <v>253.0</v>
      </c>
      <c r="C3035" s="2" t="s">
        <v>138</v>
      </c>
    </row>
    <row r="3036">
      <c r="A3036" s="1">
        <v>43401.45570659722</v>
      </c>
      <c r="B3036" s="2">
        <v>124.0</v>
      </c>
      <c r="C3036" s="2" t="s">
        <v>107</v>
      </c>
    </row>
    <row r="3037">
      <c r="A3037" s="1">
        <v>43401.455949201394</v>
      </c>
      <c r="B3037" s="2">
        <v>718.0</v>
      </c>
      <c r="C3037" s="2" t="s">
        <v>105</v>
      </c>
      <c r="D3037" s="2" t="s">
        <v>5</v>
      </c>
    </row>
    <row r="3038">
      <c r="A3038" s="1">
        <v>43401.45599633102</v>
      </c>
      <c r="B3038" s="2">
        <v>719.0</v>
      </c>
      <c r="C3038" s="2" t="s">
        <v>106</v>
      </c>
      <c r="D3038" s="2" t="s">
        <v>5</v>
      </c>
    </row>
    <row r="3039">
      <c r="A3039" s="1">
        <v>43401.45632704861</v>
      </c>
      <c r="B3039" s="2">
        <v>609.0</v>
      </c>
      <c r="C3039" s="2" t="s">
        <v>179</v>
      </c>
    </row>
    <row r="3040">
      <c r="A3040" s="1">
        <v>43401.457796875</v>
      </c>
      <c r="B3040" s="2">
        <v>632.0</v>
      </c>
      <c r="C3040" s="2" t="s">
        <v>146</v>
      </c>
    </row>
    <row r="3041">
      <c r="A3041" s="1">
        <v>43401.464132939815</v>
      </c>
      <c r="B3041" s="2">
        <v>237.0</v>
      </c>
      <c r="C3041" s="2" t="s">
        <v>140</v>
      </c>
    </row>
    <row r="3042">
      <c r="A3042" s="1">
        <v>43401.464315868056</v>
      </c>
      <c r="B3042" s="2">
        <v>670.0</v>
      </c>
      <c r="C3042" s="2" t="s">
        <v>139</v>
      </c>
    </row>
    <row r="3043">
      <c r="A3043" s="1">
        <v>43401.46438628472</v>
      </c>
      <c r="B3043" s="2">
        <v>671.0</v>
      </c>
      <c r="C3043" s="2" t="s">
        <v>129</v>
      </c>
    </row>
    <row r="3044">
      <c r="A3044" s="1">
        <v>43401.46475615741</v>
      </c>
      <c r="B3044" s="3" t="s">
        <v>113</v>
      </c>
      <c r="C3044" s="2" t="s">
        <v>114</v>
      </c>
    </row>
    <row r="3045">
      <c r="A3045" s="1">
        <v>43401.466200497685</v>
      </c>
      <c r="B3045" s="2">
        <v>602.0</v>
      </c>
      <c r="C3045" s="2" t="s">
        <v>131</v>
      </c>
    </row>
    <row r="3046">
      <c r="A3046" s="1">
        <v>43401.47053377314</v>
      </c>
      <c r="B3046" s="2">
        <v>736.0</v>
      </c>
      <c r="C3046" s="2" t="s">
        <v>175</v>
      </c>
      <c r="D3046" s="2" t="s">
        <v>5</v>
      </c>
    </row>
    <row r="3047">
      <c r="A3047" s="1">
        <v>43401.470665914356</v>
      </c>
      <c r="B3047" s="2">
        <v>708.0</v>
      </c>
      <c r="C3047" s="2" t="s">
        <v>4</v>
      </c>
      <c r="D3047" s="2" t="s">
        <v>5</v>
      </c>
    </row>
    <row r="3048">
      <c r="A3048" s="1">
        <v>43401.470760625</v>
      </c>
      <c r="B3048" s="2">
        <v>709.0</v>
      </c>
      <c r="C3048" s="2" t="s">
        <v>20</v>
      </c>
      <c r="D3048" s="2" t="s">
        <v>5</v>
      </c>
    </row>
    <row r="3049">
      <c r="A3049" s="1">
        <v>43401.47106616898</v>
      </c>
      <c r="B3049" s="2">
        <v>710.0</v>
      </c>
      <c r="C3049" s="2" t="s">
        <v>21</v>
      </c>
      <c r="D3049" s="2" t="s">
        <v>5</v>
      </c>
    </row>
    <row r="3050">
      <c r="A3050" s="1">
        <v>43401.47118123843</v>
      </c>
      <c r="B3050" s="2">
        <v>713.0</v>
      </c>
      <c r="C3050" s="2" t="s">
        <v>121</v>
      </c>
      <c r="D3050" s="2" t="s">
        <v>5</v>
      </c>
    </row>
    <row r="3051">
      <c r="A3051" s="1">
        <v>43401.471275104166</v>
      </c>
      <c r="B3051" s="2">
        <v>714.0</v>
      </c>
      <c r="C3051" s="2" t="s">
        <v>122</v>
      </c>
      <c r="D3051" s="2" t="s">
        <v>5</v>
      </c>
    </row>
    <row r="3052">
      <c r="A3052" s="1">
        <v>43401.471517384256</v>
      </c>
      <c r="B3052" s="3" t="s">
        <v>9</v>
      </c>
      <c r="C3052" s="2" t="s">
        <v>10</v>
      </c>
    </row>
    <row r="3053">
      <c r="A3053" s="1">
        <v>43401.47162490741</v>
      </c>
      <c r="B3053" s="3" t="s">
        <v>119</v>
      </c>
      <c r="C3053" s="2" t="s">
        <v>120</v>
      </c>
    </row>
    <row r="3054">
      <c r="A3054" s="1">
        <v>43401.47243460648</v>
      </c>
      <c r="B3054" s="2">
        <v>268.0</v>
      </c>
      <c r="C3054" s="2" t="s">
        <v>205</v>
      </c>
    </row>
    <row r="3055">
      <c r="A3055" s="1">
        <v>43401.47434115741</v>
      </c>
      <c r="B3055" s="2">
        <v>252.0</v>
      </c>
      <c r="C3055" s="2" t="s">
        <v>34</v>
      </c>
    </row>
    <row r="3056">
      <c r="A3056" s="1">
        <v>43401.47822873843</v>
      </c>
      <c r="B3056" s="2">
        <v>175.0</v>
      </c>
      <c r="C3056" s="2" t="s">
        <v>69</v>
      </c>
    </row>
    <row r="3057">
      <c r="A3057" s="1">
        <v>43401.64177989583</v>
      </c>
      <c r="B3057" s="2">
        <v>252.0</v>
      </c>
      <c r="C3057" s="2" t="s">
        <v>34</v>
      </c>
    </row>
    <row r="3058">
      <c r="A3058" s="1">
        <v>43401.64210761574</v>
      </c>
      <c r="B3058" s="2">
        <v>252.0</v>
      </c>
      <c r="C3058" s="2" t="s">
        <v>34</v>
      </c>
    </row>
    <row r="3059">
      <c r="A3059" s="1">
        <v>43401.71627924769</v>
      </c>
      <c r="B3059" s="2">
        <v>611.0</v>
      </c>
      <c r="C3059" s="2" t="s">
        <v>143</v>
      </c>
    </row>
    <row r="3060">
      <c r="A3060" s="1">
        <v>43401.71662162037</v>
      </c>
      <c r="B3060" s="2">
        <v>611.0</v>
      </c>
      <c r="C3060" s="2" t="s">
        <v>143</v>
      </c>
    </row>
    <row r="3061">
      <c r="A3061" s="1">
        <v>43401.766985740745</v>
      </c>
      <c r="B3061" s="2">
        <v>252.0</v>
      </c>
      <c r="C3061" s="2" t="s">
        <v>34</v>
      </c>
    </row>
    <row r="3062">
      <c r="A3062" s="1">
        <v>43402.584408587965</v>
      </c>
      <c r="B3062" s="3" t="s">
        <v>22</v>
      </c>
      <c r="C3062" s="2" t="s">
        <v>23</v>
      </c>
    </row>
    <row r="3063">
      <c r="A3063" s="1">
        <v>43402.585502766204</v>
      </c>
      <c r="B3063" s="2">
        <v>158.0</v>
      </c>
      <c r="C3063" s="2" t="s">
        <v>62</v>
      </c>
    </row>
    <row r="3064">
      <c r="A3064" s="1">
        <v>43402.58707340278</v>
      </c>
      <c r="B3064" s="2">
        <v>259.0</v>
      </c>
      <c r="C3064" s="2" t="s">
        <v>66</v>
      </c>
    </row>
    <row r="3065">
      <c r="A3065" s="1">
        <v>43402.58714320602</v>
      </c>
      <c r="B3065" s="2">
        <v>260.0</v>
      </c>
      <c r="C3065" s="2" t="s">
        <v>67</v>
      </c>
    </row>
    <row r="3066">
      <c r="A3066" s="1">
        <v>43402.58797875</v>
      </c>
      <c r="B3066" s="2">
        <v>627.0</v>
      </c>
      <c r="C3066" s="2" t="s">
        <v>134</v>
      </c>
    </row>
    <row r="3067">
      <c r="A3067" s="1">
        <v>43402.5883639699</v>
      </c>
      <c r="B3067" s="2">
        <v>643.0</v>
      </c>
      <c r="C3067" s="2" t="s">
        <v>166</v>
      </c>
    </row>
    <row r="3068">
      <c r="A3068" s="1">
        <v>43402.58944769676</v>
      </c>
      <c r="B3068" s="2">
        <v>722.0</v>
      </c>
      <c r="C3068" s="2" t="s">
        <v>25</v>
      </c>
      <c r="D3068" s="2" t="s">
        <v>5</v>
      </c>
    </row>
    <row r="3069">
      <c r="A3069" s="1">
        <v>43402.58966730324</v>
      </c>
      <c r="B3069" s="2">
        <v>732.0</v>
      </c>
      <c r="C3069" s="2" t="s">
        <v>102</v>
      </c>
      <c r="D3069" s="2" t="s">
        <v>5</v>
      </c>
    </row>
    <row r="3070">
      <c r="A3070" s="1">
        <v>43402.589842800924</v>
      </c>
      <c r="B3070" s="2">
        <v>734.0</v>
      </c>
      <c r="C3070" s="2" t="s">
        <v>63</v>
      </c>
      <c r="D3070" s="2" t="s">
        <v>5</v>
      </c>
    </row>
    <row r="3071">
      <c r="A3071" s="1">
        <v>43402.93474332176</v>
      </c>
      <c r="B3071" s="2">
        <v>167.0</v>
      </c>
      <c r="C3071" s="2" t="s">
        <v>39</v>
      </c>
    </row>
    <row r="3072">
      <c r="A3072" s="1">
        <v>43402.9813668287</v>
      </c>
      <c r="B3072" s="2">
        <v>655.0</v>
      </c>
      <c r="C3072" s="2" t="s">
        <v>17</v>
      </c>
    </row>
    <row r="3073">
      <c r="A3073" s="1">
        <v>43402.98610358796</v>
      </c>
      <c r="B3073" s="2">
        <v>603.0</v>
      </c>
      <c r="C3073" s="2" t="s">
        <v>40</v>
      </c>
    </row>
    <row r="3074">
      <c r="A3074" s="1">
        <v>43402.9989894676</v>
      </c>
      <c r="B3074" s="2">
        <v>604.0</v>
      </c>
      <c r="C3074" s="2" t="s">
        <v>36</v>
      </c>
    </row>
    <row r="3075">
      <c r="A3075" s="1">
        <v>43408.40878738426</v>
      </c>
      <c r="B3075" s="2">
        <v>167.0</v>
      </c>
      <c r="C3075" s="2" t="s">
        <v>39</v>
      </c>
    </row>
    <row r="3076">
      <c r="A3076" s="1">
        <v>43408.42073115741</v>
      </c>
      <c r="B3076" s="3" t="s">
        <v>51</v>
      </c>
      <c r="C3076" s="2" t="s">
        <v>52</v>
      </c>
    </row>
    <row r="3077">
      <c r="A3077" s="1">
        <v>43408.42103216435</v>
      </c>
      <c r="B3077" s="3" t="s">
        <v>42</v>
      </c>
      <c r="C3077" s="2" t="s">
        <v>43</v>
      </c>
    </row>
    <row r="3078">
      <c r="A3078" s="1">
        <v>43408.421605717595</v>
      </c>
      <c r="B3078" s="3" t="s">
        <v>126</v>
      </c>
      <c r="C3078" s="2" t="s">
        <v>127</v>
      </c>
    </row>
    <row r="3079">
      <c r="A3079" s="1">
        <v>43408.42217204861</v>
      </c>
      <c r="B3079" s="2">
        <v>716.0</v>
      </c>
      <c r="C3079" s="2" t="s">
        <v>123</v>
      </c>
      <c r="D3079" s="2" t="s">
        <v>5</v>
      </c>
    </row>
    <row r="3080">
      <c r="A3080" s="1">
        <v>43408.42242935185</v>
      </c>
      <c r="B3080" s="2">
        <v>219.0</v>
      </c>
      <c r="C3080" s="2" t="s">
        <v>31</v>
      </c>
    </row>
    <row r="3081">
      <c r="A3081" s="1">
        <v>43408.42290173611</v>
      </c>
      <c r="B3081" s="3" t="s">
        <v>159</v>
      </c>
      <c r="C3081" s="2" t="s">
        <v>160</v>
      </c>
    </row>
    <row r="3082">
      <c r="A3082" s="1">
        <v>43408.42295390046</v>
      </c>
      <c r="B3082" s="2">
        <v>253.0</v>
      </c>
      <c r="C3082" s="2" t="s">
        <v>138</v>
      </c>
    </row>
    <row r="3083">
      <c r="A3083" s="1">
        <v>43408.42470052083</v>
      </c>
      <c r="B3083" s="2">
        <v>717.0</v>
      </c>
      <c r="C3083" s="2" t="s">
        <v>152</v>
      </c>
      <c r="D3083" s="2" t="s">
        <v>5</v>
      </c>
    </row>
    <row r="3084">
      <c r="A3084" s="1">
        <v>43408.42470321759</v>
      </c>
      <c r="B3084" s="2">
        <v>231.0</v>
      </c>
      <c r="C3084" s="2" t="s">
        <v>61</v>
      </c>
    </row>
    <row r="3085">
      <c r="A3085" s="1">
        <v>43408.42474739584</v>
      </c>
      <c r="B3085" s="2">
        <v>717.0</v>
      </c>
      <c r="C3085" s="2" t="s">
        <v>152</v>
      </c>
      <c r="D3085" s="2" t="s">
        <v>5</v>
      </c>
    </row>
    <row r="3086">
      <c r="A3086" s="1">
        <v>43408.42475239583</v>
      </c>
      <c r="B3086" s="2">
        <v>165.0</v>
      </c>
      <c r="C3086" s="2" t="s">
        <v>50</v>
      </c>
    </row>
    <row r="3087">
      <c r="A3087" s="1">
        <v>43408.42479207176</v>
      </c>
      <c r="B3087" s="2">
        <v>193.0</v>
      </c>
      <c r="C3087" s="2" t="s">
        <v>30</v>
      </c>
    </row>
    <row r="3088">
      <c r="A3088" s="1">
        <v>43408.42481736111</v>
      </c>
      <c r="B3088" s="2">
        <v>714.0</v>
      </c>
      <c r="C3088" s="2" t="s">
        <v>122</v>
      </c>
      <c r="D3088" s="2" t="s">
        <v>5</v>
      </c>
    </row>
    <row r="3089">
      <c r="A3089" s="1">
        <v>43408.42483211806</v>
      </c>
      <c r="B3089" s="2">
        <v>253.0</v>
      </c>
      <c r="C3089" s="2" t="s">
        <v>138</v>
      </c>
    </row>
    <row r="3090">
      <c r="A3090" s="1">
        <v>43408.42498427084</v>
      </c>
      <c r="B3090" s="2">
        <v>718.0</v>
      </c>
      <c r="C3090" s="2" t="s">
        <v>105</v>
      </c>
      <c r="D3090" s="2" t="s">
        <v>5</v>
      </c>
    </row>
    <row r="3091">
      <c r="A3091" s="1">
        <v>43408.425047453704</v>
      </c>
      <c r="B3091" s="3" t="s">
        <v>111</v>
      </c>
      <c r="C3091" s="2" t="s">
        <v>112</v>
      </c>
    </row>
    <row r="3092">
      <c r="A3092" s="1">
        <v>43408.425121504624</v>
      </c>
      <c r="B3092" s="2">
        <v>708.0</v>
      </c>
      <c r="C3092" s="2" t="s">
        <v>4</v>
      </c>
      <c r="D3092" s="2" t="s">
        <v>5</v>
      </c>
    </row>
    <row r="3093">
      <c r="A3093" s="1">
        <v>43408.425170636576</v>
      </c>
      <c r="B3093" s="2">
        <v>712.0</v>
      </c>
      <c r="C3093" s="2" t="s">
        <v>116</v>
      </c>
      <c r="D3093" s="2" t="s">
        <v>5</v>
      </c>
    </row>
    <row r="3094">
      <c r="A3094" s="1">
        <v>43408.42536300926</v>
      </c>
      <c r="B3094" s="2">
        <v>712.0</v>
      </c>
      <c r="C3094" s="2" t="s">
        <v>116</v>
      </c>
      <c r="D3094" s="2" t="s">
        <v>5</v>
      </c>
    </row>
    <row r="3095">
      <c r="A3095" s="1">
        <v>43408.425526446765</v>
      </c>
      <c r="B3095" s="2">
        <v>214.0</v>
      </c>
      <c r="C3095" s="2" t="s">
        <v>47</v>
      </c>
    </row>
    <row r="3096">
      <c r="A3096" s="1">
        <v>43408.42569050926</v>
      </c>
      <c r="B3096" s="2">
        <v>253.0</v>
      </c>
      <c r="C3096" s="2" t="s">
        <v>138</v>
      </c>
    </row>
    <row r="3097">
      <c r="A3097" s="1">
        <v>43408.42578053241</v>
      </c>
      <c r="B3097" s="2">
        <v>229.0</v>
      </c>
      <c r="C3097" s="2" t="s">
        <v>86</v>
      </c>
    </row>
    <row r="3098">
      <c r="A3098" s="1">
        <v>43408.42586664352</v>
      </c>
      <c r="B3098" s="2">
        <v>173.0</v>
      </c>
      <c r="C3098" s="2" t="s">
        <v>24</v>
      </c>
    </row>
    <row r="3099">
      <c r="A3099" s="1">
        <v>43408.42673600695</v>
      </c>
      <c r="B3099" s="2">
        <v>253.0</v>
      </c>
      <c r="C3099" s="2" t="s">
        <v>138</v>
      </c>
    </row>
    <row r="3100">
      <c r="A3100" s="1">
        <v>43408.42691539352</v>
      </c>
      <c r="B3100" s="2">
        <v>201.0</v>
      </c>
      <c r="C3100" s="2" t="s">
        <v>70</v>
      </c>
    </row>
    <row r="3101">
      <c r="A3101" s="1">
        <v>43408.426960219906</v>
      </c>
      <c r="B3101" s="2">
        <v>253.0</v>
      </c>
      <c r="C3101" s="2" t="s">
        <v>138</v>
      </c>
    </row>
    <row r="3102">
      <c r="A3102" s="1">
        <v>43408.42864327546</v>
      </c>
      <c r="B3102" s="2">
        <v>643.0</v>
      </c>
      <c r="C3102" s="2" t="s">
        <v>166</v>
      </c>
    </row>
    <row r="3103">
      <c r="A3103" s="1">
        <v>43408.428787488425</v>
      </c>
      <c r="B3103" s="3" t="s">
        <v>88</v>
      </c>
      <c r="C3103" s="2" t="s">
        <v>89</v>
      </c>
    </row>
    <row r="3104">
      <c r="A3104" s="1">
        <v>43408.428920879625</v>
      </c>
      <c r="B3104" s="2">
        <v>253.0</v>
      </c>
      <c r="C3104" s="2" t="s">
        <v>138</v>
      </c>
    </row>
    <row r="3105">
      <c r="A3105" s="1">
        <v>43408.42917754629</v>
      </c>
      <c r="B3105" s="3" t="s">
        <v>42</v>
      </c>
      <c r="C3105" s="2" t="s">
        <v>43</v>
      </c>
    </row>
    <row r="3106">
      <c r="A3106" s="1">
        <v>43408.429264039354</v>
      </c>
      <c r="B3106" s="3" t="s">
        <v>186</v>
      </c>
      <c r="C3106" s="2" t="s">
        <v>187</v>
      </c>
    </row>
    <row r="3107">
      <c r="A3107" s="1">
        <v>43408.42934697917</v>
      </c>
      <c r="B3107" s="3" t="s">
        <v>184</v>
      </c>
      <c r="C3107" s="2" t="s">
        <v>185</v>
      </c>
    </row>
    <row r="3108">
      <c r="A3108" s="1">
        <v>43408.42938230324</v>
      </c>
      <c r="B3108" s="2">
        <v>253.0</v>
      </c>
      <c r="C3108" s="2" t="s">
        <v>138</v>
      </c>
    </row>
    <row r="3109">
      <c r="A3109" s="1">
        <v>43408.42947716435</v>
      </c>
      <c r="B3109" s="2">
        <v>173.0</v>
      </c>
      <c r="C3109" s="2" t="s">
        <v>24</v>
      </c>
    </row>
    <row r="3110">
      <c r="A3110" s="1">
        <v>43408.42954099537</v>
      </c>
      <c r="B3110" s="2">
        <v>253.0</v>
      </c>
      <c r="C3110" s="2" t="s">
        <v>138</v>
      </c>
    </row>
    <row r="3111">
      <c r="A3111" s="1">
        <v>43408.42963300926</v>
      </c>
      <c r="B3111" s="2">
        <v>656.0</v>
      </c>
      <c r="C3111" s="2" t="s">
        <v>144</v>
      </c>
    </row>
    <row r="3112">
      <c r="A3112" s="1">
        <v>43408.42963694445</v>
      </c>
      <c r="B3112" s="2">
        <v>229.0</v>
      </c>
      <c r="C3112" s="2" t="s">
        <v>86</v>
      </c>
    </row>
    <row r="3113">
      <c r="A3113" s="1">
        <v>43408.42977269676</v>
      </c>
      <c r="B3113" s="2">
        <v>259.0</v>
      </c>
      <c r="C3113" s="2" t="s">
        <v>66</v>
      </c>
    </row>
    <row r="3114">
      <c r="A3114" s="1">
        <v>43408.429853634254</v>
      </c>
      <c r="B3114" s="2">
        <v>253.0</v>
      </c>
      <c r="C3114" s="2" t="s">
        <v>138</v>
      </c>
    </row>
    <row r="3115">
      <c r="A3115" s="1">
        <v>43408.429920995375</v>
      </c>
      <c r="B3115" s="2">
        <v>734.0</v>
      </c>
      <c r="C3115" s="2" t="s">
        <v>63</v>
      </c>
      <c r="D3115" s="2" t="s">
        <v>5</v>
      </c>
    </row>
    <row r="3116">
      <c r="A3116" s="1">
        <v>43408.42995503472</v>
      </c>
      <c r="B3116" s="2">
        <v>259.0</v>
      </c>
      <c r="C3116" s="2" t="s">
        <v>66</v>
      </c>
    </row>
    <row r="3117">
      <c r="A3117" s="1">
        <v>43408.43034673611</v>
      </c>
      <c r="B3117" s="2">
        <v>734.0</v>
      </c>
      <c r="C3117" s="2" t="s">
        <v>63</v>
      </c>
      <c r="D3117" s="2" t="s">
        <v>5</v>
      </c>
    </row>
    <row r="3118">
      <c r="A3118" s="1">
        <v>43408.430628773145</v>
      </c>
      <c r="B3118" s="2">
        <v>253.0</v>
      </c>
      <c r="C3118" s="2" t="s">
        <v>138</v>
      </c>
    </row>
    <row r="3119">
      <c r="A3119" s="1">
        <v>43408.430709050925</v>
      </c>
      <c r="B3119" s="2">
        <v>124.0</v>
      </c>
      <c r="C3119" s="2" t="s">
        <v>107</v>
      </c>
    </row>
    <row r="3120">
      <c r="A3120" s="1">
        <v>43408.43084641204</v>
      </c>
      <c r="B3120" s="2">
        <v>613.0</v>
      </c>
      <c r="C3120" s="2" t="s">
        <v>124</v>
      </c>
    </row>
    <row r="3121">
      <c r="A3121" s="1">
        <v>43408.43090398148</v>
      </c>
      <c r="B3121" s="2">
        <v>253.0</v>
      </c>
      <c r="C3121" s="2" t="s">
        <v>138</v>
      </c>
    </row>
    <row r="3122">
      <c r="A3122" s="1">
        <v>43408.43106138889</v>
      </c>
      <c r="B3122" s="2">
        <v>613.0</v>
      </c>
      <c r="C3122" s="2" t="s">
        <v>124</v>
      </c>
    </row>
    <row r="3123">
      <c r="A3123" s="1">
        <v>43408.431118761575</v>
      </c>
      <c r="B3123" s="2">
        <v>253.0</v>
      </c>
      <c r="C3123" s="2" t="s">
        <v>138</v>
      </c>
    </row>
    <row r="3124">
      <c r="A3124" s="1">
        <v>43408.43153861111</v>
      </c>
      <c r="B3124" s="2">
        <v>735.0</v>
      </c>
      <c r="C3124" s="2" t="s">
        <v>37</v>
      </c>
      <c r="D3124" s="2" t="s">
        <v>5</v>
      </c>
    </row>
    <row r="3125">
      <c r="A3125" s="1">
        <v>43408.43176363426</v>
      </c>
      <c r="B3125" s="2">
        <v>267.0</v>
      </c>
      <c r="C3125" s="2" t="s">
        <v>115</v>
      </c>
    </row>
    <row r="3126">
      <c r="A3126" s="1">
        <v>43408.432119571764</v>
      </c>
      <c r="B3126" s="2">
        <v>625.0</v>
      </c>
      <c r="C3126" s="2" t="s">
        <v>136</v>
      </c>
    </row>
    <row r="3127">
      <c r="A3127" s="1">
        <v>43408.43217164352</v>
      </c>
      <c r="B3127" s="2">
        <v>253.0</v>
      </c>
      <c r="C3127" s="2" t="s">
        <v>138</v>
      </c>
    </row>
    <row r="3128">
      <c r="A3128" s="1">
        <v>43408.432323078705</v>
      </c>
      <c r="B3128" s="2">
        <v>175.0</v>
      </c>
      <c r="C3128" s="2" t="s">
        <v>69</v>
      </c>
    </row>
    <row r="3129">
      <c r="A3129" s="1">
        <v>43408.43281143518</v>
      </c>
      <c r="B3129" s="2">
        <v>210.0</v>
      </c>
      <c r="C3129" s="2" t="s">
        <v>64</v>
      </c>
    </row>
    <row r="3130">
      <c r="A3130" s="1">
        <v>43408.4332242824</v>
      </c>
      <c r="B3130" s="2">
        <v>172.0</v>
      </c>
      <c r="C3130" s="2" t="s">
        <v>65</v>
      </c>
    </row>
    <row r="3131">
      <c r="A3131" s="1">
        <v>43408.433292534726</v>
      </c>
      <c r="B3131" s="2">
        <v>253.0</v>
      </c>
      <c r="C3131" s="2" t="s">
        <v>138</v>
      </c>
    </row>
    <row r="3132">
      <c r="A3132" s="1">
        <v>43408.43339303241</v>
      </c>
      <c r="B3132" s="2">
        <v>113.0</v>
      </c>
      <c r="C3132" s="2" t="s">
        <v>29</v>
      </c>
    </row>
    <row r="3133">
      <c r="A3133" s="1">
        <v>43408.43411474537</v>
      </c>
      <c r="B3133" s="3" t="s">
        <v>82</v>
      </c>
      <c r="C3133" s="2" t="s">
        <v>83</v>
      </c>
    </row>
    <row r="3134">
      <c r="A3134" s="1">
        <v>43408.434230625004</v>
      </c>
      <c r="B3134" s="3" t="s">
        <v>78</v>
      </c>
      <c r="C3134" s="2" t="s">
        <v>79</v>
      </c>
    </row>
    <row r="3135">
      <c r="A3135" s="1">
        <v>43408.43449542824</v>
      </c>
      <c r="B3135" s="2">
        <v>158.0</v>
      </c>
      <c r="C3135" s="2" t="s">
        <v>62</v>
      </c>
    </row>
    <row r="3136">
      <c r="A3136" s="1">
        <v>43408.4346375</v>
      </c>
      <c r="B3136" s="2">
        <v>723.0</v>
      </c>
      <c r="C3136" s="2" t="s">
        <v>84</v>
      </c>
      <c r="D3136" s="2" t="s">
        <v>5</v>
      </c>
    </row>
    <row r="3137">
      <c r="A3137" s="1">
        <v>43408.43480362269</v>
      </c>
      <c r="B3137" s="3" t="s">
        <v>44</v>
      </c>
      <c r="C3137" s="2" t="s">
        <v>45</v>
      </c>
    </row>
    <row r="3138">
      <c r="A3138" s="1">
        <v>43408.43493354166</v>
      </c>
      <c r="B3138" s="2">
        <v>189.0</v>
      </c>
      <c r="C3138" s="2" t="s">
        <v>128</v>
      </c>
    </row>
    <row r="3139">
      <c r="A3139" s="1">
        <v>43408.43624185185</v>
      </c>
      <c r="B3139" s="2">
        <v>172.0</v>
      </c>
      <c r="C3139" s="2" t="s">
        <v>65</v>
      </c>
    </row>
    <row r="3140">
      <c r="A3140" s="1">
        <v>43408.43672869213</v>
      </c>
      <c r="B3140" s="2">
        <v>722.0</v>
      </c>
      <c r="C3140" s="2" t="s">
        <v>25</v>
      </c>
      <c r="D3140" s="2" t="s">
        <v>5</v>
      </c>
    </row>
    <row r="3141">
      <c r="A3141" s="1">
        <v>43408.43736480324</v>
      </c>
      <c r="B3141" s="2">
        <v>736.0</v>
      </c>
      <c r="C3141" s="2" t="s">
        <v>175</v>
      </c>
      <c r="D3141" s="2" t="s">
        <v>5</v>
      </c>
    </row>
    <row r="3142">
      <c r="A3142" s="1">
        <v>43408.43759321759</v>
      </c>
      <c r="B3142" s="2">
        <v>246.0</v>
      </c>
      <c r="C3142" s="2" t="s">
        <v>26</v>
      </c>
    </row>
    <row r="3143">
      <c r="A3143" s="1">
        <v>43408.43760010417</v>
      </c>
      <c r="B3143" s="2">
        <v>722.0</v>
      </c>
      <c r="C3143" s="2" t="s">
        <v>25</v>
      </c>
      <c r="D3143" s="2" t="s">
        <v>5</v>
      </c>
    </row>
    <row r="3144">
      <c r="A3144" s="1">
        <v>43408.43772888889</v>
      </c>
      <c r="B3144" s="2">
        <v>254.0</v>
      </c>
      <c r="C3144" s="2" t="s">
        <v>132</v>
      </c>
    </row>
    <row r="3145">
      <c r="A3145" s="1">
        <v>43408.43782965278</v>
      </c>
      <c r="B3145" s="2">
        <v>262.0</v>
      </c>
      <c r="C3145" s="2" t="s">
        <v>28</v>
      </c>
    </row>
    <row r="3146">
      <c r="A3146" s="1">
        <v>43408.43793729167</v>
      </c>
      <c r="B3146" s="2">
        <v>257.0</v>
      </c>
      <c r="C3146" s="2" t="s">
        <v>27</v>
      </c>
    </row>
    <row r="3147">
      <c r="A3147" s="1">
        <v>43408.43826879629</v>
      </c>
      <c r="B3147" s="2">
        <v>607.0</v>
      </c>
      <c r="C3147" s="2" t="s">
        <v>68</v>
      </c>
    </row>
    <row r="3148">
      <c r="A3148" s="1">
        <v>43408.43855373842</v>
      </c>
      <c r="B3148" s="2">
        <v>737.0</v>
      </c>
      <c r="C3148" s="2" t="s">
        <v>176</v>
      </c>
      <c r="D3148" s="2" t="s">
        <v>5</v>
      </c>
    </row>
    <row r="3149">
      <c r="A3149" s="1">
        <v>43408.438898402776</v>
      </c>
      <c r="B3149" s="2">
        <v>661.0</v>
      </c>
      <c r="C3149" s="2" t="s">
        <v>153</v>
      </c>
    </row>
    <row r="3150">
      <c r="A3150" s="1">
        <v>43408.438997199075</v>
      </c>
      <c r="B3150" s="2">
        <v>244.0</v>
      </c>
      <c r="C3150" s="2" t="s">
        <v>38</v>
      </c>
    </row>
    <row r="3151">
      <c r="A3151" s="1">
        <v>43408.439010277776</v>
      </c>
      <c r="B3151" s="2">
        <v>661.0</v>
      </c>
      <c r="C3151" s="2" t="s">
        <v>153</v>
      </c>
    </row>
    <row r="3152">
      <c r="A3152" s="1">
        <v>43408.439259583334</v>
      </c>
      <c r="B3152" s="2">
        <v>270.0</v>
      </c>
      <c r="C3152" s="2" t="s">
        <v>153</v>
      </c>
    </row>
    <row r="3153">
      <c r="A3153" s="1">
        <v>43408.439405694444</v>
      </c>
      <c r="B3153" s="3" t="s">
        <v>80</v>
      </c>
      <c r="C3153" s="2" t="s">
        <v>81</v>
      </c>
    </row>
    <row r="3154">
      <c r="A3154" s="1">
        <v>43408.43955354167</v>
      </c>
      <c r="B3154" s="2">
        <v>653.0</v>
      </c>
      <c r="C3154" s="2" t="s">
        <v>77</v>
      </c>
    </row>
    <row r="3155">
      <c r="A3155" s="1">
        <v>43408.4396337037</v>
      </c>
      <c r="B3155" s="2">
        <v>717.0</v>
      </c>
      <c r="C3155" s="2" t="s">
        <v>152</v>
      </c>
      <c r="D3155" s="2" t="s">
        <v>5</v>
      </c>
    </row>
    <row r="3156">
      <c r="A3156" s="1">
        <v>43408.44199770833</v>
      </c>
      <c r="B3156" s="3" t="s">
        <v>119</v>
      </c>
      <c r="C3156" s="2" t="s">
        <v>120</v>
      </c>
    </row>
    <row r="3157">
      <c r="A3157" s="1">
        <v>43408.442481226855</v>
      </c>
      <c r="B3157" s="2">
        <v>713.0</v>
      </c>
      <c r="C3157" s="2" t="s">
        <v>121</v>
      </c>
      <c r="D3157" s="2" t="s">
        <v>5</v>
      </c>
    </row>
    <row r="3158">
      <c r="A3158" s="1">
        <v>43408.442580787036</v>
      </c>
      <c r="B3158" s="2">
        <v>715.0</v>
      </c>
      <c r="C3158" s="2" t="s">
        <v>203</v>
      </c>
      <c r="D3158" s="2" t="s">
        <v>5</v>
      </c>
    </row>
    <row r="3159">
      <c r="A3159" s="1">
        <v>43408.44271212963</v>
      </c>
      <c r="B3159" s="2">
        <v>215.0</v>
      </c>
      <c r="C3159" s="2" t="s">
        <v>137</v>
      </c>
    </row>
    <row r="3160">
      <c r="A3160" s="1">
        <v>43408.44293347222</v>
      </c>
      <c r="B3160" s="2">
        <v>714.0</v>
      </c>
      <c r="C3160" s="2" t="s">
        <v>122</v>
      </c>
      <c r="D3160" s="2" t="s">
        <v>5</v>
      </c>
    </row>
    <row r="3161">
      <c r="A3161" s="1">
        <v>43408.44420618056</v>
      </c>
      <c r="B3161" s="2">
        <v>624.0</v>
      </c>
      <c r="C3161" s="2" t="s">
        <v>90</v>
      </c>
    </row>
    <row r="3162">
      <c r="A3162" s="1">
        <v>43408.444384375005</v>
      </c>
      <c r="B3162" s="2">
        <v>724.0</v>
      </c>
      <c r="C3162" s="2" t="s">
        <v>91</v>
      </c>
      <c r="D3162" s="2" t="s">
        <v>5</v>
      </c>
    </row>
    <row r="3163">
      <c r="A3163" s="1">
        <v>43408.44447858796</v>
      </c>
      <c r="B3163" s="2">
        <v>725.0</v>
      </c>
      <c r="C3163" s="2" t="s">
        <v>92</v>
      </c>
      <c r="D3163" s="2" t="s">
        <v>5</v>
      </c>
    </row>
    <row r="3164">
      <c r="A3164" s="1">
        <v>43408.444984340276</v>
      </c>
      <c r="B3164" s="2">
        <v>725.0</v>
      </c>
      <c r="C3164" s="2" t="s">
        <v>92</v>
      </c>
      <c r="D3164" s="2" t="s">
        <v>5</v>
      </c>
    </row>
    <row r="3165">
      <c r="A3165" s="1">
        <v>43408.44499039352</v>
      </c>
      <c r="B3165" s="2">
        <v>648.0</v>
      </c>
      <c r="C3165" s="2" t="s">
        <v>207</v>
      </c>
    </row>
    <row r="3166">
      <c r="A3166" s="1">
        <v>43408.44502778935</v>
      </c>
      <c r="B3166" s="2">
        <v>725.0</v>
      </c>
      <c r="C3166" s="2" t="s">
        <v>92</v>
      </c>
      <c r="D3166" s="2" t="s">
        <v>5</v>
      </c>
    </row>
    <row r="3167">
      <c r="A3167" s="1">
        <v>43408.44523011574</v>
      </c>
      <c r="B3167" s="2">
        <v>736.0</v>
      </c>
      <c r="C3167" s="2" t="s">
        <v>175</v>
      </c>
      <c r="D3167" s="2" t="s">
        <v>5</v>
      </c>
    </row>
    <row r="3168">
      <c r="A3168" s="1">
        <v>43408.445325451394</v>
      </c>
      <c r="B3168" s="2">
        <v>737.0</v>
      </c>
      <c r="C3168" s="2" t="s">
        <v>176</v>
      </c>
      <c r="D3168" s="2" t="s">
        <v>5</v>
      </c>
    </row>
    <row r="3169">
      <c r="A3169" s="1">
        <v>43408.44545320602</v>
      </c>
      <c r="B3169" s="3" t="s">
        <v>94</v>
      </c>
      <c r="C3169" s="2" t="s">
        <v>95</v>
      </c>
    </row>
    <row r="3170">
      <c r="A3170" s="1">
        <v>43408.445772314815</v>
      </c>
      <c r="B3170" s="2">
        <v>229.0</v>
      </c>
      <c r="C3170" s="2" t="s">
        <v>86</v>
      </c>
    </row>
    <row r="3171">
      <c r="A3171" s="1">
        <v>43408.44736696759</v>
      </c>
      <c r="B3171" s="2">
        <v>649.0</v>
      </c>
      <c r="C3171" s="2" t="s">
        <v>177</v>
      </c>
    </row>
    <row r="3172">
      <c r="A3172" s="1">
        <v>43408.44777777778</v>
      </c>
      <c r="B3172" s="2">
        <v>726.0</v>
      </c>
      <c r="C3172" s="2" t="s">
        <v>101</v>
      </c>
      <c r="D3172" s="2" t="s">
        <v>5</v>
      </c>
    </row>
    <row r="3173">
      <c r="A3173" s="1">
        <v>43408.44792986111</v>
      </c>
      <c r="B3173" s="2">
        <v>732.0</v>
      </c>
      <c r="C3173" s="2" t="s">
        <v>102</v>
      </c>
      <c r="D3173" s="2" t="s">
        <v>5</v>
      </c>
    </row>
    <row r="3174">
      <c r="A3174" s="1">
        <v>43408.44828387731</v>
      </c>
      <c r="B3174" s="2">
        <v>147.0</v>
      </c>
      <c r="C3174" s="2" t="s">
        <v>100</v>
      </c>
    </row>
    <row r="3175">
      <c r="A3175" s="1">
        <v>43408.448395300926</v>
      </c>
      <c r="B3175" s="3" t="s">
        <v>98</v>
      </c>
      <c r="C3175" s="2" t="s">
        <v>99</v>
      </c>
    </row>
    <row r="3176">
      <c r="A3176" s="1">
        <v>43408.44858134259</v>
      </c>
      <c r="B3176" s="2">
        <v>672.0</v>
      </c>
      <c r="C3176" s="2" t="s">
        <v>6</v>
      </c>
    </row>
    <row r="3177">
      <c r="A3177" s="1">
        <v>43408.44901280093</v>
      </c>
      <c r="B3177" s="2">
        <v>601.0</v>
      </c>
      <c r="C3177" s="2" t="s">
        <v>125</v>
      </c>
    </row>
    <row r="3178">
      <c r="A3178" s="1">
        <v>43408.44989019676</v>
      </c>
      <c r="B3178" s="2">
        <v>201.0</v>
      </c>
      <c r="C3178" s="2" t="s">
        <v>70</v>
      </c>
    </row>
    <row r="3179">
      <c r="A3179" s="1">
        <v>43408.44998722222</v>
      </c>
      <c r="B3179" s="2">
        <v>198.0</v>
      </c>
      <c r="C3179" s="2" t="s">
        <v>97</v>
      </c>
    </row>
    <row r="3180">
      <c r="A3180" s="1">
        <v>43408.45013133102</v>
      </c>
      <c r="B3180" s="2">
        <v>702.0</v>
      </c>
      <c r="C3180" s="2" t="s">
        <v>96</v>
      </c>
      <c r="D3180" s="2" t="s">
        <v>5</v>
      </c>
    </row>
    <row r="3181">
      <c r="A3181" s="1">
        <v>43408.45149548611</v>
      </c>
      <c r="B3181" s="3" t="s">
        <v>13</v>
      </c>
      <c r="C3181" s="2" t="s">
        <v>14</v>
      </c>
    </row>
    <row r="3182">
      <c r="A3182" s="1">
        <v>43408.45378780093</v>
      </c>
      <c r="B3182" s="2">
        <v>52.0</v>
      </c>
      <c r="C3182" s="2" t="s">
        <v>41</v>
      </c>
    </row>
    <row r="3183">
      <c r="A3183" s="1">
        <v>43408.45405233796</v>
      </c>
      <c r="B3183" s="2">
        <v>663.0</v>
      </c>
      <c r="C3183" s="2" t="s">
        <v>109</v>
      </c>
    </row>
    <row r="3184">
      <c r="A3184" s="1">
        <v>43408.454363125</v>
      </c>
      <c r="B3184" s="2">
        <v>733.0</v>
      </c>
      <c r="C3184" s="2" t="s">
        <v>110</v>
      </c>
      <c r="D3184" s="2" t="s">
        <v>5</v>
      </c>
    </row>
    <row r="3185">
      <c r="A3185" s="1">
        <v>43408.45606621528</v>
      </c>
      <c r="B3185" s="3" t="s">
        <v>103</v>
      </c>
      <c r="C3185" s="2" t="s">
        <v>104</v>
      </c>
    </row>
    <row r="3186">
      <c r="A3186" s="1">
        <v>43408.45890157408</v>
      </c>
      <c r="C3186" s="2" t="s">
        <v>19</v>
      </c>
    </row>
    <row r="3187">
      <c r="A3187" s="1">
        <v>43408.45961822917</v>
      </c>
      <c r="B3187" s="2">
        <v>627.0</v>
      </c>
      <c r="C3187" s="2" t="s">
        <v>134</v>
      </c>
    </row>
    <row r="3188">
      <c r="A3188" s="1">
        <v>43408.45981295139</v>
      </c>
      <c r="B3188" s="2">
        <v>655.0</v>
      </c>
      <c r="C3188" s="2" t="s">
        <v>17</v>
      </c>
    </row>
    <row r="3189">
      <c r="A3189" s="1">
        <v>43408.4609128125</v>
      </c>
      <c r="B3189" s="2">
        <v>672.0</v>
      </c>
      <c r="C3189" s="2" t="s">
        <v>6</v>
      </c>
    </row>
    <row r="3190">
      <c r="A3190" s="1">
        <v>43408.463100277775</v>
      </c>
      <c r="B3190" s="3" t="s">
        <v>9</v>
      </c>
      <c r="C3190" s="2" t="s">
        <v>10</v>
      </c>
    </row>
    <row r="3191">
      <c r="A3191" s="1">
        <v>43408.46327238426</v>
      </c>
      <c r="B3191" s="2">
        <v>708.0</v>
      </c>
      <c r="C3191" s="2" t="s">
        <v>4</v>
      </c>
      <c r="D3191" s="2" t="s">
        <v>5</v>
      </c>
    </row>
    <row r="3192">
      <c r="A3192" s="1">
        <v>43408.46334565972</v>
      </c>
      <c r="B3192" s="2">
        <v>709.0</v>
      </c>
      <c r="C3192" s="2" t="s">
        <v>20</v>
      </c>
      <c r="D3192" s="2" t="s">
        <v>5</v>
      </c>
    </row>
    <row r="3193">
      <c r="A3193" s="1">
        <v>43408.46362603009</v>
      </c>
      <c r="B3193" s="2">
        <v>710.0</v>
      </c>
      <c r="C3193" s="2" t="s">
        <v>21</v>
      </c>
      <c r="D3193" s="2" t="s">
        <v>5</v>
      </c>
    </row>
    <row r="3194">
      <c r="A3194" s="1">
        <v>43408.464343680556</v>
      </c>
      <c r="B3194" s="2">
        <v>653.0</v>
      </c>
      <c r="C3194" s="2" t="s">
        <v>77</v>
      </c>
    </row>
    <row r="3195">
      <c r="A3195" s="1">
        <v>43408.464591412034</v>
      </c>
      <c r="B3195" s="2">
        <v>649.0</v>
      </c>
      <c r="C3195" s="2" t="s">
        <v>177</v>
      </c>
    </row>
    <row r="3196">
      <c r="A3196" s="1">
        <v>43408.4693527662</v>
      </c>
      <c r="B3196" s="2">
        <v>157.0</v>
      </c>
      <c r="C3196" s="2" t="s">
        <v>141</v>
      </c>
    </row>
    <row r="3197">
      <c r="A3197" s="1">
        <v>43408.47245635417</v>
      </c>
      <c r="B3197" s="2">
        <v>208.0</v>
      </c>
      <c r="C3197" s="2" t="s">
        <v>182</v>
      </c>
    </row>
    <row r="3198">
      <c r="A3198" s="1">
        <v>43408.475246030095</v>
      </c>
      <c r="B3198" s="2">
        <v>253.0</v>
      </c>
      <c r="C3198" s="2" t="s">
        <v>138</v>
      </c>
    </row>
    <row r="3199">
      <c r="A3199" s="1">
        <v>43408.561836180554</v>
      </c>
      <c r="B3199" s="2">
        <v>717.0</v>
      </c>
      <c r="C3199" s="2" t="s">
        <v>152</v>
      </c>
      <c r="D3199" s="2" t="s">
        <v>5</v>
      </c>
    </row>
    <row r="3200">
      <c r="A3200" s="1">
        <v>43408.561842407405</v>
      </c>
      <c r="B3200" s="2">
        <v>717.0</v>
      </c>
      <c r="C3200" s="2" t="s">
        <v>152</v>
      </c>
      <c r="D3200" s="2" t="s">
        <v>5</v>
      </c>
    </row>
    <row r="3201">
      <c r="A3201" s="1">
        <v>43409.49299546296</v>
      </c>
      <c r="B3201" s="3" t="s">
        <v>184</v>
      </c>
      <c r="C3201" s="2" t="s">
        <v>185</v>
      </c>
    </row>
    <row r="3202">
      <c r="A3202" s="1">
        <v>43410.627229907404</v>
      </c>
      <c r="B3202" s="2">
        <v>535.0</v>
      </c>
      <c r="C3202" s="2" t="s">
        <v>208</v>
      </c>
    </row>
    <row r="3203">
      <c r="A3203" s="1">
        <v>43410.62723513889</v>
      </c>
      <c r="B3203" s="2">
        <v>535.0</v>
      </c>
      <c r="C3203" s="2" t="s">
        <v>208</v>
      </c>
    </row>
    <row r="3204">
      <c r="A3204" s="1">
        <v>43410.62723762731</v>
      </c>
      <c r="B3204" s="2">
        <v>535.0</v>
      </c>
      <c r="C3204" s="2" t="s">
        <v>208</v>
      </c>
    </row>
    <row r="3205">
      <c r="A3205" s="1">
        <v>43410.62725638889</v>
      </c>
      <c r="B3205" s="2">
        <v>535.0</v>
      </c>
      <c r="C3205" s="2" t="s">
        <v>208</v>
      </c>
    </row>
    <row r="3206">
      <c r="A3206" s="1">
        <v>43410.62730518519</v>
      </c>
      <c r="B3206" s="2">
        <v>535.0</v>
      </c>
      <c r="C3206" s="2" t="s">
        <v>208</v>
      </c>
    </row>
    <row r="3207">
      <c r="A3207" s="1">
        <v>43410.62733653936</v>
      </c>
      <c r="B3207" s="2">
        <v>535.0</v>
      </c>
      <c r="C3207" s="2" t="s">
        <v>208</v>
      </c>
    </row>
    <row r="3208">
      <c r="A3208" s="1">
        <v>43410.64255217592</v>
      </c>
      <c r="B3208" s="2">
        <v>669.0</v>
      </c>
      <c r="C3208" s="2" t="s">
        <v>190</v>
      </c>
    </row>
    <row r="3209">
      <c r="A3209" s="1">
        <v>43411.415600231485</v>
      </c>
      <c r="B3209" s="2">
        <v>535.0</v>
      </c>
      <c r="C3209" s="2" t="s">
        <v>208</v>
      </c>
    </row>
    <row r="3210">
      <c r="A3210" s="1">
        <v>43413.626251504626</v>
      </c>
      <c r="B3210" s="3" t="s">
        <v>22</v>
      </c>
      <c r="C3210" s="2" t="s">
        <v>23</v>
      </c>
    </row>
    <row r="3211">
      <c r="A3211" s="1">
        <v>43413.626677974535</v>
      </c>
      <c r="B3211" s="3" t="s">
        <v>11</v>
      </c>
      <c r="C3211" s="2" t="s">
        <v>12</v>
      </c>
    </row>
    <row r="3212">
      <c r="A3212" s="1">
        <v>43413.62838155092</v>
      </c>
      <c r="B3212" s="3" t="s">
        <v>32</v>
      </c>
      <c r="C3212" s="2" t="s">
        <v>33</v>
      </c>
    </row>
    <row r="3213">
      <c r="A3213" s="1">
        <v>43413.62887202547</v>
      </c>
      <c r="B3213" s="2">
        <v>141.0</v>
      </c>
      <c r="C3213" s="2" t="s">
        <v>53</v>
      </c>
    </row>
    <row r="3214">
      <c r="A3214" s="1">
        <v>43413.62987435186</v>
      </c>
      <c r="B3214" s="2">
        <v>237.0</v>
      </c>
      <c r="C3214" s="2" t="s">
        <v>140</v>
      </c>
    </row>
    <row r="3215">
      <c r="A3215" s="1">
        <v>43413.6307075463</v>
      </c>
      <c r="B3215" s="2">
        <v>535.0</v>
      </c>
      <c r="C3215" s="2" t="s">
        <v>208</v>
      </c>
    </row>
    <row r="3216">
      <c r="A3216" s="1">
        <v>43413.631592488426</v>
      </c>
      <c r="B3216" s="2">
        <v>602.0</v>
      </c>
      <c r="C3216" s="2" t="s">
        <v>131</v>
      </c>
    </row>
    <row r="3217">
      <c r="A3217" s="1">
        <v>43413.631653425924</v>
      </c>
      <c r="B3217" s="2">
        <v>603.0</v>
      </c>
      <c r="C3217" s="2" t="s">
        <v>40</v>
      </c>
    </row>
    <row r="3218">
      <c r="A3218" s="1">
        <v>43413.63194599537</v>
      </c>
      <c r="B3218" s="2">
        <v>611.0</v>
      </c>
      <c r="C3218" s="2" t="s">
        <v>143</v>
      </c>
    </row>
    <row r="3219">
      <c r="A3219" s="1">
        <v>43413.632374629626</v>
      </c>
      <c r="B3219" s="2">
        <v>614.0</v>
      </c>
      <c r="C3219" s="2" t="s">
        <v>76</v>
      </c>
    </row>
    <row r="3220">
      <c r="A3220" s="1">
        <v>43413.637042268514</v>
      </c>
      <c r="B3220" s="2">
        <v>707.0</v>
      </c>
      <c r="C3220" s="2" t="s">
        <v>57</v>
      </c>
      <c r="D3220" s="2" t="s">
        <v>5</v>
      </c>
    </row>
    <row r="3221">
      <c r="A3221" s="1">
        <v>43413.63714730324</v>
      </c>
      <c r="B3221" s="2">
        <v>729.0</v>
      </c>
      <c r="C3221" s="2" t="s">
        <v>54</v>
      </c>
      <c r="D3221" s="2" t="s">
        <v>5</v>
      </c>
    </row>
    <row r="3222">
      <c r="A3222" s="1">
        <v>43415.398524178236</v>
      </c>
      <c r="B3222" s="2">
        <v>722.0</v>
      </c>
      <c r="C3222" s="2" t="s">
        <v>25</v>
      </c>
      <c r="D3222" s="2" t="s">
        <v>5</v>
      </c>
    </row>
    <row r="3223">
      <c r="A3223" s="1">
        <v>43415.40535371528</v>
      </c>
      <c r="B3223" s="2">
        <v>165.0</v>
      </c>
      <c r="C3223" s="2" t="s">
        <v>50</v>
      </c>
    </row>
    <row r="3224">
      <c r="A3224" s="1">
        <v>43415.407302418986</v>
      </c>
      <c r="B3224" s="2">
        <v>165.0</v>
      </c>
      <c r="C3224" s="2" t="s">
        <v>50</v>
      </c>
    </row>
    <row r="3225">
      <c r="A3225" s="1">
        <v>43415.41987054398</v>
      </c>
      <c r="B3225" s="2">
        <v>253.0</v>
      </c>
      <c r="C3225" s="2" t="s">
        <v>138</v>
      </c>
    </row>
    <row r="3226">
      <c r="A3226" s="1">
        <v>43415.423123368055</v>
      </c>
      <c r="B3226" s="2">
        <v>632.0</v>
      </c>
      <c r="C3226" s="2" t="s">
        <v>146</v>
      </c>
    </row>
    <row r="3227">
      <c r="A3227" s="1">
        <v>43415.42408189815</v>
      </c>
      <c r="B3227" s="2">
        <v>627.0</v>
      </c>
      <c r="C3227" s="2" t="s">
        <v>134</v>
      </c>
    </row>
    <row r="3228">
      <c r="A3228" s="1">
        <v>43415.42421158565</v>
      </c>
      <c r="B3228" s="2">
        <v>627.0</v>
      </c>
      <c r="C3228" s="2" t="s">
        <v>134</v>
      </c>
    </row>
    <row r="3229">
      <c r="A3229" s="1">
        <v>43415.42438913195</v>
      </c>
      <c r="B3229" s="3" t="s">
        <v>78</v>
      </c>
      <c r="C3229" s="2" t="s">
        <v>79</v>
      </c>
    </row>
    <row r="3230">
      <c r="A3230" s="1">
        <v>43415.42451810185</v>
      </c>
      <c r="B3230" s="3" t="s">
        <v>82</v>
      </c>
      <c r="C3230" s="2" t="s">
        <v>83</v>
      </c>
    </row>
    <row r="3231">
      <c r="A3231" s="1">
        <v>43415.4249959375</v>
      </c>
      <c r="B3231" s="2">
        <v>723.0</v>
      </c>
      <c r="C3231" s="2" t="s">
        <v>84</v>
      </c>
      <c r="D3231" s="2" t="s">
        <v>5</v>
      </c>
    </row>
    <row r="3232">
      <c r="A3232" s="1">
        <v>43415.426340439815</v>
      </c>
      <c r="B3232" s="2">
        <v>604.0</v>
      </c>
      <c r="C3232" s="2" t="s">
        <v>36</v>
      </c>
    </row>
    <row r="3233">
      <c r="A3233" s="1">
        <v>43415.426896377314</v>
      </c>
      <c r="B3233" s="2">
        <v>238.0</v>
      </c>
      <c r="C3233" s="2" t="s">
        <v>35</v>
      </c>
    </row>
    <row r="3234">
      <c r="A3234" s="1">
        <v>43415.42758297454</v>
      </c>
      <c r="B3234" s="2">
        <v>653.0</v>
      </c>
      <c r="C3234" s="2" t="s">
        <v>77</v>
      </c>
    </row>
    <row r="3235">
      <c r="A3235" s="1">
        <v>43415.42932935186</v>
      </c>
      <c r="B3235" s="2">
        <v>219.0</v>
      </c>
      <c r="C3235" s="2" t="s">
        <v>31</v>
      </c>
    </row>
    <row r="3236">
      <c r="A3236" s="1">
        <v>43415.42943149306</v>
      </c>
      <c r="B3236" s="2">
        <v>207.0</v>
      </c>
      <c r="C3236" s="2" t="s">
        <v>85</v>
      </c>
    </row>
    <row r="3237">
      <c r="A3237" s="1">
        <v>43415.42952767361</v>
      </c>
      <c r="B3237" s="2">
        <v>614.0</v>
      </c>
      <c r="C3237" s="2" t="s">
        <v>76</v>
      </c>
    </row>
    <row r="3238">
      <c r="A3238" s="1">
        <v>43415.42978846065</v>
      </c>
      <c r="B3238" s="2">
        <v>607.0</v>
      </c>
      <c r="C3238" s="2" t="s">
        <v>68</v>
      </c>
    </row>
    <row r="3239">
      <c r="A3239" s="1">
        <v>43415.43041263889</v>
      </c>
      <c r="B3239" s="2">
        <v>643.0</v>
      </c>
      <c r="C3239" s="2" t="s">
        <v>166</v>
      </c>
    </row>
    <row r="3240">
      <c r="A3240" s="1">
        <v>43415.43083092592</v>
      </c>
      <c r="B3240" s="2">
        <v>673.0</v>
      </c>
      <c r="C3240" s="2" t="s">
        <v>189</v>
      </c>
    </row>
    <row r="3241">
      <c r="A3241" s="1">
        <v>43415.43112201389</v>
      </c>
      <c r="B3241" s="2">
        <v>189.0</v>
      </c>
      <c r="C3241" s="2" t="s">
        <v>128</v>
      </c>
    </row>
    <row r="3242">
      <c r="A3242" s="1">
        <v>43415.43118717593</v>
      </c>
      <c r="B3242" s="2">
        <v>246.0</v>
      </c>
      <c r="C3242" s="2" t="s">
        <v>26</v>
      </c>
    </row>
    <row r="3243">
      <c r="A3243" s="1">
        <v>43415.43127584491</v>
      </c>
      <c r="B3243" s="3" t="s">
        <v>55</v>
      </c>
      <c r="C3243" s="2" t="s">
        <v>56</v>
      </c>
    </row>
    <row r="3244">
      <c r="A3244" s="1">
        <v>43415.43140707176</v>
      </c>
      <c r="B3244" s="2">
        <v>735.0</v>
      </c>
      <c r="C3244" s="2" t="s">
        <v>37</v>
      </c>
      <c r="D3244" s="2" t="s">
        <v>5</v>
      </c>
    </row>
    <row r="3245">
      <c r="A3245" s="1">
        <v>43415.43154091435</v>
      </c>
      <c r="B3245" s="2">
        <v>141.0</v>
      </c>
      <c r="C3245" s="2" t="s">
        <v>53</v>
      </c>
    </row>
    <row r="3246">
      <c r="A3246" s="1">
        <v>43415.431585729166</v>
      </c>
      <c r="B3246" s="3" t="s">
        <v>32</v>
      </c>
      <c r="C3246" s="2" t="s">
        <v>33</v>
      </c>
    </row>
    <row r="3247">
      <c r="A3247" s="1">
        <v>43415.43172204861</v>
      </c>
      <c r="B3247" s="2">
        <v>262.0</v>
      </c>
      <c r="C3247" s="2" t="s">
        <v>28</v>
      </c>
    </row>
    <row r="3248">
      <c r="A3248" s="1">
        <v>43415.43183619213</v>
      </c>
      <c r="B3248" s="2">
        <v>244.0</v>
      </c>
      <c r="C3248" s="2" t="s">
        <v>38</v>
      </c>
    </row>
    <row r="3249">
      <c r="A3249" s="1">
        <v>43415.43187606482</v>
      </c>
      <c r="B3249" s="2">
        <v>193.0</v>
      </c>
      <c r="C3249" s="2" t="s">
        <v>30</v>
      </c>
    </row>
    <row r="3250">
      <c r="A3250" s="1">
        <v>43415.43200199074</v>
      </c>
      <c r="B3250" s="2">
        <v>172.0</v>
      </c>
      <c r="C3250" s="2" t="s">
        <v>65</v>
      </c>
    </row>
    <row r="3251">
      <c r="A3251" s="1">
        <v>43415.43211337963</v>
      </c>
      <c r="B3251" s="2">
        <v>707.0</v>
      </c>
      <c r="C3251" s="2" t="s">
        <v>57</v>
      </c>
      <c r="D3251" s="2" t="s">
        <v>5</v>
      </c>
    </row>
    <row r="3252">
      <c r="A3252" s="1">
        <v>43415.432195381945</v>
      </c>
      <c r="B3252" s="2">
        <v>214.0</v>
      </c>
      <c r="C3252" s="2" t="s">
        <v>47</v>
      </c>
    </row>
    <row r="3253">
      <c r="A3253" s="1">
        <v>43415.43236253472</v>
      </c>
      <c r="B3253" s="2">
        <v>173.0</v>
      </c>
      <c r="C3253" s="2" t="s">
        <v>24</v>
      </c>
    </row>
    <row r="3254">
      <c r="A3254" s="1">
        <v>43415.43238912037</v>
      </c>
      <c r="B3254" s="3" t="s">
        <v>55</v>
      </c>
      <c r="C3254" s="2" t="s">
        <v>56</v>
      </c>
    </row>
    <row r="3255">
      <c r="A3255" s="1">
        <v>43415.43252966435</v>
      </c>
      <c r="B3255" s="3" t="s">
        <v>55</v>
      </c>
      <c r="C3255" s="2" t="s">
        <v>56</v>
      </c>
    </row>
    <row r="3256">
      <c r="A3256" s="1">
        <v>43415.432607407405</v>
      </c>
      <c r="B3256" s="3" t="s">
        <v>55</v>
      </c>
      <c r="C3256" s="2" t="s">
        <v>56</v>
      </c>
    </row>
    <row r="3257">
      <c r="A3257" s="1">
        <v>43415.4328262037</v>
      </c>
      <c r="B3257" s="2">
        <v>707.0</v>
      </c>
      <c r="C3257" s="2" t="s">
        <v>57</v>
      </c>
      <c r="D3257" s="2" t="s">
        <v>5</v>
      </c>
    </row>
    <row r="3258">
      <c r="A3258" s="1">
        <v>43415.433051458334</v>
      </c>
      <c r="B3258" s="3" t="s">
        <v>44</v>
      </c>
      <c r="C3258" s="2" t="s">
        <v>45</v>
      </c>
    </row>
    <row r="3259">
      <c r="A3259" s="1">
        <v>43415.43335872685</v>
      </c>
      <c r="B3259" s="2">
        <v>625.0</v>
      </c>
      <c r="C3259" s="2" t="s">
        <v>136</v>
      </c>
    </row>
    <row r="3260">
      <c r="A3260" s="1">
        <v>43415.433627754624</v>
      </c>
      <c r="B3260" s="2">
        <v>231.0</v>
      </c>
      <c r="C3260" s="2" t="s">
        <v>61</v>
      </c>
    </row>
    <row r="3261">
      <c r="A3261" s="1">
        <v>43415.433760960645</v>
      </c>
      <c r="B3261" s="2">
        <v>737.0</v>
      </c>
      <c r="C3261" s="2" t="s">
        <v>176</v>
      </c>
      <c r="D3261" s="2" t="s">
        <v>5</v>
      </c>
    </row>
    <row r="3262">
      <c r="A3262" s="1">
        <v>43415.43395484953</v>
      </c>
      <c r="B3262" s="3" t="s">
        <v>111</v>
      </c>
      <c r="C3262" s="2" t="s">
        <v>112</v>
      </c>
    </row>
    <row r="3263">
      <c r="A3263" s="1">
        <v>43415.434115682874</v>
      </c>
      <c r="B3263" s="2">
        <v>649.0</v>
      </c>
      <c r="C3263" s="2" t="s">
        <v>177</v>
      </c>
    </row>
    <row r="3264">
      <c r="A3264" s="1">
        <v>43415.43443875</v>
      </c>
      <c r="B3264" s="2">
        <v>712.0</v>
      </c>
      <c r="C3264" s="2" t="s">
        <v>116</v>
      </c>
      <c r="D3264" s="2" t="s">
        <v>5</v>
      </c>
    </row>
    <row r="3265">
      <c r="A3265" s="1">
        <v>43415.43500960648</v>
      </c>
      <c r="B3265" s="2">
        <v>724.0</v>
      </c>
      <c r="C3265" s="2" t="s">
        <v>91</v>
      </c>
      <c r="D3265" s="2" t="s">
        <v>5</v>
      </c>
    </row>
    <row r="3266">
      <c r="A3266" s="1">
        <v>43415.43514376157</v>
      </c>
      <c r="B3266" s="2">
        <v>725.0</v>
      </c>
      <c r="C3266" s="2" t="s">
        <v>92</v>
      </c>
      <c r="D3266" s="2" t="s">
        <v>5</v>
      </c>
    </row>
    <row r="3267">
      <c r="A3267" s="1">
        <v>43415.435179189815</v>
      </c>
      <c r="B3267" s="2">
        <v>193.0</v>
      </c>
      <c r="C3267" s="2" t="s">
        <v>30</v>
      </c>
    </row>
    <row r="3268">
      <c r="A3268" s="1">
        <v>43415.43532199074</v>
      </c>
      <c r="B3268" s="3" t="s">
        <v>51</v>
      </c>
      <c r="C3268" s="2" t="s">
        <v>52</v>
      </c>
    </row>
    <row r="3269">
      <c r="A3269" s="1">
        <v>43415.43549605324</v>
      </c>
      <c r="B3269" s="3" t="s">
        <v>159</v>
      </c>
      <c r="C3269" s="2" t="s">
        <v>160</v>
      </c>
    </row>
    <row r="3270">
      <c r="A3270" s="1">
        <v>43415.435586782405</v>
      </c>
      <c r="B3270" s="3" t="s">
        <v>80</v>
      </c>
      <c r="C3270" s="2" t="s">
        <v>81</v>
      </c>
    </row>
    <row r="3271">
      <c r="A3271" s="1">
        <v>43415.43597016204</v>
      </c>
      <c r="B3271" s="3" t="s">
        <v>88</v>
      </c>
      <c r="C3271" s="2" t="s">
        <v>89</v>
      </c>
    </row>
    <row r="3272">
      <c r="A3272" s="1">
        <v>43415.43639453704</v>
      </c>
      <c r="B3272" s="3" t="s">
        <v>103</v>
      </c>
      <c r="C3272" s="2" t="s">
        <v>104</v>
      </c>
    </row>
    <row r="3273">
      <c r="A3273" s="1">
        <v>43415.43769548611</v>
      </c>
      <c r="B3273" s="2">
        <v>158.0</v>
      </c>
      <c r="C3273" s="2" t="s">
        <v>62</v>
      </c>
    </row>
    <row r="3274">
      <c r="A3274" s="1">
        <v>43415.43778918982</v>
      </c>
      <c r="B3274" s="2">
        <v>113.0</v>
      </c>
      <c r="C3274" s="2" t="s">
        <v>29</v>
      </c>
    </row>
    <row r="3275">
      <c r="A3275" s="1">
        <v>43415.43809790509</v>
      </c>
      <c r="B3275" s="3" t="s">
        <v>22</v>
      </c>
      <c r="C3275" s="2" t="s">
        <v>23</v>
      </c>
    </row>
    <row r="3276">
      <c r="A3276" s="1">
        <v>43415.43855467593</v>
      </c>
      <c r="B3276" s="2">
        <v>624.0</v>
      </c>
      <c r="C3276" s="2" t="s">
        <v>90</v>
      </c>
    </row>
    <row r="3277">
      <c r="A3277" s="1">
        <v>43415.44057248843</v>
      </c>
      <c r="B3277" s="3" t="s">
        <v>111</v>
      </c>
      <c r="C3277" s="2" t="s">
        <v>112</v>
      </c>
    </row>
    <row r="3278">
      <c r="A3278" s="1">
        <v>43415.44136784722</v>
      </c>
      <c r="B3278" s="2">
        <v>734.0</v>
      </c>
      <c r="C3278" s="2" t="s">
        <v>63</v>
      </c>
      <c r="D3278" s="2" t="s">
        <v>5</v>
      </c>
    </row>
    <row r="3279">
      <c r="A3279" s="1">
        <v>43415.44168605324</v>
      </c>
      <c r="B3279" s="2">
        <v>260.0</v>
      </c>
      <c r="C3279" s="2" t="s">
        <v>67</v>
      </c>
    </row>
    <row r="3280">
      <c r="A3280" s="1">
        <v>43415.44192678241</v>
      </c>
      <c r="B3280" s="2">
        <v>210.0</v>
      </c>
      <c r="C3280" s="2" t="s">
        <v>64</v>
      </c>
    </row>
    <row r="3281">
      <c r="A3281" s="1">
        <v>43415.442022222225</v>
      </c>
      <c r="B3281" s="2">
        <v>208.0</v>
      </c>
      <c r="C3281" s="2" t="s">
        <v>182</v>
      </c>
    </row>
    <row r="3282">
      <c r="A3282" s="1">
        <v>43415.44215835648</v>
      </c>
      <c r="B3282" s="3" t="s">
        <v>13</v>
      </c>
      <c r="C3282" s="2" t="s">
        <v>14</v>
      </c>
    </row>
    <row r="3283">
      <c r="A3283" s="1">
        <v>43415.442322002316</v>
      </c>
      <c r="B3283" s="2">
        <v>259.0</v>
      </c>
      <c r="C3283" s="2" t="s">
        <v>66</v>
      </c>
    </row>
    <row r="3284">
      <c r="A3284" s="1">
        <v>43415.44297591435</v>
      </c>
      <c r="B3284" s="2">
        <v>602.0</v>
      </c>
      <c r="C3284" s="2" t="s">
        <v>131</v>
      </c>
    </row>
    <row r="3285">
      <c r="A3285" s="1">
        <v>43415.4434687037</v>
      </c>
      <c r="B3285" s="2">
        <v>160.0</v>
      </c>
      <c r="C3285" s="2" t="s">
        <v>154</v>
      </c>
    </row>
    <row r="3286">
      <c r="A3286" s="1">
        <v>43415.44421877315</v>
      </c>
      <c r="B3286" s="2">
        <v>721.0</v>
      </c>
      <c r="C3286" s="2" t="s">
        <v>156</v>
      </c>
      <c r="D3286" s="2" t="s">
        <v>5</v>
      </c>
    </row>
    <row r="3287">
      <c r="A3287" s="1">
        <v>43415.444404305556</v>
      </c>
      <c r="B3287" s="3" t="s">
        <v>98</v>
      </c>
      <c r="C3287" s="2" t="s">
        <v>99</v>
      </c>
    </row>
    <row r="3288">
      <c r="A3288" s="1">
        <v>43415.444729016206</v>
      </c>
      <c r="B3288" s="2">
        <v>726.0</v>
      </c>
      <c r="C3288" s="2" t="s">
        <v>101</v>
      </c>
      <c r="D3288" s="2" t="s">
        <v>5</v>
      </c>
    </row>
    <row r="3289">
      <c r="A3289" s="1">
        <v>43415.44491262731</v>
      </c>
      <c r="B3289" s="2">
        <v>732.0</v>
      </c>
      <c r="C3289" s="2" t="s">
        <v>102</v>
      </c>
      <c r="D3289" s="2" t="s">
        <v>5</v>
      </c>
    </row>
    <row r="3290">
      <c r="A3290" s="1">
        <v>43415.44510067129</v>
      </c>
      <c r="B3290" s="2">
        <v>267.0</v>
      </c>
      <c r="C3290" s="2" t="s">
        <v>115</v>
      </c>
    </row>
    <row r="3291">
      <c r="A3291" s="1">
        <v>43415.44829074074</v>
      </c>
      <c r="B3291" s="2">
        <v>701.0</v>
      </c>
      <c r="C3291" s="2" t="s">
        <v>93</v>
      </c>
      <c r="D3291" s="2" t="s">
        <v>5</v>
      </c>
    </row>
    <row r="3292">
      <c r="A3292" s="1">
        <v>43415.448883784724</v>
      </c>
      <c r="B3292" s="2">
        <v>124.0</v>
      </c>
      <c r="C3292" s="2" t="s">
        <v>107</v>
      </c>
    </row>
    <row r="3293">
      <c r="A3293" s="1">
        <v>43415.44903520834</v>
      </c>
      <c r="B3293" s="2">
        <v>718.0</v>
      </c>
      <c r="C3293" s="2" t="s">
        <v>105</v>
      </c>
      <c r="D3293" s="2" t="s">
        <v>5</v>
      </c>
    </row>
    <row r="3294">
      <c r="A3294" s="1">
        <v>43415.44961725695</v>
      </c>
      <c r="B3294" s="2">
        <v>719.0</v>
      </c>
      <c r="C3294" s="2" t="s">
        <v>106</v>
      </c>
      <c r="D3294" s="2" t="s">
        <v>5</v>
      </c>
    </row>
    <row r="3295">
      <c r="A3295" s="1">
        <v>43415.44981449074</v>
      </c>
      <c r="B3295" s="2">
        <v>101.0</v>
      </c>
      <c r="C3295" s="2" t="s">
        <v>108</v>
      </c>
    </row>
    <row r="3296">
      <c r="A3296" s="1">
        <v>43415.44988965278</v>
      </c>
      <c r="B3296" s="3" t="s">
        <v>113</v>
      </c>
      <c r="C3296" s="2" t="s">
        <v>114</v>
      </c>
    </row>
    <row r="3297">
      <c r="A3297" s="1">
        <v>43415.45528274306</v>
      </c>
      <c r="B3297" s="2">
        <v>236.0</v>
      </c>
      <c r="C3297" s="2" t="s">
        <v>142</v>
      </c>
    </row>
    <row r="3298">
      <c r="A3298" s="1">
        <v>43415.465908495375</v>
      </c>
      <c r="B3298" s="2">
        <v>147.0</v>
      </c>
      <c r="C3298" s="2" t="s">
        <v>100</v>
      </c>
    </row>
    <row r="3299">
      <c r="A3299" s="1">
        <v>43415.47181137731</v>
      </c>
      <c r="B3299" s="2">
        <v>229.0</v>
      </c>
      <c r="C3299" s="2" t="s">
        <v>86</v>
      </c>
    </row>
    <row r="3300">
      <c r="A3300" s="1">
        <v>43415.473397662034</v>
      </c>
      <c r="B3300" s="3" t="s">
        <v>119</v>
      </c>
      <c r="C3300" s="2" t="s">
        <v>120</v>
      </c>
    </row>
    <row r="3301">
      <c r="A3301" s="1">
        <v>43415.475819328705</v>
      </c>
      <c r="B3301" s="2">
        <v>713.0</v>
      </c>
      <c r="C3301" s="2" t="s">
        <v>121</v>
      </c>
      <c r="D3301" s="2" t="s">
        <v>5</v>
      </c>
    </row>
    <row r="3302">
      <c r="A3302" s="1">
        <v>43415.47608891204</v>
      </c>
      <c r="B3302" s="2">
        <v>714.0</v>
      </c>
      <c r="C3302" s="2" t="s">
        <v>122</v>
      </c>
      <c r="D3302" s="2" t="s">
        <v>5</v>
      </c>
    </row>
    <row r="3303">
      <c r="A3303" s="1">
        <v>43415.49770662037</v>
      </c>
      <c r="B3303" s="2">
        <v>246.0</v>
      </c>
      <c r="C3303" s="2" t="s">
        <v>26</v>
      </c>
    </row>
    <row r="3304">
      <c r="A3304" s="1">
        <v>43416.97449625</v>
      </c>
      <c r="B3304" s="3" t="s">
        <v>184</v>
      </c>
      <c r="C3304" s="2" t="s">
        <v>185</v>
      </c>
    </row>
    <row r="3305">
      <c r="A3305" s="1">
        <v>43418.72549916667</v>
      </c>
      <c r="B3305" s="2">
        <v>198.0</v>
      </c>
      <c r="C3305" s="2" t="s">
        <v>97</v>
      </c>
    </row>
    <row r="3306">
      <c r="A3306" s="1">
        <v>43418.72886614583</v>
      </c>
      <c r="B3306" s="2">
        <v>729.0</v>
      </c>
      <c r="C3306" s="2" t="s">
        <v>54</v>
      </c>
      <c r="D3306" s="2" t="s">
        <v>5</v>
      </c>
    </row>
    <row r="3307">
      <c r="A3307" s="1">
        <v>43420.90664215278</v>
      </c>
      <c r="B3307" s="3" t="s">
        <v>184</v>
      </c>
      <c r="C3307" s="2" t="s">
        <v>185</v>
      </c>
    </row>
    <row r="3308">
      <c r="A3308" s="1">
        <v>43420.90672855324</v>
      </c>
      <c r="B3308" s="3" t="s">
        <v>9</v>
      </c>
      <c r="C3308" s="2" t="s">
        <v>10</v>
      </c>
    </row>
    <row r="3309">
      <c r="A3309" s="1">
        <v>43421.73108048611</v>
      </c>
      <c r="B3309" s="3" t="s">
        <v>184</v>
      </c>
      <c r="C3309" s="2" t="s">
        <v>185</v>
      </c>
    </row>
    <row r="3310">
      <c r="A3310" s="1">
        <v>43426.685328657404</v>
      </c>
      <c r="B3310" s="2">
        <v>609.0</v>
      </c>
      <c r="C3310" s="2" t="s">
        <v>179</v>
      </c>
    </row>
    <row r="3311">
      <c r="A3311" s="1">
        <v>43426.808227650465</v>
      </c>
      <c r="B3311" s="2">
        <v>653.0</v>
      </c>
      <c r="C3311" s="2" t="s">
        <v>77</v>
      </c>
    </row>
    <row r="3312">
      <c r="A3312" s="1">
        <v>43426.80973633102</v>
      </c>
      <c r="B3312" s="2">
        <v>653.0</v>
      </c>
      <c r="C3312" s="2" t="s">
        <v>77</v>
      </c>
    </row>
    <row r="3313">
      <c r="A3313" s="1">
        <v>43429.40688699074</v>
      </c>
      <c r="B3313" s="2">
        <v>252.0</v>
      </c>
      <c r="C3313" s="2" t="s">
        <v>34</v>
      </c>
    </row>
    <row r="3314">
      <c r="A3314" s="1">
        <v>43429.412262743055</v>
      </c>
      <c r="B3314" s="2">
        <v>246.0</v>
      </c>
      <c r="C3314" s="2" t="s">
        <v>26</v>
      </c>
    </row>
    <row r="3315">
      <c r="A3315" s="1">
        <v>43429.41998424768</v>
      </c>
      <c r="B3315" s="2">
        <v>167.0</v>
      </c>
      <c r="C3315" s="2" t="s">
        <v>39</v>
      </c>
    </row>
    <row r="3316">
      <c r="A3316" s="1">
        <v>43429.4246675</v>
      </c>
      <c r="B3316" s="2">
        <v>736.0</v>
      </c>
      <c r="C3316" s="2" t="s">
        <v>175</v>
      </c>
      <c r="D3316" s="2" t="s">
        <v>5</v>
      </c>
    </row>
    <row r="3317">
      <c r="A3317" s="1">
        <v>43429.42477293982</v>
      </c>
      <c r="B3317" s="2">
        <v>737.0</v>
      </c>
      <c r="C3317" s="2" t="s">
        <v>176</v>
      </c>
      <c r="D3317" s="2" t="s">
        <v>5</v>
      </c>
    </row>
    <row r="3318">
      <c r="A3318" s="1">
        <v>43429.42670787037</v>
      </c>
      <c r="B3318" s="3" t="s">
        <v>162</v>
      </c>
      <c r="C3318" s="2" t="s">
        <v>163</v>
      </c>
    </row>
    <row r="3319">
      <c r="A3319" s="1">
        <v>43429.42670787037</v>
      </c>
      <c r="B3319" s="3" t="s">
        <v>94</v>
      </c>
      <c r="C3319" s="2" t="s">
        <v>95</v>
      </c>
    </row>
    <row r="3320">
      <c r="A3320" s="1">
        <v>43429.42674657407</v>
      </c>
      <c r="B3320" s="3" t="s">
        <v>162</v>
      </c>
      <c r="C3320" s="2" t="s">
        <v>163</v>
      </c>
    </row>
    <row r="3321">
      <c r="A3321" s="1">
        <v>43429.426889282404</v>
      </c>
      <c r="B3321" s="2">
        <v>160.0</v>
      </c>
      <c r="C3321" s="2" t="s">
        <v>154</v>
      </c>
    </row>
    <row r="3322">
      <c r="A3322" s="1">
        <v>43429.426924375</v>
      </c>
      <c r="B3322" s="2">
        <v>160.0</v>
      </c>
      <c r="C3322" s="2" t="s">
        <v>154</v>
      </c>
    </row>
    <row r="3323">
      <c r="A3323" s="1">
        <v>43429.427006956015</v>
      </c>
      <c r="B3323" s="2">
        <v>720.0</v>
      </c>
      <c r="C3323" s="2" t="s">
        <v>155</v>
      </c>
      <c r="D3323" s="2" t="s">
        <v>5</v>
      </c>
    </row>
    <row r="3324">
      <c r="A3324" s="1">
        <v>43429.427008032406</v>
      </c>
      <c r="B3324" s="2">
        <v>124.0</v>
      </c>
      <c r="C3324" s="2" t="s">
        <v>107</v>
      </c>
    </row>
    <row r="3325">
      <c r="A3325" s="1">
        <v>43429.42704111111</v>
      </c>
      <c r="B3325" s="2">
        <v>720.0</v>
      </c>
      <c r="C3325" s="2" t="s">
        <v>155</v>
      </c>
      <c r="D3325" s="2" t="s">
        <v>5</v>
      </c>
    </row>
    <row r="3326">
      <c r="A3326" s="1">
        <v>43429.427137418985</v>
      </c>
      <c r="B3326" s="2">
        <v>721.0</v>
      </c>
      <c r="C3326" s="2" t="s">
        <v>156</v>
      </c>
      <c r="D3326" s="2" t="s">
        <v>5</v>
      </c>
    </row>
    <row r="3327">
      <c r="A3327" s="1">
        <v>43429.42717439815</v>
      </c>
      <c r="B3327" s="2">
        <v>721.0</v>
      </c>
      <c r="C3327" s="2" t="s">
        <v>156</v>
      </c>
      <c r="D3327" s="2" t="s">
        <v>5</v>
      </c>
    </row>
    <row r="3328">
      <c r="A3328" s="1">
        <v>43429.42727508102</v>
      </c>
      <c r="B3328" s="2">
        <v>244.0</v>
      </c>
      <c r="C3328" s="2" t="s">
        <v>38</v>
      </c>
    </row>
    <row r="3329">
      <c r="A3329" s="1">
        <v>43429.42745128472</v>
      </c>
      <c r="B3329" s="2">
        <v>231.0</v>
      </c>
      <c r="C3329" s="2" t="s">
        <v>61</v>
      </c>
    </row>
    <row r="3330">
      <c r="A3330" s="1">
        <v>43429.42753814815</v>
      </c>
      <c r="B3330" s="2">
        <v>618.0</v>
      </c>
      <c r="C3330" s="2" t="s">
        <v>147</v>
      </c>
    </row>
    <row r="3331">
      <c r="A3331" s="1">
        <v>43429.42771210648</v>
      </c>
      <c r="B3331" s="2">
        <v>607.0</v>
      </c>
      <c r="C3331" s="2" t="s">
        <v>68</v>
      </c>
    </row>
    <row r="3332">
      <c r="A3332" s="1">
        <v>43429.42773776621</v>
      </c>
      <c r="B3332" s="2">
        <v>165.0</v>
      </c>
      <c r="C3332" s="2" t="s">
        <v>50</v>
      </c>
    </row>
    <row r="3333">
      <c r="A3333" s="1">
        <v>43429.42787320602</v>
      </c>
      <c r="B3333" s="2">
        <v>611.0</v>
      </c>
      <c r="C3333" s="2" t="s">
        <v>143</v>
      </c>
    </row>
    <row r="3334">
      <c r="A3334" s="1">
        <v>43429.4279637963</v>
      </c>
      <c r="B3334" s="2">
        <v>214.0</v>
      </c>
      <c r="C3334" s="2" t="s">
        <v>47</v>
      </c>
    </row>
    <row r="3335">
      <c r="A3335" s="1">
        <v>43429.42814721065</v>
      </c>
      <c r="B3335" s="2">
        <v>193.0</v>
      </c>
      <c r="C3335" s="2" t="s">
        <v>30</v>
      </c>
    </row>
    <row r="3336">
      <c r="A3336" s="1">
        <v>43429.4283046875</v>
      </c>
      <c r="B3336" s="3" t="s">
        <v>32</v>
      </c>
      <c r="C3336" s="2" t="s">
        <v>33</v>
      </c>
    </row>
    <row r="3337">
      <c r="A3337" s="1">
        <v>43429.428425983795</v>
      </c>
      <c r="B3337" s="2">
        <v>173.0</v>
      </c>
      <c r="C3337" s="2" t="s">
        <v>24</v>
      </c>
    </row>
    <row r="3338">
      <c r="A3338" s="1">
        <v>43429.428744895835</v>
      </c>
      <c r="B3338" s="2">
        <v>208.0</v>
      </c>
      <c r="C3338" s="2" t="s">
        <v>182</v>
      </c>
    </row>
    <row r="3339">
      <c r="A3339" s="1">
        <v>43429.42900912037</v>
      </c>
      <c r="B3339" s="3" t="s">
        <v>111</v>
      </c>
      <c r="C3339" s="2" t="s">
        <v>112</v>
      </c>
    </row>
    <row r="3340">
      <c r="A3340" s="1">
        <v>43429.429813877316</v>
      </c>
      <c r="B3340" s="2">
        <v>201.0</v>
      </c>
      <c r="C3340" s="2" t="s">
        <v>70</v>
      </c>
    </row>
    <row r="3341">
      <c r="A3341" s="1">
        <v>43429.43000144676</v>
      </c>
      <c r="B3341" s="2">
        <v>253.0</v>
      </c>
      <c r="C3341" s="2" t="s">
        <v>138</v>
      </c>
    </row>
    <row r="3342">
      <c r="A3342" s="1">
        <v>43429.43012655093</v>
      </c>
      <c r="B3342" s="2">
        <v>267.0</v>
      </c>
      <c r="C3342" s="2" t="s">
        <v>115</v>
      </c>
    </row>
    <row r="3343">
      <c r="A3343" s="1">
        <v>43429.43034212963</v>
      </c>
      <c r="B3343" s="2">
        <v>158.0</v>
      </c>
      <c r="C3343" s="2" t="s">
        <v>62</v>
      </c>
    </row>
    <row r="3344">
      <c r="A3344" s="1">
        <v>43429.430479166665</v>
      </c>
      <c r="B3344" s="2">
        <v>113.0</v>
      </c>
      <c r="C3344" s="2" t="s">
        <v>29</v>
      </c>
    </row>
    <row r="3345">
      <c r="A3345" s="1">
        <v>43429.43064491898</v>
      </c>
      <c r="B3345" s="2">
        <v>238.0</v>
      </c>
      <c r="C3345" s="2" t="s">
        <v>35</v>
      </c>
    </row>
    <row r="3346">
      <c r="A3346" s="1">
        <v>43429.4314165625</v>
      </c>
      <c r="B3346" s="3" t="s">
        <v>159</v>
      </c>
      <c r="C3346" s="2" t="s">
        <v>160</v>
      </c>
    </row>
    <row r="3347">
      <c r="A3347" s="1">
        <v>43429.431635891204</v>
      </c>
      <c r="B3347" s="2">
        <v>643.0</v>
      </c>
      <c r="C3347" s="2" t="s">
        <v>166</v>
      </c>
    </row>
    <row r="3348">
      <c r="A3348" s="1">
        <v>43429.43217729167</v>
      </c>
      <c r="B3348" s="3" t="s">
        <v>22</v>
      </c>
      <c r="C3348" s="2" t="s">
        <v>23</v>
      </c>
    </row>
    <row r="3349">
      <c r="A3349" s="1">
        <v>43429.43228725695</v>
      </c>
      <c r="B3349" s="2">
        <v>614.0</v>
      </c>
      <c r="C3349" s="2" t="s">
        <v>76</v>
      </c>
    </row>
    <row r="3350">
      <c r="A3350" s="1">
        <v>43429.432802118055</v>
      </c>
      <c r="B3350" s="2">
        <v>735.0</v>
      </c>
      <c r="C3350" s="2" t="s">
        <v>37</v>
      </c>
      <c r="D3350" s="2" t="s">
        <v>5</v>
      </c>
    </row>
    <row r="3351">
      <c r="A3351" s="1">
        <v>43429.43304321759</v>
      </c>
      <c r="B3351" s="3" t="s">
        <v>88</v>
      </c>
      <c r="C3351" s="2" t="s">
        <v>89</v>
      </c>
    </row>
    <row r="3352">
      <c r="A3352" s="1">
        <v>43429.433477812505</v>
      </c>
      <c r="B3352" s="2">
        <v>649.0</v>
      </c>
      <c r="C3352" s="2" t="s">
        <v>177</v>
      </c>
    </row>
    <row r="3353">
      <c r="A3353" s="1">
        <v>43429.43353523148</v>
      </c>
      <c r="B3353" s="2">
        <v>729.0</v>
      </c>
      <c r="C3353" s="2" t="s">
        <v>54</v>
      </c>
      <c r="D3353" s="2" t="s">
        <v>5</v>
      </c>
    </row>
    <row r="3354">
      <c r="A3354" s="1">
        <v>43429.43363486111</v>
      </c>
      <c r="B3354" s="3" t="s">
        <v>44</v>
      </c>
      <c r="C3354" s="2" t="s">
        <v>45</v>
      </c>
    </row>
    <row r="3355">
      <c r="A3355" s="1">
        <v>43429.43378486111</v>
      </c>
      <c r="B3355" s="2">
        <v>141.0</v>
      </c>
      <c r="C3355" s="2" t="s">
        <v>53</v>
      </c>
    </row>
    <row r="3356">
      <c r="A3356" s="1">
        <v>43429.43399564815</v>
      </c>
      <c r="B3356" s="3" t="s">
        <v>55</v>
      </c>
      <c r="C3356" s="2" t="s">
        <v>56</v>
      </c>
    </row>
    <row r="3357">
      <c r="A3357" s="1">
        <v>43429.43419289352</v>
      </c>
      <c r="B3357" s="2">
        <v>667.0</v>
      </c>
      <c r="C3357" s="2" t="s">
        <v>73</v>
      </c>
    </row>
    <row r="3358">
      <c r="A3358" s="1">
        <v>43429.43423733796</v>
      </c>
      <c r="B3358" s="3" t="s">
        <v>9</v>
      </c>
      <c r="C3358" s="2" t="s">
        <v>10</v>
      </c>
    </row>
    <row r="3359">
      <c r="A3359" s="1">
        <v>43429.43425662037</v>
      </c>
      <c r="B3359" s="2">
        <v>707.0</v>
      </c>
      <c r="C3359" s="2" t="s">
        <v>57</v>
      </c>
      <c r="D3359" s="2" t="s">
        <v>5</v>
      </c>
    </row>
    <row r="3360">
      <c r="A3360" s="1">
        <v>43429.43425803241</v>
      </c>
      <c r="B3360" s="2">
        <v>613.0</v>
      </c>
      <c r="C3360" s="2" t="s">
        <v>124</v>
      </c>
    </row>
    <row r="3361">
      <c r="A3361" s="1">
        <v>43429.43426098379</v>
      </c>
      <c r="B3361" s="2">
        <v>706.0</v>
      </c>
      <c r="C3361" s="2" t="s">
        <v>149</v>
      </c>
      <c r="D3361" s="2" t="s">
        <v>5</v>
      </c>
    </row>
    <row r="3362">
      <c r="A3362" s="1">
        <v>43429.43440046297</v>
      </c>
      <c r="B3362" s="2">
        <v>723.0</v>
      </c>
      <c r="C3362" s="2" t="s">
        <v>84</v>
      </c>
      <c r="D3362" s="2" t="s">
        <v>5</v>
      </c>
    </row>
    <row r="3363">
      <c r="A3363" s="1">
        <v>43429.43440153935</v>
      </c>
      <c r="B3363" s="3" t="s">
        <v>150</v>
      </c>
      <c r="C3363" s="2" t="s">
        <v>151</v>
      </c>
    </row>
    <row r="3364">
      <c r="A3364" s="1">
        <v>43429.43445581019</v>
      </c>
      <c r="B3364" s="2">
        <v>707.0</v>
      </c>
      <c r="C3364" s="2" t="s">
        <v>57</v>
      </c>
      <c r="D3364" s="2" t="s">
        <v>5</v>
      </c>
    </row>
    <row r="3365">
      <c r="A3365" s="1">
        <v>43429.43455796296</v>
      </c>
      <c r="B3365" s="3" t="s">
        <v>82</v>
      </c>
      <c r="C3365" s="2" t="s">
        <v>83</v>
      </c>
    </row>
    <row r="3366">
      <c r="A3366" s="1">
        <v>43429.43465034722</v>
      </c>
      <c r="B3366" s="3" t="s">
        <v>78</v>
      </c>
      <c r="C3366" s="2" t="s">
        <v>79</v>
      </c>
    </row>
    <row r="3367">
      <c r="A3367" s="1">
        <v>43429.43476710648</v>
      </c>
      <c r="B3367" s="3" t="s">
        <v>74</v>
      </c>
      <c r="C3367" s="2" t="s">
        <v>75</v>
      </c>
    </row>
    <row r="3368">
      <c r="A3368" s="1">
        <v>43429.43497665509</v>
      </c>
      <c r="B3368" s="3" t="s">
        <v>150</v>
      </c>
      <c r="C3368" s="2" t="s">
        <v>151</v>
      </c>
    </row>
    <row r="3369">
      <c r="A3369" s="1">
        <v>43429.43515052083</v>
      </c>
      <c r="B3369" s="2">
        <v>706.0</v>
      </c>
      <c r="C3369" s="2" t="s">
        <v>149</v>
      </c>
      <c r="D3369" s="2" t="s">
        <v>5</v>
      </c>
    </row>
    <row r="3370">
      <c r="A3370" s="1">
        <v>43429.43527634259</v>
      </c>
      <c r="B3370" s="2">
        <v>667.0</v>
      </c>
      <c r="C3370" s="2" t="s">
        <v>73</v>
      </c>
    </row>
    <row r="3371">
      <c r="A3371" s="1">
        <v>43429.43546813657</v>
      </c>
      <c r="B3371" s="2">
        <v>173.0</v>
      </c>
      <c r="C3371" s="2" t="s">
        <v>24</v>
      </c>
    </row>
    <row r="3372">
      <c r="A3372" s="1">
        <v>43429.43548064815</v>
      </c>
      <c r="B3372" s="2">
        <v>722.0</v>
      </c>
      <c r="C3372" s="2" t="s">
        <v>25</v>
      </c>
      <c r="D3372" s="2" t="s">
        <v>5</v>
      </c>
    </row>
    <row r="3373">
      <c r="A3373" s="1">
        <v>43429.43758388889</v>
      </c>
      <c r="B3373" s="2">
        <v>611.0</v>
      </c>
      <c r="C3373" s="2" t="s">
        <v>143</v>
      </c>
    </row>
    <row r="3374">
      <c r="A3374" s="1">
        <v>43429.437663310186</v>
      </c>
      <c r="B3374" s="3" t="s">
        <v>103</v>
      </c>
      <c r="C3374" s="2" t="s">
        <v>104</v>
      </c>
    </row>
    <row r="3375">
      <c r="A3375" s="1">
        <v>43429.43799701388</v>
      </c>
      <c r="B3375" s="2">
        <v>706.0</v>
      </c>
      <c r="C3375" s="2" t="s">
        <v>149</v>
      </c>
      <c r="D3375" s="2" t="s">
        <v>5</v>
      </c>
    </row>
    <row r="3376">
      <c r="A3376" s="1">
        <v>43429.43855028936</v>
      </c>
      <c r="B3376" s="3" t="s">
        <v>98</v>
      </c>
      <c r="C3376" s="2" t="s">
        <v>99</v>
      </c>
    </row>
    <row r="3377">
      <c r="A3377" s="1">
        <v>43429.43863752315</v>
      </c>
      <c r="B3377" s="2">
        <v>147.0</v>
      </c>
      <c r="C3377" s="2" t="s">
        <v>100</v>
      </c>
    </row>
    <row r="3378">
      <c r="A3378" s="1">
        <v>43429.4388812963</v>
      </c>
      <c r="B3378" s="2">
        <v>732.0</v>
      </c>
      <c r="C3378" s="2" t="s">
        <v>102</v>
      </c>
      <c r="D3378" s="2" t="s">
        <v>5</v>
      </c>
    </row>
    <row r="3379">
      <c r="A3379" s="1">
        <v>43429.43892377315</v>
      </c>
      <c r="B3379" s="3" t="s">
        <v>98</v>
      </c>
      <c r="C3379" s="2" t="s">
        <v>99</v>
      </c>
    </row>
    <row r="3380">
      <c r="A3380" s="1">
        <v>43429.43947935185</v>
      </c>
      <c r="B3380" s="2">
        <v>732.0</v>
      </c>
      <c r="C3380" s="2" t="s">
        <v>102</v>
      </c>
      <c r="D3380" s="2" t="s">
        <v>5</v>
      </c>
    </row>
    <row r="3381">
      <c r="A3381" s="1">
        <v>43429.439591041664</v>
      </c>
      <c r="B3381" s="2">
        <v>726.0</v>
      </c>
      <c r="C3381" s="2" t="s">
        <v>101</v>
      </c>
      <c r="D3381" s="2" t="s">
        <v>5</v>
      </c>
    </row>
    <row r="3382">
      <c r="A3382" s="1">
        <v>43429.44075206018</v>
      </c>
      <c r="B3382" s="2">
        <v>604.0</v>
      </c>
      <c r="C3382" s="2" t="s">
        <v>36</v>
      </c>
    </row>
    <row r="3383">
      <c r="A3383" s="1">
        <v>43429.44204782408</v>
      </c>
      <c r="B3383" s="2">
        <v>167.0</v>
      </c>
      <c r="C3383" s="2" t="s">
        <v>39</v>
      </c>
    </row>
    <row r="3384">
      <c r="A3384" s="1">
        <v>43429.4450844213</v>
      </c>
      <c r="B3384" s="2">
        <v>710.0</v>
      </c>
      <c r="C3384" s="2" t="s">
        <v>21</v>
      </c>
      <c r="D3384" s="2" t="s">
        <v>5</v>
      </c>
    </row>
    <row r="3385">
      <c r="A3385" s="1">
        <v>43429.44518711806</v>
      </c>
      <c r="B3385" s="3" t="s">
        <v>80</v>
      </c>
      <c r="C3385" s="2" t="s">
        <v>81</v>
      </c>
    </row>
    <row r="3386">
      <c r="A3386" s="1">
        <v>43429.44537960648</v>
      </c>
      <c r="B3386" s="2">
        <v>708.0</v>
      </c>
      <c r="C3386" s="2" t="s">
        <v>4</v>
      </c>
      <c r="D3386" s="2" t="s">
        <v>5</v>
      </c>
    </row>
    <row r="3387">
      <c r="A3387" s="1">
        <v>43429.45012879629</v>
      </c>
      <c r="B3387" s="2">
        <v>663.0</v>
      </c>
      <c r="C3387" s="2" t="s">
        <v>109</v>
      </c>
    </row>
    <row r="3388">
      <c r="A3388" s="1">
        <v>43429.450254490745</v>
      </c>
      <c r="B3388" s="2">
        <v>733.0</v>
      </c>
      <c r="C3388" s="2" t="s">
        <v>110</v>
      </c>
      <c r="D3388" s="2" t="s">
        <v>5</v>
      </c>
    </row>
    <row r="3389">
      <c r="A3389" s="1">
        <v>43429.455643611116</v>
      </c>
      <c r="B3389" s="3" t="s">
        <v>42</v>
      </c>
      <c r="C3389" s="2" t="s">
        <v>43</v>
      </c>
    </row>
    <row r="3390">
      <c r="A3390" s="1">
        <v>43429.456064178245</v>
      </c>
      <c r="B3390" s="3" t="s">
        <v>94</v>
      </c>
      <c r="C3390" s="2" t="s">
        <v>95</v>
      </c>
    </row>
    <row r="3391">
      <c r="A3391" s="1">
        <v>43429.45624150463</v>
      </c>
      <c r="B3391" s="2">
        <v>198.0</v>
      </c>
      <c r="C3391" s="2" t="s">
        <v>97</v>
      </c>
    </row>
    <row r="3392">
      <c r="A3392" s="1">
        <v>43429.45636171296</v>
      </c>
      <c r="B3392" s="2">
        <v>702.0</v>
      </c>
      <c r="C3392" s="2" t="s">
        <v>96</v>
      </c>
      <c r="D3392" s="2" t="s">
        <v>5</v>
      </c>
    </row>
    <row r="3393">
      <c r="A3393" s="1">
        <v>43429.456498680556</v>
      </c>
      <c r="B3393" s="2">
        <v>701.0</v>
      </c>
      <c r="C3393" s="2" t="s">
        <v>93</v>
      </c>
      <c r="D3393" s="2" t="s">
        <v>5</v>
      </c>
    </row>
    <row r="3394">
      <c r="A3394" s="1">
        <v>43429.45660831018</v>
      </c>
      <c r="B3394" s="2">
        <v>126.0</v>
      </c>
      <c r="C3394" s="2" t="s">
        <v>87</v>
      </c>
    </row>
    <row r="3395">
      <c r="A3395" s="1">
        <v>43429.45686694444</v>
      </c>
      <c r="B3395" s="2">
        <v>625.0</v>
      </c>
      <c r="C3395" s="2" t="s">
        <v>136</v>
      </c>
    </row>
    <row r="3396">
      <c r="A3396" s="1">
        <v>43429.46172535879</v>
      </c>
      <c r="B3396" s="2">
        <v>268.0</v>
      </c>
      <c r="C3396" s="2" t="s">
        <v>205</v>
      </c>
    </row>
    <row r="3397">
      <c r="A3397" s="1">
        <v>43429.46871375</v>
      </c>
      <c r="B3397" s="2">
        <v>709.0</v>
      </c>
      <c r="C3397" s="2" t="s">
        <v>20</v>
      </c>
      <c r="D3397" s="2" t="s">
        <v>5</v>
      </c>
    </row>
    <row r="3398">
      <c r="A3398" s="1">
        <v>43429.470733877315</v>
      </c>
      <c r="B3398" s="2">
        <v>602.0</v>
      </c>
      <c r="C3398" s="2" t="s">
        <v>131</v>
      </c>
    </row>
    <row r="3399">
      <c r="A3399" s="1">
        <v>43429.47083171296</v>
      </c>
      <c r="B3399" s="2">
        <v>262.0</v>
      </c>
      <c r="C3399" s="2" t="s">
        <v>28</v>
      </c>
    </row>
    <row r="3400">
      <c r="A3400" s="1">
        <v>43429.47100943287</v>
      </c>
      <c r="B3400" s="2">
        <v>210.0</v>
      </c>
      <c r="C3400" s="2" t="s">
        <v>64</v>
      </c>
    </row>
    <row r="3401">
      <c r="A3401" s="1">
        <v>43429.471097546295</v>
      </c>
      <c r="B3401" s="2">
        <v>172.0</v>
      </c>
      <c r="C3401" s="2" t="s">
        <v>65</v>
      </c>
    </row>
    <row r="3402">
      <c r="A3402" s="1">
        <v>43429.4815718287</v>
      </c>
      <c r="B3402" s="2">
        <v>603.0</v>
      </c>
      <c r="C3402" s="2" t="s">
        <v>40</v>
      </c>
    </row>
    <row r="3403">
      <c r="A3403" s="1">
        <v>43429.481692500005</v>
      </c>
      <c r="B3403" s="2">
        <v>614.0</v>
      </c>
      <c r="C3403" s="2" t="s">
        <v>76</v>
      </c>
    </row>
    <row r="3404">
      <c r="A3404" s="1">
        <v>43429.48191444445</v>
      </c>
      <c r="B3404" s="2">
        <v>735.0</v>
      </c>
      <c r="C3404" s="2" t="s">
        <v>37</v>
      </c>
      <c r="D3404" s="2" t="s">
        <v>5</v>
      </c>
    </row>
    <row r="3405">
      <c r="A3405" s="1">
        <v>43430.78313361111</v>
      </c>
      <c r="B3405" s="2">
        <v>611.0</v>
      </c>
      <c r="C3405" s="2" t="s">
        <v>143</v>
      </c>
    </row>
    <row r="3406">
      <c r="A3406" s="1">
        <v>43434.5117549537</v>
      </c>
      <c r="B3406" s="2">
        <v>175.0</v>
      </c>
      <c r="C3406" s="2" t="s">
        <v>69</v>
      </c>
    </row>
    <row r="3407">
      <c r="A3407" s="1">
        <v>43434.51193467593</v>
      </c>
      <c r="B3407" s="2">
        <v>613.0</v>
      </c>
      <c r="C3407" s="2" t="s">
        <v>124</v>
      </c>
    </row>
    <row r="3408">
      <c r="A3408" s="1">
        <v>43435.29915090278</v>
      </c>
      <c r="B3408" s="2">
        <v>646.0</v>
      </c>
      <c r="C3408" s="2" t="s">
        <v>209</v>
      </c>
    </row>
    <row r="3409">
      <c r="A3409" s="1">
        <v>43435.3007524537</v>
      </c>
    </row>
    <row r="3410">
      <c r="A3410" s="1">
        <v>43436.42546962963</v>
      </c>
      <c r="B3410" s="2">
        <v>210.0</v>
      </c>
      <c r="C3410" s="2" t="s">
        <v>64</v>
      </c>
    </row>
    <row r="3411">
      <c r="A3411" s="1">
        <v>43436.42753140046</v>
      </c>
      <c r="B3411" s="2">
        <v>207.0</v>
      </c>
      <c r="C3411" s="2" t="s">
        <v>85</v>
      </c>
    </row>
    <row r="3412">
      <c r="A3412" s="1">
        <v>43436.42973318287</v>
      </c>
      <c r="B3412" s="2">
        <v>219.0</v>
      </c>
      <c r="C3412" s="2" t="s">
        <v>31</v>
      </c>
    </row>
    <row r="3413">
      <c r="A3413" s="1">
        <v>43436.43029618055</v>
      </c>
      <c r="B3413" s="3" t="s">
        <v>150</v>
      </c>
      <c r="C3413" s="2" t="s">
        <v>151</v>
      </c>
    </row>
    <row r="3414">
      <c r="A3414" s="1">
        <v>43436.43039796296</v>
      </c>
      <c r="B3414" s="2">
        <v>706.0</v>
      </c>
      <c r="C3414" s="2" t="s">
        <v>149</v>
      </c>
      <c r="D3414" s="2" t="s">
        <v>5</v>
      </c>
    </row>
    <row r="3415">
      <c r="A3415" s="1">
        <v>43436.43048278935</v>
      </c>
      <c r="B3415" s="2">
        <v>667.0</v>
      </c>
      <c r="C3415" s="2" t="s">
        <v>73</v>
      </c>
    </row>
    <row r="3416">
      <c r="A3416" s="1">
        <v>43436.43062064815</v>
      </c>
      <c r="B3416" s="3" t="s">
        <v>150</v>
      </c>
      <c r="C3416" s="2" t="s">
        <v>151</v>
      </c>
    </row>
    <row r="3417">
      <c r="A3417" s="1">
        <v>43436.43162210648</v>
      </c>
      <c r="B3417" s="3" t="s">
        <v>74</v>
      </c>
      <c r="C3417" s="2" t="s">
        <v>75</v>
      </c>
    </row>
    <row r="3418">
      <c r="A3418" s="1">
        <v>43436.43170346065</v>
      </c>
      <c r="B3418" s="2">
        <v>649.0</v>
      </c>
      <c r="C3418" s="2" t="s">
        <v>177</v>
      </c>
    </row>
    <row r="3419">
      <c r="A3419" s="1">
        <v>43436.43235079861</v>
      </c>
      <c r="B3419" s="2">
        <v>736.0</v>
      </c>
      <c r="C3419" s="2" t="s">
        <v>175</v>
      </c>
      <c r="D3419" s="2" t="s">
        <v>5</v>
      </c>
    </row>
    <row r="3420">
      <c r="A3420" s="1">
        <v>43436.43237909723</v>
      </c>
      <c r="B3420" s="2">
        <v>735.0</v>
      </c>
      <c r="C3420" s="2" t="s">
        <v>37</v>
      </c>
      <c r="D3420" s="2" t="s">
        <v>5</v>
      </c>
    </row>
    <row r="3421">
      <c r="A3421" s="1">
        <v>43436.432458958334</v>
      </c>
      <c r="B3421" s="2">
        <v>736.0</v>
      </c>
      <c r="C3421" s="2" t="s">
        <v>175</v>
      </c>
      <c r="D3421" s="2" t="s">
        <v>5</v>
      </c>
    </row>
    <row r="3422">
      <c r="A3422" s="1">
        <v>43436.432776354166</v>
      </c>
      <c r="B3422" s="2">
        <v>214.0</v>
      </c>
      <c r="C3422" s="2" t="s">
        <v>47</v>
      </c>
    </row>
    <row r="3423">
      <c r="A3423" s="1">
        <v>43436.43284378472</v>
      </c>
      <c r="B3423" s="2">
        <v>737.0</v>
      </c>
      <c r="C3423" s="2" t="s">
        <v>176</v>
      </c>
      <c r="D3423" s="2" t="s">
        <v>5</v>
      </c>
    </row>
    <row r="3424">
      <c r="A3424" s="1">
        <v>43436.432890254626</v>
      </c>
      <c r="B3424" s="2">
        <v>671.0</v>
      </c>
      <c r="C3424" s="2" t="s">
        <v>129</v>
      </c>
    </row>
    <row r="3425">
      <c r="A3425" s="1">
        <v>43436.43294079861</v>
      </c>
      <c r="B3425" s="2">
        <v>671.0</v>
      </c>
      <c r="C3425" s="2" t="s">
        <v>129</v>
      </c>
    </row>
    <row r="3426">
      <c r="A3426" s="1">
        <v>43436.43295324074</v>
      </c>
      <c r="B3426" s="2">
        <v>736.0</v>
      </c>
      <c r="C3426" s="2" t="s">
        <v>175</v>
      </c>
      <c r="D3426" s="2" t="s">
        <v>5</v>
      </c>
    </row>
    <row r="3427">
      <c r="A3427" s="1">
        <v>43436.433091307874</v>
      </c>
      <c r="B3427" s="2">
        <v>655.0</v>
      </c>
      <c r="C3427" s="2" t="s">
        <v>17</v>
      </c>
    </row>
    <row r="3428">
      <c r="A3428" s="1">
        <v>43436.43324190972</v>
      </c>
      <c r="B3428" s="2">
        <v>674.0</v>
      </c>
      <c r="C3428" s="2" t="s">
        <v>193</v>
      </c>
    </row>
    <row r="3429">
      <c r="A3429" s="1">
        <v>43436.433311319444</v>
      </c>
      <c r="B3429" s="2">
        <v>172.0</v>
      </c>
      <c r="C3429" s="2" t="s">
        <v>65</v>
      </c>
    </row>
    <row r="3430">
      <c r="A3430" s="1">
        <v>43436.43340475694</v>
      </c>
      <c r="B3430" s="3" t="s">
        <v>103</v>
      </c>
      <c r="C3430" s="2" t="s">
        <v>104</v>
      </c>
    </row>
    <row r="3431">
      <c r="A3431" s="1">
        <v>43436.43369276621</v>
      </c>
      <c r="B3431" s="2">
        <v>201.0</v>
      </c>
      <c r="C3431" s="2" t="s">
        <v>70</v>
      </c>
    </row>
    <row r="3432">
      <c r="A3432" s="1">
        <v>43436.43380274306</v>
      </c>
      <c r="B3432" s="2">
        <v>238.0</v>
      </c>
      <c r="C3432" s="2" t="s">
        <v>35</v>
      </c>
    </row>
    <row r="3433">
      <c r="A3433" s="1">
        <v>43436.43386984954</v>
      </c>
      <c r="B3433" s="3" t="s">
        <v>111</v>
      </c>
      <c r="C3433" s="2" t="s">
        <v>112</v>
      </c>
    </row>
    <row r="3434">
      <c r="A3434" s="1">
        <v>43436.43401269676</v>
      </c>
      <c r="B3434" s="3" t="s">
        <v>88</v>
      </c>
      <c r="C3434" s="2" t="s">
        <v>89</v>
      </c>
    </row>
    <row r="3435">
      <c r="A3435" s="1">
        <v>43436.43402137731</v>
      </c>
      <c r="B3435" s="3" t="s">
        <v>88</v>
      </c>
      <c r="C3435" s="2" t="s">
        <v>89</v>
      </c>
    </row>
    <row r="3436">
      <c r="A3436" s="1">
        <v>43436.43432891204</v>
      </c>
      <c r="B3436" s="2">
        <v>607.0</v>
      </c>
      <c r="C3436" s="2" t="s">
        <v>68</v>
      </c>
    </row>
    <row r="3437">
      <c r="A3437" s="1">
        <v>43436.4346578588</v>
      </c>
      <c r="B3437" s="2">
        <v>124.0</v>
      </c>
      <c r="C3437" s="2" t="s">
        <v>107</v>
      </c>
    </row>
    <row r="3438">
      <c r="A3438" s="1">
        <v>43436.43466005787</v>
      </c>
      <c r="B3438" s="2">
        <v>734.0</v>
      </c>
      <c r="C3438" s="2" t="s">
        <v>63</v>
      </c>
      <c r="D3438" s="2" t="s">
        <v>5</v>
      </c>
    </row>
    <row r="3439">
      <c r="A3439" s="1">
        <v>43436.43515010417</v>
      </c>
      <c r="B3439" s="2">
        <v>244.0</v>
      </c>
      <c r="C3439" s="2" t="s">
        <v>38</v>
      </c>
    </row>
    <row r="3440">
      <c r="A3440" s="1">
        <v>43436.43529243056</v>
      </c>
      <c r="B3440" s="2">
        <v>716.0</v>
      </c>
      <c r="C3440" s="2" t="s">
        <v>123</v>
      </c>
      <c r="D3440" s="2" t="s">
        <v>5</v>
      </c>
    </row>
    <row r="3441">
      <c r="A3441" s="1">
        <v>43436.43571194445</v>
      </c>
      <c r="B3441" s="2">
        <v>124.0</v>
      </c>
      <c r="C3441" s="2" t="s">
        <v>107</v>
      </c>
    </row>
    <row r="3442">
      <c r="A3442" s="1">
        <v>43436.43593943287</v>
      </c>
      <c r="B3442" s="2">
        <v>158.0</v>
      </c>
      <c r="C3442" s="2" t="s">
        <v>62</v>
      </c>
    </row>
    <row r="3443">
      <c r="A3443" s="1">
        <v>43436.435993217594</v>
      </c>
      <c r="B3443" s="2">
        <v>734.0</v>
      </c>
      <c r="C3443" s="2" t="s">
        <v>63</v>
      </c>
      <c r="D3443" s="2" t="s">
        <v>5</v>
      </c>
    </row>
    <row r="3444">
      <c r="A3444" s="1">
        <v>43436.436046365736</v>
      </c>
      <c r="B3444" s="2">
        <v>260.0</v>
      </c>
      <c r="C3444" s="2" t="s">
        <v>67</v>
      </c>
    </row>
    <row r="3445">
      <c r="A3445" s="1">
        <v>43436.43608678241</v>
      </c>
      <c r="B3445" s="2">
        <v>259.0</v>
      </c>
      <c r="C3445" s="2" t="s">
        <v>66</v>
      </c>
    </row>
    <row r="3446">
      <c r="A3446" s="1">
        <v>43436.43618209491</v>
      </c>
      <c r="B3446" s="2">
        <v>167.0</v>
      </c>
      <c r="C3446" s="2" t="s">
        <v>39</v>
      </c>
    </row>
    <row r="3447">
      <c r="A3447" s="1">
        <v>43436.436420474536</v>
      </c>
      <c r="B3447" s="2">
        <v>189.0</v>
      </c>
      <c r="C3447" s="2" t="s">
        <v>128</v>
      </c>
    </row>
    <row r="3448">
      <c r="A3448" s="1">
        <v>43436.43655434028</v>
      </c>
      <c r="B3448" s="3" t="s">
        <v>22</v>
      </c>
      <c r="C3448" s="2" t="s">
        <v>23</v>
      </c>
    </row>
    <row r="3449">
      <c r="A3449" s="1">
        <v>43436.43665211806</v>
      </c>
      <c r="B3449" s="3" t="s">
        <v>51</v>
      </c>
      <c r="C3449" s="2" t="s">
        <v>52</v>
      </c>
    </row>
    <row r="3450">
      <c r="A3450" s="1">
        <v>43436.43674672453</v>
      </c>
      <c r="B3450" s="2">
        <v>113.0</v>
      </c>
      <c r="C3450" s="2" t="s">
        <v>29</v>
      </c>
    </row>
    <row r="3451">
      <c r="A3451" s="1">
        <v>43436.43686627314</v>
      </c>
      <c r="B3451" s="3" t="s">
        <v>44</v>
      </c>
      <c r="C3451" s="2" t="s">
        <v>45</v>
      </c>
    </row>
    <row r="3452">
      <c r="A3452" s="1">
        <v>43436.437159814814</v>
      </c>
      <c r="B3452" s="3" t="s">
        <v>32</v>
      </c>
      <c r="C3452" s="2" t="s">
        <v>33</v>
      </c>
    </row>
    <row r="3453">
      <c r="A3453" s="1">
        <v>43436.43750895833</v>
      </c>
      <c r="B3453" s="2">
        <v>173.0</v>
      </c>
      <c r="C3453" s="2" t="s">
        <v>24</v>
      </c>
    </row>
    <row r="3454">
      <c r="A3454" s="1">
        <v>43436.43787366898</v>
      </c>
      <c r="B3454" s="2">
        <v>270.0</v>
      </c>
      <c r="C3454" s="2" t="s">
        <v>153</v>
      </c>
    </row>
    <row r="3455">
      <c r="A3455" s="1">
        <v>43436.437948645835</v>
      </c>
      <c r="B3455" s="2">
        <v>603.0</v>
      </c>
      <c r="C3455" s="2" t="s">
        <v>40</v>
      </c>
    </row>
    <row r="3456">
      <c r="A3456" s="1">
        <v>43436.43801131945</v>
      </c>
      <c r="B3456" s="3" t="s">
        <v>80</v>
      </c>
      <c r="C3456" s="2" t="s">
        <v>81</v>
      </c>
    </row>
    <row r="3457">
      <c r="A3457" s="1">
        <v>43436.438024386574</v>
      </c>
      <c r="B3457" s="2">
        <v>717.0</v>
      </c>
      <c r="C3457" s="2" t="s">
        <v>152</v>
      </c>
      <c r="D3457" s="2" t="s">
        <v>5</v>
      </c>
    </row>
    <row r="3458">
      <c r="A3458" s="1">
        <v>43436.43812630787</v>
      </c>
      <c r="C3458" s="2" t="s">
        <v>19</v>
      </c>
    </row>
    <row r="3459">
      <c r="A3459" s="1">
        <v>43436.43868443287</v>
      </c>
      <c r="B3459" s="3" t="s">
        <v>42</v>
      </c>
      <c r="C3459" s="2" t="s">
        <v>43</v>
      </c>
    </row>
    <row r="3460">
      <c r="A3460" s="1">
        <v>43436.43971519676</v>
      </c>
      <c r="B3460" s="2">
        <v>267.0</v>
      </c>
      <c r="C3460" s="2" t="s">
        <v>115</v>
      </c>
    </row>
    <row r="3461">
      <c r="A3461" s="1">
        <v>43436.44177532407</v>
      </c>
      <c r="B3461" s="2">
        <v>723.0</v>
      </c>
      <c r="C3461" s="2" t="s">
        <v>84</v>
      </c>
      <c r="D3461" s="2" t="s">
        <v>5</v>
      </c>
    </row>
    <row r="3462">
      <c r="A3462" s="1">
        <v>43436.441929513894</v>
      </c>
      <c r="B3462" s="3" t="s">
        <v>82</v>
      </c>
      <c r="C3462" s="2" t="s">
        <v>83</v>
      </c>
    </row>
    <row r="3463">
      <c r="A3463" s="1">
        <v>43436.442031342594</v>
      </c>
      <c r="B3463" s="3" t="s">
        <v>78</v>
      </c>
      <c r="C3463" s="2" t="s">
        <v>79</v>
      </c>
    </row>
    <row r="3464">
      <c r="A3464" s="1">
        <v>43436.44257021991</v>
      </c>
      <c r="B3464" s="2">
        <v>52.0</v>
      </c>
      <c r="C3464" s="2" t="s">
        <v>41</v>
      </c>
    </row>
    <row r="3465">
      <c r="A3465" s="1">
        <v>43436.44335215278</v>
      </c>
      <c r="B3465" s="3" t="s">
        <v>11</v>
      </c>
      <c r="C3465" s="2" t="s">
        <v>12</v>
      </c>
    </row>
    <row r="3466">
      <c r="A3466" s="1">
        <v>43436.4434515625</v>
      </c>
      <c r="B3466" s="3" t="s">
        <v>9</v>
      </c>
      <c r="C3466" s="2" t="s">
        <v>10</v>
      </c>
    </row>
    <row r="3467">
      <c r="A3467" s="1">
        <v>43436.44367586805</v>
      </c>
      <c r="B3467" s="3" t="s">
        <v>126</v>
      </c>
      <c r="C3467" s="2" t="s">
        <v>127</v>
      </c>
    </row>
    <row r="3468">
      <c r="A3468" s="1">
        <v>43436.44401923611</v>
      </c>
      <c r="B3468" s="2">
        <v>114.0</v>
      </c>
      <c r="C3468" s="2" t="s">
        <v>15</v>
      </c>
    </row>
    <row r="3469">
      <c r="A3469" s="1">
        <v>43436.44422142361</v>
      </c>
      <c r="B3469" s="2">
        <v>708.0</v>
      </c>
      <c r="C3469" s="2" t="s">
        <v>4</v>
      </c>
      <c r="D3469" s="2" t="s">
        <v>5</v>
      </c>
    </row>
    <row r="3470">
      <c r="A3470" s="1">
        <v>43436.44433384259</v>
      </c>
      <c r="B3470" s="2">
        <v>709.0</v>
      </c>
      <c r="C3470" s="2" t="s">
        <v>20</v>
      </c>
      <c r="D3470" s="2" t="s">
        <v>5</v>
      </c>
    </row>
    <row r="3471">
      <c r="A3471" s="1">
        <v>43436.444419004634</v>
      </c>
      <c r="B3471" s="2">
        <v>710.0</v>
      </c>
      <c r="C3471" s="2" t="s">
        <v>21</v>
      </c>
      <c r="D3471" s="2" t="s">
        <v>5</v>
      </c>
    </row>
    <row r="3472">
      <c r="A3472" s="1">
        <v>43436.44509364583</v>
      </c>
      <c r="B3472" s="3" t="s">
        <v>184</v>
      </c>
      <c r="C3472" s="2" t="s">
        <v>185</v>
      </c>
    </row>
    <row r="3473">
      <c r="A3473" s="1">
        <v>43436.445168125</v>
      </c>
      <c r="B3473" s="3" t="s">
        <v>186</v>
      </c>
      <c r="C3473" s="2" t="s">
        <v>187</v>
      </c>
    </row>
    <row r="3474">
      <c r="A3474" s="1">
        <v>43436.44606844908</v>
      </c>
      <c r="B3474" s="2">
        <v>604.0</v>
      </c>
      <c r="C3474" s="2" t="s">
        <v>36</v>
      </c>
    </row>
    <row r="3475">
      <c r="A3475" s="1">
        <v>43436.447025208334</v>
      </c>
      <c r="B3475" s="2">
        <v>732.0</v>
      </c>
      <c r="C3475" s="2" t="s">
        <v>102</v>
      </c>
      <c r="D3475" s="2" t="s">
        <v>5</v>
      </c>
    </row>
    <row r="3476">
      <c r="A3476" s="1">
        <v>43436.44712989584</v>
      </c>
      <c r="B3476" s="2">
        <v>732.0</v>
      </c>
      <c r="C3476" s="2" t="s">
        <v>102</v>
      </c>
      <c r="D3476" s="2" t="s">
        <v>5</v>
      </c>
    </row>
    <row r="3477">
      <c r="A3477" s="1">
        <v>43436.44713570602</v>
      </c>
      <c r="B3477" s="2">
        <v>726.0</v>
      </c>
      <c r="C3477" s="2" t="s">
        <v>101</v>
      </c>
      <c r="D3477" s="2" t="s">
        <v>5</v>
      </c>
    </row>
    <row r="3478">
      <c r="A3478" s="1">
        <v>43436.44736092593</v>
      </c>
      <c r="B3478" s="2">
        <v>147.0</v>
      </c>
      <c r="C3478" s="2" t="s">
        <v>100</v>
      </c>
    </row>
    <row r="3479">
      <c r="A3479" s="1">
        <v>43436.447515266205</v>
      </c>
      <c r="B3479" s="3" t="s">
        <v>98</v>
      </c>
      <c r="C3479" s="2" t="s">
        <v>99</v>
      </c>
    </row>
    <row r="3480">
      <c r="A3480" s="1">
        <v>43436.449339363426</v>
      </c>
      <c r="B3480" s="2">
        <v>624.0</v>
      </c>
      <c r="C3480" s="2" t="s">
        <v>90</v>
      </c>
    </row>
    <row r="3481">
      <c r="A3481" s="1">
        <v>43436.44945637732</v>
      </c>
      <c r="B3481" s="2">
        <v>724.0</v>
      </c>
      <c r="C3481" s="2" t="s">
        <v>91</v>
      </c>
      <c r="D3481" s="2" t="s">
        <v>5</v>
      </c>
    </row>
    <row r="3482">
      <c r="A3482" s="1">
        <v>43436.44949912037</v>
      </c>
      <c r="B3482" s="2">
        <v>725.0</v>
      </c>
      <c r="C3482" s="2" t="s">
        <v>92</v>
      </c>
      <c r="D3482" s="2" t="s">
        <v>5</v>
      </c>
    </row>
    <row r="3483">
      <c r="A3483" s="1">
        <v>43436.451747037034</v>
      </c>
      <c r="B3483" s="2">
        <v>632.0</v>
      </c>
      <c r="C3483" s="2" t="s">
        <v>146</v>
      </c>
    </row>
    <row r="3484">
      <c r="A3484" s="1">
        <v>43436.453688344904</v>
      </c>
      <c r="B3484" s="2">
        <v>165.0</v>
      </c>
      <c r="C3484" s="2" t="s">
        <v>50</v>
      </c>
    </row>
    <row r="3485">
      <c r="A3485" s="1">
        <v>43436.45400765046</v>
      </c>
      <c r="B3485" s="2">
        <v>618.0</v>
      </c>
      <c r="C3485" s="2" t="s">
        <v>147</v>
      </c>
    </row>
    <row r="3486">
      <c r="A3486" s="1">
        <v>43436.45494260416</v>
      </c>
      <c r="B3486" s="3" t="s">
        <v>113</v>
      </c>
      <c r="C3486" s="2" t="s">
        <v>114</v>
      </c>
    </row>
    <row r="3487">
      <c r="A3487" s="1">
        <v>43436.455050868055</v>
      </c>
      <c r="B3487" s="2">
        <v>101.0</v>
      </c>
      <c r="C3487" s="2" t="s">
        <v>108</v>
      </c>
    </row>
    <row r="3488">
      <c r="A3488" s="1">
        <v>43436.45524109954</v>
      </c>
      <c r="B3488" s="2">
        <v>718.0</v>
      </c>
      <c r="C3488" s="2" t="s">
        <v>105</v>
      </c>
      <c r="D3488" s="2" t="s">
        <v>5</v>
      </c>
    </row>
    <row r="3489">
      <c r="A3489" s="1">
        <v>43436.455325787036</v>
      </c>
      <c r="B3489" s="2">
        <v>719.0</v>
      </c>
      <c r="C3489" s="2" t="s">
        <v>106</v>
      </c>
      <c r="D3489" s="2" t="s">
        <v>5</v>
      </c>
    </row>
    <row r="3490">
      <c r="A3490" s="1">
        <v>43436.45608229167</v>
      </c>
      <c r="B3490" s="2">
        <v>672.0</v>
      </c>
      <c r="C3490" s="2" t="s">
        <v>6</v>
      </c>
    </row>
    <row r="3491">
      <c r="A3491" s="1">
        <v>43436.48517313658</v>
      </c>
      <c r="B3491" s="2">
        <v>208.0</v>
      </c>
      <c r="C3491" s="2" t="s">
        <v>182</v>
      </c>
    </row>
    <row r="3492">
      <c r="A3492" s="1">
        <v>43436.977118622686</v>
      </c>
      <c r="B3492" s="2">
        <v>214.0</v>
      </c>
      <c r="C3492" s="2" t="s">
        <v>47</v>
      </c>
    </row>
    <row r="3493">
      <c r="A3493" s="1">
        <v>43437.40754277778</v>
      </c>
      <c r="B3493" s="2">
        <v>259.0</v>
      </c>
      <c r="C3493" s="2" t="s">
        <v>66</v>
      </c>
    </row>
    <row r="3494">
      <c r="A3494" s="1">
        <v>43441.53384188657</v>
      </c>
      <c r="B3494" s="2">
        <v>262.0</v>
      </c>
      <c r="C3494" s="2" t="s">
        <v>28</v>
      </c>
    </row>
    <row r="3495">
      <c r="A3495" s="1">
        <v>43441.53428121528</v>
      </c>
      <c r="B3495" s="2">
        <v>535.0</v>
      </c>
      <c r="C3495" s="2" t="s">
        <v>208</v>
      </c>
    </row>
    <row r="3496">
      <c r="A3496" s="1">
        <v>43441.53503708333</v>
      </c>
      <c r="B3496" s="2">
        <v>627.0</v>
      </c>
      <c r="C3496" s="2" t="s">
        <v>134</v>
      </c>
    </row>
    <row r="3497">
      <c r="A3497" s="1">
        <v>43443.411629375</v>
      </c>
      <c r="B3497" s="2">
        <v>246.0</v>
      </c>
      <c r="C3497" s="2" t="s">
        <v>26</v>
      </c>
    </row>
    <row r="3498">
      <c r="A3498" s="1">
        <v>43443.42573935185</v>
      </c>
      <c r="B3498" s="2">
        <v>614.0</v>
      </c>
      <c r="C3498" s="2" t="s">
        <v>76</v>
      </c>
    </row>
    <row r="3499">
      <c r="A3499" s="1">
        <v>43443.42617583333</v>
      </c>
      <c r="B3499" s="3" t="s">
        <v>51</v>
      </c>
      <c r="C3499" s="2" t="s">
        <v>52</v>
      </c>
    </row>
    <row r="3500">
      <c r="A3500" s="1">
        <v>43443.42647548611</v>
      </c>
      <c r="B3500" s="2">
        <v>607.0</v>
      </c>
      <c r="C3500" s="2" t="s">
        <v>68</v>
      </c>
    </row>
    <row r="3501">
      <c r="A3501" s="1">
        <v>43443.426950127316</v>
      </c>
      <c r="B3501" s="2">
        <v>210.0</v>
      </c>
      <c r="C3501" s="2" t="s">
        <v>64</v>
      </c>
    </row>
    <row r="3502">
      <c r="A3502" s="1">
        <v>43443.42721098379</v>
      </c>
      <c r="B3502" s="2">
        <v>618.0</v>
      </c>
      <c r="C3502" s="2" t="s">
        <v>147</v>
      </c>
    </row>
    <row r="3503">
      <c r="A3503" s="1">
        <v>43443.42732570602</v>
      </c>
      <c r="B3503" s="2">
        <v>165.0</v>
      </c>
      <c r="C3503" s="2" t="s">
        <v>50</v>
      </c>
    </row>
    <row r="3504">
      <c r="A3504" s="1">
        <v>43443.427644027775</v>
      </c>
      <c r="B3504" s="2">
        <v>201.0</v>
      </c>
      <c r="C3504" s="2" t="s">
        <v>70</v>
      </c>
    </row>
    <row r="3505">
      <c r="A3505" s="1">
        <v>43443.42771097222</v>
      </c>
      <c r="B3505" s="2">
        <v>201.0</v>
      </c>
      <c r="C3505" s="2" t="s">
        <v>70</v>
      </c>
    </row>
    <row r="3506">
      <c r="A3506" s="1">
        <v>43443.42793097222</v>
      </c>
      <c r="B3506" s="2">
        <v>613.0</v>
      </c>
      <c r="C3506" s="2" t="s">
        <v>124</v>
      </c>
    </row>
    <row r="3507">
      <c r="A3507" s="1">
        <v>43443.42797978009</v>
      </c>
      <c r="B3507" s="2">
        <v>613.0</v>
      </c>
      <c r="C3507" s="2" t="s">
        <v>124</v>
      </c>
    </row>
    <row r="3508">
      <c r="A3508" s="1">
        <v>43443.42801482639</v>
      </c>
      <c r="B3508" s="2">
        <v>175.0</v>
      </c>
      <c r="C3508" s="2" t="s">
        <v>69</v>
      </c>
    </row>
    <row r="3509">
      <c r="A3509" s="1">
        <v>43443.42898700231</v>
      </c>
      <c r="B3509" s="2">
        <v>244.0</v>
      </c>
      <c r="C3509" s="2" t="s">
        <v>38</v>
      </c>
    </row>
    <row r="3510">
      <c r="A3510" s="1">
        <v>43443.42981696759</v>
      </c>
      <c r="B3510" s="3" t="s">
        <v>111</v>
      </c>
      <c r="C3510" s="2" t="s">
        <v>112</v>
      </c>
    </row>
    <row r="3511">
      <c r="A3511" s="1">
        <v>43443.430073298616</v>
      </c>
      <c r="B3511" s="2">
        <v>158.0</v>
      </c>
      <c r="C3511" s="2" t="s">
        <v>62</v>
      </c>
    </row>
    <row r="3512">
      <c r="A3512" s="1">
        <v>43443.43118366898</v>
      </c>
      <c r="B3512" s="2">
        <v>214.0</v>
      </c>
      <c r="C3512" s="2" t="s">
        <v>47</v>
      </c>
    </row>
    <row r="3513">
      <c r="A3513" s="1">
        <v>43443.43127392361</v>
      </c>
      <c r="B3513" s="2">
        <v>253.0</v>
      </c>
      <c r="C3513" s="2" t="s">
        <v>138</v>
      </c>
    </row>
    <row r="3514">
      <c r="A3514" s="1">
        <v>43443.43149672454</v>
      </c>
      <c r="B3514" s="3" t="s">
        <v>55</v>
      </c>
      <c r="C3514" s="2" t="s">
        <v>56</v>
      </c>
    </row>
    <row r="3515">
      <c r="A3515" s="1">
        <v>43443.43180388889</v>
      </c>
      <c r="B3515" s="3" t="s">
        <v>159</v>
      </c>
      <c r="C3515" s="2" t="s">
        <v>160</v>
      </c>
    </row>
    <row r="3516">
      <c r="A3516" s="1">
        <v>43443.43231021991</v>
      </c>
      <c r="B3516" s="3" t="s">
        <v>126</v>
      </c>
      <c r="C3516" s="2" t="s">
        <v>127</v>
      </c>
    </row>
    <row r="3517">
      <c r="A3517" s="1">
        <v>43443.43252511574</v>
      </c>
      <c r="B3517" s="2">
        <v>716.0</v>
      </c>
      <c r="C3517" s="2" t="s">
        <v>123</v>
      </c>
      <c r="D3517" s="2" t="s">
        <v>5</v>
      </c>
    </row>
    <row r="3518">
      <c r="A3518" s="1">
        <v>43443.43270857639</v>
      </c>
      <c r="B3518" s="2">
        <v>735.0</v>
      </c>
      <c r="C3518" s="2" t="s">
        <v>37</v>
      </c>
      <c r="D3518" s="2" t="s">
        <v>5</v>
      </c>
    </row>
    <row r="3519">
      <c r="A3519" s="1">
        <v>43443.43280488426</v>
      </c>
      <c r="B3519" s="2">
        <v>219.0</v>
      </c>
      <c r="C3519" s="2" t="s">
        <v>31</v>
      </c>
    </row>
    <row r="3520">
      <c r="A3520" s="1">
        <v>43443.4328211574</v>
      </c>
      <c r="B3520" s="2">
        <v>189.0</v>
      </c>
      <c r="C3520" s="2" t="s">
        <v>128</v>
      </c>
    </row>
    <row r="3521">
      <c r="A3521" s="1">
        <v>43443.432833865736</v>
      </c>
      <c r="B3521" s="3" t="s">
        <v>32</v>
      </c>
      <c r="C3521" s="2" t="s">
        <v>33</v>
      </c>
    </row>
    <row r="3522">
      <c r="A3522" s="1">
        <v>43443.433173576384</v>
      </c>
      <c r="B3522" s="2">
        <v>193.0</v>
      </c>
      <c r="C3522" s="2" t="s">
        <v>30</v>
      </c>
    </row>
    <row r="3523">
      <c r="A3523" s="1">
        <v>43443.4331897338</v>
      </c>
      <c r="B3523" s="2">
        <v>616.0</v>
      </c>
      <c r="C3523" s="2" t="s">
        <v>71</v>
      </c>
    </row>
    <row r="3524">
      <c r="A3524" s="1">
        <v>43443.43338152778</v>
      </c>
      <c r="B3524" s="3" t="s">
        <v>44</v>
      </c>
      <c r="C3524" s="2" t="s">
        <v>45</v>
      </c>
    </row>
    <row r="3525">
      <c r="A3525" s="1">
        <v>43443.43357774305</v>
      </c>
      <c r="B3525" s="2">
        <v>137.0</v>
      </c>
      <c r="C3525" s="2" t="s">
        <v>72</v>
      </c>
    </row>
    <row r="3526">
      <c r="A3526" s="1">
        <v>43443.43377815972</v>
      </c>
      <c r="B3526" s="2">
        <v>141.0</v>
      </c>
      <c r="C3526" s="2" t="s">
        <v>53</v>
      </c>
    </row>
    <row r="3527">
      <c r="A3527" s="1">
        <v>43443.43479038194</v>
      </c>
      <c r="B3527" s="2">
        <v>113.0</v>
      </c>
      <c r="C3527" s="2" t="s">
        <v>29</v>
      </c>
    </row>
    <row r="3528">
      <c r="A3528" s="1">
        <v>43443.43480158565</v>
      </c>
      <c r="B3528" s="3" t="s">
        <v>22</v>
      </c>
      <c r="C3528" s="2" t="s">
        <v>23</v>
      </c>
    </row>
    <row r="3529">
      <c r="A3529" s="1">
        <v>43443.43494129629</v>
      </c>
      <c r="B3529" s="2">
        <v>172.0</v>
      </c>
      <c r="C3529" s="2" t="s">
        <v>65</v>
      </c>
    </row>
    <row r="3530">
      <c r="A3530" s="1">
        <v>43443.43500498842</v>
      </c>
      <c r="B3530" s="2">
        <v>172.0</v>
      </c>
      <c r="C3530" s="2" t="s">
        <v>65</v>
      </c>
    </row>
    <row r="3531">
      <c r="A3531" s="1">
        <v>43443.43511634259</v>
      </c>
      <c r="B3531" s="2">
        <v>262.0</v>
      </c>
      <c r="C3531" s="2" t="s">
        <v>28</v>
      </c>
    </row>
    <row r="3532">
      <c r="A3532" s="1">
        <v>43443.43599293982</v>
      </c>
      <c r="B3532" s="2">
        <v>707.0</v>
      </c>
      <c r="C3532" s="2" t="s">
        <v>57</v>
      </c>
      <c r="D3532" s="2" t="s">
        <v>5</v>
      </c>
    </row>
    <row r="3533">
      <c r="A3533" s="1">
        <v>43443.43629646991</v>
      </c>
      <c r="B3533" s="2">
        <v>729.0</v>
      </c>
      <c r="C3533" s="2" t="s">
        <v>54</v>
      </c>
      <c r="D3533" s="2" t="s">
        <v>5</v>
      </c>
    </row>
    <row r="3534">
      <c r="A3534" s="1">
        <v>43443.43664231482</v>
      </c>
      <c r="B3534" s="3" t="s">
        <v>117</v>
      </c>
      <c r="C3534" s="2" t="s">
        <v>118</v>
      </c>
    </row>
    <row r="3535">
      <c r="A3535" s="1">
        <v>43443.43671771991</v>
      </c>
      <c r="B3535" s="3" t="s">
        <v>119</v>
      </c>
      <c r="C3535" s="2" t="s">
        <v>120</v>
      </c>
    </row>
    <row r="3536">
      <c r="A3536" s="1">
        <v>43443.43696835648</v>
      </c>
      <c r="B3536" s="2">
        <v>713.0</v>
      </c>
      <c r="C3536" s="2" t="s">
        <v>121</v>
      </c>
      <c r="D3536" s="2" t="s">
        <v>5</v>
      </c>
    </row>
    <row r="3537">
      <c r="A3537" s="1">
        <v>43443.437170300924</v>
      </c>
      <c r="B3537" s="2">
        <v>714.0</v>
      </c>
      <c r="C3537" s="2" t="s">
        <v>122</v>
      </c>
      <c r="D3537" s="2" t="s">
        <v>5</v>
      </c>
    </row>
    <row r="3538">
      <c r="A3538" s="1">
        <v>43443.43732065972</v>
      </c>
      <c r="B3538" s="2">
        <v>215.0</v>
      </c>
      <c r="C3538" s="2" t="s">
        <v>137</v>
      </c>
    </row>
    <row r="3539">
      <c r="A3539" s="1">
        <v>43443.43746303241</v>
      </c>
      <c r="B3539" s="3" t="s">
        <v>82</v>
      </c>
      <c r="C3539" s="2" t="s">
        <v>83</v>
      </c>
    </row>
    <row r="3540">
      <c r="A3540" s="1">
        <v>43443.43753260416</v>
      </c>
      <c r="B3540" s="3" t="s">
        <v>78</v>
      </c>
      <c r="C3540" s="2" t="s">
        <v>79</v>
      </c>
    </row>
    <row r="3541">
      <c r="A3541" s="1">
        <v>43443.43766607639</v>
      </c>
      <c r="B3541" s="2">
        <v>723.0</v>
      </c>
      <c r="C3541" s="2" t="s">
        <v>84</v>
      </c>
      <c r="D3541" s="2" t="s">
        <v>5</v>
      </c>
    </row>
    <row r="3542">
      <c r="A3542" s="1">
        <v>43443.437997581015</v>
      </c>
      <c r="B3542" s="2">
        <v>653.0</v>
      </c>
      <c r="C3542" s="2" t="s">
        <v>77</v>
      </c>
    </row>
    <row r="3543">
      <c r="A3543" s="1">
        <v>43443.43818920139</v>
      </c>
      <c r="B3543" s="3" t="s">
        <v>88</v>
      </c>
      <c r="C3543" s="2" t="s">
        <v>89</v>
      </c>
    </row>
    <row r="3544">
      <c r="A3544" s="1">
        <v>43443.438780462966</v>
      </c>
      <c r="B3544" s="2">
        <v>208.0</v>
      </c>
      <c r="C3544" s="2" t="s">
        <v>182</v>
      </c>
    </row>
    <row r="3545">
      <c r="A3545" s="1">
        <v>43443.43897752315</v>
      </c>
      <c r="B3545" s="2">
        <v>602.0</v>
      </c>
      <c r="C3545" s="2" t="s">
        <v>131</v>
      </c>
    </row>
    <row r="3546">
      <c r="A3546" s="1">
        <v>43443.43928734954</v>
      </c>
      <c r="B3546" s="2">
        <v>52.0</v>
      </c>
      <c r="C3546" s="2" t="s">
        <v>41</v>
      </c>
    </row>
    <row r="3547">
      <c r="A3547" s="1">
        <v>43443.43936251158</v>
      </c>
      <c r="B3547" s="3" t="s">
        <v>103</v>
      </c>
      <c r="C3547" s="2" t="s">
        <v>104</v>
      </c>
    </row>
    <row r="3548">
      <c r="A3548" s="1">
        <v>43443.439428136575</v>
      </c>
      <c r="B3548" s="2">
        <v>114.0</v>
      </c>
      <c r="C3548" s="2" t="s">
        <v>15</v>
      </c>
    </row>
    <row r="3549">
      <c r="A3549" s="1">
        <v>43443.440092372686</v>
      </c>
      <c r="B3549" s="2">
        <v>611.0</v>
      </c>
      <c r="C3549" s="2" t="s">
        <v>143</v>
      </c>
    </row>
    <row r="3550">
      <c r="A3550" s="1">
        <v>43443.4401747338</v>
      </c>
      <c r="B3550" s="2">
        <v>267.0</v>
      </c>
      <c r="C3550" s="2" t="s">
        <v>115</v>
      </c>
    </row>
    <row r="3551">
      <c r="A3551" s="1">
        <v>43443.440558622686</v>
      </c>
      <c r="B3551" s="3" t="s">
        <v>94</v>
      </c>
      <c r="C3551" s="2" t="s">
        <v>95</v>
      </c>
    </row>
    <row r="3552">
      <c r="A3552" s="1">
        <v>43443.44070765046</v>
      </c>
      <c r="B3552" s="3" t="s">
        <v>80</v>
      </c>
      <c r="C3552" s="2" t="s">
        <v>81</v>
      </c>
    </row>
    <row r="3553">
      <c r="A3553" s="1">
        <v>43443.44084668982</v>
      </c>
      <c r="B3553" s="2">
        <v>126.0</v>
      </c>
      <c r="C3553" s="2" t="s">
        <v>87</v>
      </c>
    </row>
    <row r="3554">
      <c r="A3554" s="1">
        <v>43443.44099679399</v>
      </c>
      <c r="B3554" s="2">
        <v>662.0</v>
      </c>
      <c r="C3554" s="2" t="s">
        <v>18</v>
      </c>
    </row>
    <row r="3555">
      <c r="A3555" s="1">
        <v>43443.44124290509</v>
      </c>
      <c r="B3555" s="2">
        <v>198.0</v>
      </c>
      <c r="C3555" s="2" t="s">
        <v>97</v>
      </c>
    </row>
    <row r="3556">
      <c r="A3556" s="1">
        <v>43443.44150284722</v>
      </c>
      <c r="B3556" s="2">
        <v>701.0</v>
      </c>
      <c r="C3556" s="2" t="s">
        <v>93</v>
      </c>
      <c r="D3556" s="2" t="s">
        <v>5</v>
      </c>
    </row>
    <row r="3557">
      <c r="A3557" s="1">
        <v>43443.44150725694</v>
      </c>
      <c r="B3557" s="2">
        <v>167.0</v>
      </c>
      <c r="C3557" s="2" t="s">
        <v>39</v>
      </c>
    </row>
    <row r="3558">
      <c r="A3558" s="1">
        <v>43443.44158815972</v>
      </c>
      <c r="B3558" s="2">
        <v>702.0</v>
      </c>
      <c r="C3558" s="2" t="s">
        <v>96</v>
      </c>
      <c r="D3558" s="2" t="s">
        <v>5</v>
      </c>
    </row>
    <row r="3559">
      <c r="A3559" s="1">
        <v>43443.44184131944</v>
      </c>
      <c r="B3559" s="2">
        <v>238.0</v>
      </c>
      <c r="C3559" s="2" t="s">
        <v>35</v>
      </c>
    </row>
    <row r="3560">
      <c r="A3560" s="1">
        <v>43443.4418421875</v>
      </c>
      <c r="B3560" s="2">
        <v>603.0</v>
      </c>
      <c r="C3560" s="2" t="s">
        <v>40</v>
      </c>
    </row>
    <row r="3561">
      <c r="A3561" s="1">
        <v>43443.44231189815</v>
      </c>
      <c r="B3561" s="2">
        <v>724.0</v>
      </c>
      <c r="C3561" s="2" t="s">
        <v>91</v>
      </c>
      <c r="D3561" s="2" t="s">
        <v>5</v>
      </c>
    </row>
    <row r="3562">
      <c r="A3562" s="1">
        <v>43443.44240013889</v>
      </c>
      <c r="B3562" s="2">
        <v>725.0</v>
      </c>
      <c r="C3562" s="2" t="s">
        <v>92</v>
      </c>
      <c r="D3562" s="2" t="s">
        <v>5</v>
      </c>
    </row>
    <row r="3563">
      <c r="A3563" s="1">
        <v>43443.442615810185</v>
      </c>
      <c r="B3563" s="2">
        <v>722.0</v>
      </c>
      <c r="C3563" s="2" t="s">
        <v>25</v>
      </c>
      <c r="D3563" s="2" t="s">
        <v>5</v>
      </c>
    </row>
    <row r="3564">
      <c r="A3564" s="1">
        <v>43443.44283134259</v>
      </c>
      <c r="B3564" s="2">
        <v>734.0</v>
      </c>
      <c r="C3564" s="2" t="s">
        <v>63</v>
      </c>
      <c r="D3564" s="2" t="s">
        <v>5</v>
      </c>
    </row>
    <row r="3565">
      <c r="A3565" s="1">
        <v>43443.44314855324</v>
      </c>
      <c r="B3565" s="2">
        <v>259.0</v>
      </c>
      <c r="C3565" s="2" t="s">
        <v>66</v>
      </c>
    </row>
    <row r="3566">
      <c r="A3566" s="1">
        <v>43443.4432002199</v>
      </c>
      <c r="B3566" s="2">
        <v>734.0</v>
      </c>
      <c r="C3566" s="2" t="s">
        <v>63</v>
      </c>
      <c r="D3566" s="2" t="s">
        <v>5</v>
      </c>
    </row>
    <row r="3567">
      <c r="A3567" s="1">
        <v>43443.443352546296</v>
      </c>
      <c r="B3567" s="2">
        <v>260.0</v>
      </c>
      <c r="C3567" s="2" t="s">
        <v>67</v>
      </c>
    </row>
    <row r="3568">
      <c r="A3568" s="1">
        <v>43443.444419872685</v>
      </c>
      <c r="B3568" s="2">
        <v>726.0</v>
      </c>
      <c r="C3568" s="2" t="s">
        <v>101</v>
      </c>
      <c r="D3568" s="2" t="s">
        <v>5</v>
      </c>
    </row>
    <row r="3569">
      <c r="A3569" s="1">
        <v>43443.44449894676</v>
      </c>
      <c r="B3569" s="2">
        <v>732.0</v>
      </c>
      <c r="C3569" s="2" t="s">
        <v>102</v>
      </c>
      <c r="D3569" s="2" t="s">
        <v>5</v>
      </c>
    </row>
    <row r="3570">
      <c r="A3570" s="1">
        <v>43443.44462699074</v>
      </c>
      <c r="B3570" s="3" t="s">
        <v>98</v>
      </c>
      <c r="C3570" s="2" t="s">
        <v>99</v>
      </c>
    </row>
    <row r="3571">
      <c r="A3571" s="1">
        <v>43443.44469373843</v>
      </c>
      <c r="B3571" s="2">
        <v>147.0</v>
      </c>
      <c r="C3571" s="2" t="s">
        <v>100</v>
      </c>
    </row>
    <row r="3572">
      <c r="A3572" s="1">
        <v>43443.44560133102</v>
      </c>
      <c r="B3572" s="2">
        <v>611.0</v>
      </c>
      <c r="C3572" s="2" t="s">
        <v>143</v>
      </c>
    </row>
    <row r="3573">
      <c r="A3573" s="1">
        <v>43443.44571164352</v>
      </c>
      <c r="B3573" s="2">
        <v>663.0</v>
      </c>
      <c r="C3573" s="2" t="s">
        <v>109</v>
      </c>
    </row>
    <row r="3574">
      <c r="A3574" s="1">
        <v>43443.445907430556</v>
      </c>
      <c r="B3574" s="2">
        <v>733.0</v>
      </c>
      <c r="C3574" s="2" t="s">
        <v>110</v>
      </c>
      <c r="D3574" s="2" t="s">
        <v>5</v>
      </c>
    </row>
    <row r="3575">
      <c r="A3575" s="1">
        <v>43443.44826752315</v>
      </c>
      <c r="B3575" s="2">
        <v>625.0</v>
      </c>
      <c r="C3575" s="2" t="s">
        <v>136</v>
      </c>
    </row>
    <row r="3576">
      <c r="A3576" s="1">
        <v>43443.45009565972</v>
      </c>
      <c r="B3576" s="2">
        <v>624.0</v>
      </c>
      <c r="C3576" s="2" t="s">
        <v>90</v>
      </c>
    </row>
    <row r="3577">
      <c r="A3577" s="1">
        <v>43443.45018753472</v>
      </c>
      <c r="B3577" s="3" t="s">
        <v>42</v>
      </c>
      <c r="C3577" s="2" t="s">
        <v>43</v>
      </c>
    </row>
    <row r="3578">
      <c r="A3578" s="1">
        <v>43443.45110399305</v>
      </c>
      <c r="B3578" s="2">
        <v>124.0</v>
      </c>
      <c r="C3578" s="2" t="s">
        <v>107</v>
      </c>
    </row>
    <row r="3579">
      <c r="A3579" s="1">
        <v>43443.451122847226</v>
      </c>
      <c r="B3579" s="2">
        <v>719.0</v>
      </c>
      <c r="C3579" s="2" t="s">
        <v>106</v>
      </c>
      <c r="D3579" s="2" t="s">
        <v>5</v>
      </c>
    </row>
    <row r="3580">
      <c r="A3580" s="1">
        <v>43443.4513746875</v>
      </c>
      <c r="B3580" s="2">
        <v>718.0</v>
      </c>
      <c r="C3580" s="2" t="s">
        <v>105</v>
      </c>
      <c r="D3580" s="2" t="s">
        <v>5</v>
      </c>
    </row>
    <row r="3581">
      <c r="A3581" s="1">
        <v>43443.45146832176</v>
      </c>
      <c r="B3581" s="2">
        <v>719.0</v>
      </c>
      <c r="C3581" s="2" t="s">
        <v>106</v>
      </c>
      <c r="D3581" s="2" t="s">
        <v>5</v>
      </c>
    </row>
    <row r="3582">
      <c r="A3582" s="1">
        <v>43443.45148854167</v>
      </c>
      <c r="B3582" s="2">
        <v>101.0</v>
      </c>
      <c r="C3582" s="2" t="s">
        <v>108</v>
      </c>
    </row>
    <row r="3583">
      <c r="A3583" s="1">
        <v>43443.451587488424</v>
      </c>
      <c r="B3583" s="3" t="s">
        <v>113</v>
      </c>
      <c r="C3583" s="2" t="s">
        <v>114</v>
      </c>
    </row>
    <row r="3584">
      <c r="A3584" s="1">
        <v>43443.6113018287</v>
      </c>
      <c r="B3584" s="3" t="s">
        <v>9</v>
      </c>
      <c r="C3584" s="2" t="s">
        <v>10</v>
      </c>
    </row>
    <row r="3585">
      <c r="A3585" s="1">
        <v>43443.917772835644</v>
      </c>
      <c r="B3585" s="2">
        <v>267.0</v>
      </c>
      <c r="C3585" s="2" t="s">
        <v>115</v>
      </c>
    </row>
    <row r="3586">
      <c r="A3586" s="1">
        <v>43447.92713314814</v>
      </c>
      <c r="B3586" s="2">
        <v>229.0</v>
      </c>
      <c r="C3586" s="2" t="s">
        <v>86</v>
      </c>
    </row>
    <row r="3587">
      <c r="A3587" s="1">
        <v>43447.93123412037</v>
      </c>
      <c r="B3587" s="3" t="s">
        <v>11</v>
      </c>
      <c r="C3587" s="2" t="s">
        <v>12</v>
      </c>
    </row>
    <row r="3588">
      <c r="A3588" s="1">
        <v>43447.93279373842</v>
      </c>
      <c r="B3588" s="3" t="s">
        <v>150</v>
      </c>
      <c r="C3588" s="2" t="s">
        <v>151</v>
      </c>
    </row>
    <row r="3589">
      <c r="A3589" s="1">
        <v>43447.93759313658</v>
      </c>
      <c r="B3589" s="2">
        <v>268.0</v>
      </c>
      <c r="C3589" s="2" t="s">
        <v>205</v>
      </c>
    </row>
    <row r="3590">
      <c r="A3590" s="1">
        <v>43447.938428657406</v>
      </c>
      <c r="B3590" s="2">
        <v>604.0</v>
      </c>
      <c r="C3590" s="2" t="s">
        <v>36</v>
      </c>
    </row>
    <row r="3591">
      <c r="A3591" s="1">
        <v>43447.94090986111</v>
      </c>
      <c r="B3591" s="2">
        <v>643.0</v>
      </c>
      <c r="C3591" s="2" t="s">
        <v>166</v>
      </c>
    </row>
    <row r="3592">
      <c r="A3592" s="1">
        <v>43447.94213527778</v>
      </c>
      <c r="B3592" s="2">
        <v>655.0</v>
      </c>
      <c r="C3592" s="2" t="s">
        <v>17</v>
      </c>
    </row>
    <row r="3593">
      <c r="A3593" s="1">
        <v>43447.94253429398</v>
      </c>
      <c r="B3593" s="2">
        <v>667.0</v>
      </c>
      <c r="C3593" s="2" t="s">
        <v>73</v>
      </c>
    </row>
    <row r="3594">
      <c r="A3594" s="1">
        <v>43447.94339722222</v>
      </c>
      <c r="B3594" s="2">
        <v>708.0</v>
      </c>
      <c r="C3594" s="2" t="s">
        <v>4</v>
      </c>
      <c r="D3594" s="2" t="s">
        <v>5</v>
      </c>
    </row>
    <row r="3595">
      <c r="A3595" s="1">
        <v>43447.943456354165</v>
      </c>
      <c r="B3595" s="2">
        <v>709.0</v>
      </c>
      <c r="C3595" s="2" t="s">
        <v>20</v>
      </c>
      <c r="D3595" s="2" t="s">
        <v>5</v>
      </c>
    </row>
    <row r="3596">
      <c r="A3596" s="1">
        <v>43447.943521678244</v>
      </c>
      <c r="B3596" s="2">
        <v>710.0</v>
      </c>
      <c r="C3596" s="2" t="s">
        <v>21</v>
      </c>
      <c r="D3596" s="2" t="s">
        <v>5</v>
      </c>
    </row>
    <row r="3597">
      <c r="A3597" s="1">
        <v>43450.41961622685</v>
      </c>
      <c r="B3597" s="2">
        <v>607.0</v>
      </c>
      <c r="C3597" s="2" t="s">
        <v>68</v>
      </c>
    </row>
    <row r="3598">
      <c r="A3598" s="1">
        <v>43450.420007465276</v>
      </c>
      <c r="B3598" s="2">
        <v>141.0</v>
      </c>
      <c r="C3598" s="2" t="s">
        <v>53</v>
      </c>
    </row>
    <row r="3599">
      <c r="A3599" s="1">
        <v>43450.420182546295</v>
      </c>
      <c r="B3599" s="2">
        <v>141.0</v>
      </c>
      <c r="C3599" s="2" t="s">
        <v>53</v>
      </c>
    </row>
    <row r="3600">
      <c r="A3600" s="1">
        <v>43450.42036741898</v>
      </c>
      <c r="B3600" s="3" t="s">
        <v>51</v>
      </c>
      <c r="C3600" s="2" t="s">
        <v>52</v>
      </c>
    </row>
    <row r="3601">
      <c r="A3601" s="1">
        <v>43450.420475798615</v>
      </c>
      <c r="B3601" s="2">
        <v>707.0</v>
      </c>
      <c r="C3601" s="2" t="s">
        <v>57</v>
      </c>
      <c r="D3601" s="2" t="s">
        <v>5</v>
      </c>
    </row>
    <row r="3602">
      <c r="A3602" s="1">
        <v>43450.42053278935</v>
      </c>
      <c r="B3602" s="3" t="s">
        <v>42</v>
      </c>
      <c r="C3602" s="2" t="s">
        <v>43</v>
      </c>
    </row>
    <row r="3603">
      <c r="A3603" s="1">
        <v>43450.420742002316</v>
      </c>
      <c r="B3603" s="2">
        <v>729.0</v>
      </c>
      <c r="C3603" s="2" t="s">
        <v>54</v>
      </c>
      <c r="D3603" s="2" t="s">
        <v>5</v>
      </c>
    </row>
    <row r="3604">
      <c r="A3604" s="1">
        <v>43450.42085101852</v>
      </c>
      <c r="B3604" s="3" t="s">
        <v>94</v>
      </c>
      <c r="C3604" s="2" t="s">
        <v>95</v>
      </c>
    </row>
    <row r="3605">
      <c r="A3605" s="1">
        <v>43450.42095280092</v>
      </c>
      <c r="B3605" s="3" t="s">
        <v>55</v>
      </c>
      <c r="C3605" s="2" t="s">
        <v>56</v>
      </c>
    </row>
    <row r="3606">
      <c r="A3606" s="1">
        <v>43450.42099622685</v>
      </c>
      <c r="B3606" s="2">
        <v>210.0</v>
      </c>
      <c r="C3606" s="2" t="s">
        <v>64</v>
      </c>
    </row>
    <row r="3607">
      <c r="A3607" s="1">
        <v>43450.42108478009</v>
      </c>
      <c r="B3607" s="2">
        <v>210.0</v>
      </c>
      <c r="C3607" s="2" t="s">
        <v>64</v>
      </c>
    </row>
    <row r="3608">
      <c r="A3608" s="1">
        <v>43450.421310729165</v>
      </c>
      <c r="B3608" s="2">
        <v>602.0</v>
      </c>
      <c r="C3608" s="2" t="s">
        <v>131</v>
      </c>
    </row>
    <row r="3609">
      <c r="A3609" s="1">
        <v>43450.42175519676</v>
      </c>
      <c r="B3609" s="2">
        <v>611.0</v>
      </c>
      <c r="C3609" s="2" t="s">
        <v>143</v>
      </c>
    </row>
    <row r="3610">
      <c r="A3610" s="1">
        <v>43450.42228275463</v>
      </c>
      <c r="B3610" s="2">
        <v>262.0</v>
      </c>
      <c r="C3610" s="2" t="s">
        <v>28</v>
      </c>
    </row>
    <row r="3611">
      <c r="A3611" s="1">
        <v>43450.42285642361</v>
      </c>
      <c r="B3611" s="2">
        <v>193.0</v>
      </c>
      <c r="C3611" s="2" t="s">
        <v>30</v>
      </c>
    </row>
    <row r="3612">
      <c r="A3612" s="1">
        <v>43450.423466504624</v>
      </c>
      <c r="B3612" s="2">
        <v>229.0</v>
      </c>
      <c r="C3612" s="2" t="s">
        <v>86</v>
      </c>
    </row>
    <row r="3613">
      <c r="A3613" s="1">
        <v>43450.42369846065</v>
      </c>
      <c r="B3613" s="2">
        <v>253.0</v>
      </c>
      <c r="C3613" s="2" t="s">
        <v>138</v>
      </c>
    </row>
    <row r="3614">
      <c r="A3614" s="1">
        <v>43450.42431663194</v>
      </c>
      <c r="B3614" s="2">
        <v>614.0</v>
      </c>
      <c r="C3614" s="2" t="s">
        <v>76</v>
      </c>
    </row>
    <row r="3615">
      <c r="A3615" s="1">
        <v>43450.42452793982</v>
      </c>
      <c r="B3615" s="2">
        <v>673.0</v>
      </c>
      <c r="C3615" s="2" t="s">
        <v>189</v>
      </c>
    </row>
    <row r="3616">
      <c r="A3616" s="1">
        <v>43450.42466040509</v>
      </c>
      <c r="B3616" s="2">
        <v>173.0</v>
      </c>
      <c r="C3616" s="2" t="s">
        <v>24</v>
      </c>
    </row>
    <row r="3617">
      <c r="A3617" s="1">
        <v>43450.42511699074</v>
      </c>
      <c r="B3617" s="2">
        <v>627.0</v>
      </c>
      <c r="C3617" s="2" t="s">
        <v>134</v>
      </c>
    </row>
    <row r="3618">
      <c r="A3618" s="1">
        <v>43450.42514553241</v>
      </c>
      <c r="B3618" s="2">
        <v>219.0</v>
      </c>
      <c r="C3618" s="2" t="s">
        <v>31</v>
      </c>
    </row>
    <row r="3619">
      <c r="A3619" s="1">
        <v>43450.425169780094</v>
      </c>
      <c r="B3619" s="2">
        <v>627.0</v>
      </c>
      <c r="C3619" s="2" t="s">
        <v>134</v>
      </c>
    </row>
    <row r="3620">
      <c r="A3620" s="1">
        <v>43450.42528267361</v>
      </c>
      <c r="B3620" s="2">
        <v>627.0</v>
      </c>
      <c r="C3620" s="2" t="s">
        <v>134</v>
      </c>
    </row>
    <row r="3621">
      <c r="A3621" s="1">
        <v>43450.42534819445</v>
      </c>
      <c r="B3621" s="2">
        <v>214.0</v>
      </c>
      <c r="C3621" s="2" t="s">
        <v>47</v>
      </c>
    </row>
    <row r="3622">
      <c r="A3622" s="1">
        <v>43450.42559832176</v>
      </c>
      <c r="B3622" s="3" t="s">
        <v>32</v>
      </c>
      <c r="C3622" s="2" t="s">
        <v>33</v>
      </c>
    </row>
    <row r="3623">
      <c r="A3623" s="1">
        <v>43450.42570392361</v>
      </c>
      <c r="B3623" s="3" t="s">
        <v>32</v>
      </c>
      <c r="C3623" s="2" t="s">
        <v>33</v>
      </c>
    </row>
    <row r="3624">
      <c r="A3624" s="1">
        <v>43450.42571240741</v>
      </c>
      <c r="B3624" s="2">
        <v>207.0</v>
      </c>
      <c r="C3624" s="2" t="s">
        <v>85</v>
      </c>
    </row>
    <row r="3625">
      <c r="A3625" s="1">
        <v>43450.42597438657</v>
      </c>
      <c r="B3625" s="2">
        <v>193.0</v>
      </c>
      <c r="C3625" s="2" t="s">
        <v>30</v>
      </c>
    </row>
    <row r="3626">
      <c r="A3626" s="1">
        <v>43450.42597440972</v>
      </c>
      <c r="B3626" s="2">
        <v>113.0</v>
      </c>
      <c r="C3626" s="2" t="s">
        <v>29</v>
      </c>
    </row>
    <row r="3627">
      <c r="A3627" s="1">
        <v>43450.42609446759</v>
      </c>
      <c r="B3627" s="3" t="s">
        <v>159</v>
      </c>
      <c r="C3627" s="2" t="s">
        <v>160</v>
      </c>
    </row>
    <row r="3628">
      <c r="A3628" s="1">
        <v>43450.426227627315</v>
      </c>
      <c r="B3628" s="2">
        <v>618.0</v>
      </c>
      <c r="C3628" s="2" t="s">
        <v>147</v>
      </c>
    </row>
    <row r="3629">
      <c r="A3629" s="1">
        <v>43450.427906550925</v>
      </c>
      <c r="B3629" s="2">
        <v>165.0</v>
      </c>
      <c r="C3629" s="2" t="s">
        <v>50</v>
      </c>
    </row>
    <row r="3630">
      <c r="A3630" s="1">
        <v>43450.42808849537</v>
      </c>
      <c r="B3630" s="2">
        <v>643.0</v>
      </c>
      <c r="C3630" s="2" t="s">
        <v>166</v>
      </c>
    </row>
    <row r="3631">
      <c r="A3631" s="1">
        <v>43450.428575868056</v>
      </c>
      <c r="B3631" s="2">
        <v>158.0</v>
      </c>
      <c r="C3631" s="2" t="s">
        <v>62</v>
      </c>
    </row>
    <row r="3632">
      <c r="A3632" s="1">
        <v>43450.42880454861</v>
      </c>
      <c r="B3632" s="2">
        <v>618.0</v>
      </c>
      <c r="C3632" s="2" t="s">
        <v>147</v>
      </c>
    </row>
    <row r="3633">
      <c r="A3633" s="1">
        <v>43450.428985810184</v>
      </c>
      <c r="B3633" s="2">
        <v>137.0</v>
      </c>
      <c r="C3633" s="2" t="s">
        <v>72</v>
      </c>
    </row>
    <row r="3634">
      <c r="A3634" s="1">
        <v>43450.42935601852</v>
      </c>
      <c r="B3634" s="2">
        <v>616.0</v>
      </c>
      <c r="C3634" s="2" t="s">
        <v>71</v>
      </c>
    </row>
    <row r="3635">
      <c r="A3635" s="1">
        <v>43450.42956770833</v>
      </c>
      <c r="B3635" s="2">
        <v>254.0</v>
      </c>
      <c r="C3635" s="2" t="s">
        <v>132</v>
      </c>
    </row>
    <row r="3636">
      <c r="A3636" s="1">
        <v>43450.4299331713</v>
      </c>
      <c r="B3636" s="2">
        <v>616.0</v>
      </c>
      <c r="C3636" s="2" t="s">
        <v>71</v>
      </c>
    </row>
    <row r="3637">
      <c r="A3637" s="1">
        <v>43450.430215625005</v>
      </c>
      <c r="B3637" s="2">
        <v>736.0</v>
      </c>
      <c r="C3637" s="2" t="s">
        <v>175</v>
      </c>
      <c r="D3637" s="2" t="s">
        <v>5</v>
      </c>
    </row>
    <row r="3638">
      <c r="A3638" s="1">
        <v>43450.430293287034</v>
      </c>
      <c r="B3638" s="2">
        <v>737.0</v>
      </c>
      <c r="C3638" s="2" t="s">
        <v>176</v>
      </c>
      <c r="D3638" s="2" t="s">
        <v>5</v>
      </c>
    </row>
    <row r="3639">
      <c r="A3639" s="1">
        <v>43450.43204380787</v>
      </c>
      <c r="B3639" s="2">
        <v>201.0</v>
      </c>
      <c r="C3639" s="2" t="s">
        <v>70</v>
      </c>
    </row>
    <row r="3640">
      <c r="A3640" s="1">
        <v>43450.432186481485</v>
      </c>
      <c r="B3640" s="2">
        <v>175.0</v>
      </c>
      <c r="C3640" s="2" t="s">
        <v>69</v>
      </c>
    </row>
    <row r="3641">
      <c r="A3641" s="1">
        <v>43450.43245386574</v>
      </c>
      <c r="B3641" s="2">
        <v>236.0</v>
      </c>
      <c r="C3641" s="2" t="s">
        <v>142</v>
      </c>
    </row>
    <row r="3642">
      <c r="A3642" s="1">
        <v>43450.432466122686</v>
      </c>
      <c r="B3642" s="2">
        <v>270.0</v>
      </c>
      <c r="C3642" s="2" t="s">
        <v>153</v>
      </c>
    </row>
    <row r="3643">
      <c r="A3643" s="1">
        <v>43450.43258868056</v>
      </c>
      <c r="B3643" s="2">
        <v>738.0</v>
      </c>
      <c r="C3643" s="2" t="s">
        <v>161</v>
      </c>
    </row>
    <row r="3644">
      <c r="A3644" s="1">
        <v>43450.43325699074</v>
      </c>
      <c r="B3644" s="2">
        <v>717.0</v>
      </c>
      <c r="C3644" s="2" t="s">
        <v>152</v>
      </c>
      <c r="D3644" s="2" t="s">
        <v>5</v>
      </c>
    </row>
    <row r="3645">
      <c r="A3645" s="1">
        <v>43450.43338109954</v>
      </c>
      <c r="B3645" s="3" t="s">
        <v>44</v>
      </c>
      <c r="C3645" s="2" t="s">
        <v>45</v>
      </c>
    </row>
    <row r="3646">
      <c r="A3646" s="1">
        <v>43450.43362255787</v>
      </c>
      <c r="B3646" s="3" t="s">
        <v>111</v>
      </c>
      <c r="C3646" s="2" t="s">
        <v>112</v>
      </c>
    </row>
    <row r="3647">
      <c r="A3647" s="1">
        <v>43450.4337990162</v>
      </c>
      <c r="B3647" s="3" t="s">
        <v>42</v>
      </c>
      <c r="C3647" s="2" t="s">
        <v>43</v>
      </c>
    </row>
    <row r="3648">
      <c r="A3648" s="1">
        <v>43450.43487689814</v>
      </c>
      <c r="B3648" s="3" t="s">
        <v>111</v>
      </c>
      <c r="C3648" s="2" t="s">
        <v>112</v>
      </c>
    </row>
    <row r="3649">
      <c r="A3649" s="1">
        <v>43450.43526738426</v>
      </c>
      <c r="B3649" s="2">
        <v>613.0</v>
      </c>
      <c r="C3649" s="2" t="s">
        <v>124</v>
      </c>
    </row>
    <row r="3650">
      <c r="A3650" s="1">
        <v>43450.435457025465</v>
      </c>
      <c r="B3650" s="2">
        <v>716.0</v>
      </c>
      <c r="C3650" s="2" t="s">
        <v>123</v>
      </c>
      <c r="D3650" s="2" t="s">
        <v>5</v>
      </c>
    </row>
    <row r="3651">
      <c r="A3651" s="1">
        <v>43450.435609618056</v>
      </c>
      <c r="B3651" s="3" t="s">
        <v>11</v>
      </c>
      <c r="C3651" s="2" t="s">
        <v>12</v>
      </c>
    </row>
    <row r="3652">
      <c r="A3652" s="1">
        <v>43450.43569452546</v>
      </c>
      <c r="B3652" s="3" t="s">
        <v>126</v>
      </c>
      <c r="C3652" s="2" t="s">
        <v>127</v>
      </c>
    </row>
    <row r="3653">
      <c r="A3653" s="1">
        <v>43450.43616753472</v>
      </c>
      <c r="B3653" s="3" t="s">
        <v>103</v>
      </c>
      <c r="C3653" s="2" t="s">
        <v>104</v>
      </c>
    </row>
    <row r="3654">
      <c r="A3654" s="1">
        <v>43450.436341168985</v>
      </c>
      <c r="B3654" s="2">
        <v>723.0</v>
      </c>
      <c r="C3654" s="2" t="s">
        <v>84</v>
      </c>
      <c r="D3654" s="2" t="s">
        <v>5</v>
      </c>
    </row>
    <row r="3655">
      <c r="A3655" s="1">
        <v>43450.43649202546</v>
      </c>
      <c r="B3655" s="3" t="s">
        <v>78</v>
      </c>
      <c r="C3655" s="2" t="s">
        <v>79</v>
      </c>
    </row>
    <row r="3656">
      <c r="A3656" s="1">
        <v>43450.436588854165</v>
      </c>
      <c r="B3656" s="3" t="s">
        <v>82</v>
      </c>
      <c r="C3656" s="2" t="s">
        <v>83</v>
      </c>
    </row>
    <row r="3657">
      <c r="A3657" s="1">
        <v>43450.43760773148</v>
      </c>
      <c r="B3657" s="2">
        <v>667.0</v>
      </c>
      <c r="C3657" s="2" t="s">
        <v>73</v>
      </c>
    </row>
    <row r="3658">
      <c r="A3658" s="1">
        <v>43450.43769876157</v>
      </c>
      <c r="B3658" s="2">
        <v>208.0</v>
      </c>
      <c r="C3658" s="2" t="s">
        <v>182</v>
      </c>
    </row>
    <row r="3659">
      <c r="A3659" s="1">
        <v>43450.43775762731</v>
      </c>
      <c r="B3659" s="2">
        <v>706.0</v>
      </c>
      <c r="C3659" s="2" t="s">
        <v>149</v>
      </c>
      <c r="D3659" s="2" t="s">
        <v>5</v>
      </c>
    </row>
    <row r="3660">
      <c r="A3660" s="1">
        <v>43450.43806724537</v>
      </c>
      <c r="B3660" s="2">
        <v>167.0</v>
      </c>
      <c r="C3660" s="2" t="s">
        <v>39</v>
      </c>
    </row>
    <row r="3661">
      <c r="A3661" s="1">
        <v>43450.438176157404</v>
      </c>
      <c r="B3661" s="3" t="s">
        <v>74</v>
      </c>
      <c r="C3661" s="2" t="s">
        <v>75</v>
      </c>
    </row>
    <row r="3662">
      <c r="A3662" s="1">
        <v>43450.438241435186</v>
      </c>
      <c r="B3662" s="3" t="s">
        <v>88</v>
      </c>
      <c r="C3662" s="2" t="s">
        <v>89</v>
      </c>
    </row>
    <row r="3663">
      <c r="A3663" s="1">
        <v>43450.43828821759</v>
      </c>
      <c r="B3663" s="3" t="s">
        <v>150</v>
      </c>
      <c r="C3663" s="2" t="s">
        <v>151</v>
      </c>
    </row>
    <row r="3664">
      <c r="A3664" s="1">
        <v>43450.438662615736</v>
      </c>
      <c r="B3664" s="2">
        <v>244.0</v>
      </c>
      <c r="C3664" s="2" t="s">
        <v>38</v>
      </c>
    </row>
    <row r="3665">
      <c r="A3665" s="1">
        <v>43450.43880548611</v>
      </c>
      <c r="B3665" s="2">
        <v>172.0</v>
      </c>
      <c r="C3665" s="2" t="s">
        <v>65</v>
      </c>
    </row>
    <row r="3666">
      <c r="A3666" s="1">
        <v>43450.43926755787</v>
      </c>
      <c r="B3666" s="2">
        <v>653.0</v>
      </c>
      <c r="C3666" s="2" t="s">
        <v>77</v>
      </c>
    </row>
    <row r="3667">
      <c r="A3667" s="1">
        <v>43450.43947247685</v>
      </c>
      <c r="B3667" s="2">
        <v>231.0</v>
      </c>
      <c r="C3667" s="2" t="s">
        <v>61</v>
      </c>
    </row>
    <row r="3668">
      <c r="A3668" s="1">
        <v>43450.44055328704</v>
      </c>
      <c r="B3668" s="2">
        <v>649.0</v>
      </c>
      <c r="C3668" s="2" t="s">
        <v>177</v>
      </c>
    </row>
    <row r="3669">
      <c r="A3669" s="1">
        <v>43450.44112552083</v>
      </c>
      <c r="B3669" s="3" t="s">
        <v>13</v>
      </c>
      <c r="C3669" s="2" t="s">
        <v>14</v>
      </c>
    </row>
    <row r="3670">
      <c r="A3670" s="1">
        <v>43450.44176755787</v>
      </c>
      <c r="B3670" s="2">
        <v>52.0</v>
      </c>
      <c r="C3670" s="2" t="s">
        <v>41</v>
      </c>
    </row>
    <row r="3671">
      <c r="A3671" s="1">
        <v>43450.441950810186</v>
      </c>
      <c r="B3671" s="2">
        <v>655.0</v>
      </c>
      <c r="C3671" s="2" t="s">
        <v>17</v>
      </c>
    </row>
    <row r="3672">
      <c r="A3672" s="1">
        <v>43450.44340186343</v>
      </c>
      <c r="B3672" s="2">
        <v>672.0</v>
      </c>
      <c r="C3672" s="2" t="s">
        <v>6</v>
      </c>
    </row>
    <row r="3673">
      <c r="A3673" s="1">
        <v>43450.44440280093</v>
      </c>
      <c r="B3673" s="2">
        <v>648.0</v>
      </c>
      <c r="C3673" s="2" t="s">
        <v>207</v>
      </c>
    </row>
    <row r="3674">
      <c r="A3674" s="1">
        <v>43450.44661665509</v>
      </c>
      <c r="B3674" s="3" t="s">
        <v>22</v>
      </c>
      <c r="C3674" s="2" t="s">
        <v>23</v>
      </c>
    </row>
    <row r="3675">
      <c r="A3675" s="1">
        <v>43450.45328192129</v>
      </c>
      <c r="B3675" s="2">
        <v>714.0</v>
      </c>
      <c r="C3675" s="2" t="s">
        <v>122</v>
      </c>
      <c r="D3675" s="2" t="s">
        <v>5</v>
      </c>
    </row>
    <row r="3676">
      <c r="A3676" s="1">
        <v>43450.45338060185</v>
      </c>
      <c r="B3676" s="2">
        <v>713.0</v>
      </c>
      <c r="C3676" s="2" t="s">
        <v>121</v>
      </c>
      <c r="D3676" s="2" t="s">
        <v>5</v>
      </c>
    </row>
    <row r="3677">
      <c r="A3677" s="1">
        <v>43450.45357856482</v>
      </c>
      <c r="B3677" s="3" t="s">
        <v>119</v>
      </c>
      <c r="C3677" s="2" t="s">
        <v>120</v>
      </c>
    </row>
    <row r="3678">
      <c r="A3678" s="1">
        <v>43450.45459530092</v>
      </c>
      <c r="B3678" s="2">
        <v>124.0</v>
      </c>
      <c r="C3678" s="2" t="s">
        <v>107</v>
      </c>
    </row>
    <row r="3679">
      <c r="A3679" s="1">
        <v>43450.45474931713</v>
      </c>
      <c r="B3679" s="2">
        <v>718.0</v>
      </c>
      <c r="C3679" s="2" t="s">
        <v>105</v>
      </c>
      <c r="D3679" s="2" t="s">
        <v>5</v>
      </c>
    </row>
    <row r="3680">
      <c r="A3680" s="1">
        <v>43450.45483503472</v>
      </c>
      <c r="B3680" s="2">
        <v>719.0</v>
      </c>
      <c r="C3680" s="2" t="s">
        <v>106</v>
      </c>
      <c r="D3680" s="2" t="s">
        <v>5</v>
      </c>
    </row>
    <row r="3681">
      <c r="A3681" s="1">
        <v>43450.45501109953</v>
      </c>
      <c r="B3681" s="3" t="s">
        <v>113</v>
      </c>
      <c r="C3681" s="2" t="s">
        <v>114</v>
      </c>
    </row>
    <row r="3682">
      <c r="A3682" s="1">
        <v>43450.455162881946</v>
      </c>
      <c r="B3682" s="2">
        <v>101.0</v>
      </c>
      <c r="C3682" s="2" t="s">
        <v>108</v>
      </c>
    </row>
    <row r="3683">
      <c r="A3683" s="1">
        <v>43450.456461724534</v>
      </c>
      <c r="B3683" s="2">
        <v>604.0</v>
      </c>
      <c r="C3683" s="2" t="s">
        <v>36</v>
      </c>
    </row>
    <row r="3684">
      <c r="A3684" s="1">
        <v>43450.48835731481</v>
      </c>
      <c r="B3684" s="3" t="s">
        <v>42</v>
      </c>
      <c r="C3684" s="2" t="s">
        <v>43</v>
      </c>
    </row>
    <row r="3685">
      <c r="A3685" s="1">
        <v>43450.895341296295</v>
      </c>
      <c r="B3685" s="2">
        <v>717.0</v>
      </c>
      <c r="C3685" s="2" t="s">
        <v>152</v>
      </c>
      <c r="D3685" s="2" t="s">
        <v>5</v>
      </c>
    </row>
    <row r="3686">
      <c r="A3686" s="1">
        <v>43450.89534549769</v>
      </c>
      <c r="B3686" s="2">
        <v>717.0</v>
      </c>
      <c r="C3686" s="2" t="s">
        <v>152</v>
      </c>
      <c r="D3686" s="2" t="s">
        <v>5</v>
      </c>
    </row>
    <row r="3687">
      <c r="A3687" s="1">
        <v>43450.895887060185</v>
      </c>
      <c r="B3687" s="2">
        <v>717.0</v>
      </c>
      <c r="C3687" s="2" t="s">
        <v>152</v>
      </c>
      <c r="D3687" s="2" t="s">
        <v>5</v>
      </c>
    </row>
    <row r="3688">
      <c r="A3688" s="1">
        <v>43451.3381940625</v>
      </c>
      <c r="B3688" s="2">
        <v>717.0</v>
      </c>
      <c r="C3688" s="2" t="s">
        <v>152</v>
      </c>
      <c r="D3688" s="2" t="s">
        <v>5</v>
      </c>
    </row>
    <row r="3689">
      <c r="A3689" s="1">
        <v>43455.481156458336</v>
      </c>
      <c r="B3689" s="2">
        <v>198.0</v>
      </c>
      <c r="C3689" s="2" t="s">
        <v>97</v>
      </c>
    </row>
    <row r="3690">
      <c r="A3690" s="1">
        <v>43455.48212215278</v>
      </c>
      <c r="B3690" s="2">
        <v>238.0</v>
      </c>
      <c r="C3690" s="2" t="s">
        <v>35</v>
      </c>
    </row>
    <row r="3691">
      <c r="A3691" s="1">
        <v>43455.48486840278</v>
      </c>
      <c r="B3691" s="2">
        <v>701.0</v>
      </c>
      <c r="C3691" s="2" t="s">
        <v>93</v>
      </c>
      <c r="D3691" s="2" t="s">
        <v>5</v>
      </c>
    </row>
    <row r="3692">
      <c r="A3692" s="1">
        <v>43457.418858460645</v>
      </c>
      <c r="B3692" s="2">
        <v>229.0</v>
      </c>
      <c r="C3692" s="2" t="s">
        <v>86</v>
      </c>
    </row>
    <row r="3693">
      <c r="A3693" s="1">
        <v>43457.4190924537</v>
      </c>
      <c r="B3693" s="2">
        <v>173.0</v>
      </c>
      <c r="C3693" s="2" t="s">
        <v>24</v>
      </c>
    </row>
    <row r="3694">
      <c r="A3694" s="1">
        <v>43457.41979483796</v>
      </c>
      <c r="B3694" s="2">
        <v>167.0</v>
      </c>
      <c r="C3694" s="2" t="s">
        <v>39</v>
      </c>
    </row>
    <row r="3695">
      <c r="A3695" s="1">
        <v>43457.4200206713</v>
      </c>
      <c r="B3695" s="2">
        <v>673.0</v>
      </c>
      <c r="C3695" s="2" t="s">
        <v>189</v>
      </c>
    </row>
    <row r="3696">
      <c r="A3696" s="1">
        <v>43457.4201866088</v>
      </c>
      <c r="B3696" s="2">
        <v>238.0</v>
      </c>
      <c r="C3696" s="2" t="s">
        <v>35</v>
      </c>
    </row>
    <row r="3697">
      <c r="A3697" s="1">
        <v>43457.420462187496</v>
      </c>
      <c r="B3697" s="2">
        <v>602.0</v>
      </c>
      <c r="C3697" s="2" t="s">
        <v>131</v>
      </c>
    </row>
    <row r="3698">
      <c r="A3698" s="1">
        <v>43457.420553958334</v>
      </c>
      <c r="B3698" s="2">
        <v>603.0</v>
      </c>
      <c r="C3698" s="2" t="s">
        <v>40</v>
      </c>
    </row>
    <row r="3699">
      <c r="A3699" s="1">
        <v>43457.420934444446</v>
      </c>
      <c r="B3699" s="2">
        <v>267.0</v>
      </c>
      <c r="C3699" s="2" t="s">
        <v>115</v>
      </c>
    </row>
    <row r="3700">
      <c r="A3700" s="1">
        <v>43457.421111180556</v>
      </c>
      <c r="B3700" s="2">
        <v>231.0</v>
      </c>
      <c r="C3700" s="2" t="s">
        <v>61</v>
      </c>
    </row>
    <row r="3701">
      <c r="A3701" s="1">
        <v>43457.42145592593</v>
      </c>
      <c r="B3701" s="3" t="s">
        <v>159</v>
      </c>
      <c r="C3701" s="2" t="s">
        <v>160</v>
      </c>
    </row>
    <row r="3702">
      <c r="A3702" s="1">
        <v>43457.42196443287</v>
      </c>
      <c r="B3702" s="2">
        <v>654.0</v>
      </c>
      <c r="C3702" s="2" t="s">
        <v>115</v>
      </c>
    </row>
    <row r="3703">
      <c r="A3703" s="1">
        <v>43457.42260909722</v>
      </c>
      <c r="B3703" s="2">
        <v>244.0</v>
      </c>
      <c r="C3703" s="2" t="s">
        <v>38</v>
      </c>
    </row>
    <row r="3704">
      <c r="A3704" s="1">
        <v>43457.42290038195</v>
      </c>
      <c r="B3704" s="3" t="s">
        <v>44</v>
      </c>
      <c r="C3704" s="2" t="s">
        <v>45</v>
      </c>
    </row>
    <row r="3705">
      <c r="A3705" s="1">
        <v>43457.42305625</v>
      </c>
      <c r="B3705" s="2">
        <v>627.0</v>
      </c>
      <c r="C3705" s="2" t="s">
        <v>134</v>
      </c>
    </row>
    <row r="3706">
      <c r="A3706" s="1">
        <v>43457.423196550924</v>
      </c>
      <c r="B3706" s="2">
        <v>641.0</v>
      </c>
      <c r="C3706" s="2" t="s">
        <v>210</v>
      </c>
    </row>
    <row r="3707">
      <c r="A3707" s="1">
        <v>43457.42353759259</v>
      </c>
      <c r="B3707" s="2">
        <v>655.0</v>
      </c>
      <c r="C3707" s="2" t="s">
        <v>17</v>
      </c>
    </row>
    <row r="3708">
      <c r="A3708" s="1">
        <v>43457.42389559028</v>
      </c>
      <c r="B3708" s="2">
        <v>738.0</v>
      </c>
      <c r="C3708" s="2" t="s">
        <v>161</v>
      </c>
    </row>
    <row r="3709">
      <c r="A3709" s="1">
        <v>43457.42416811343</v>
      </c>
      <c r="B3709" s="2">
        <v>219.0</v>
      </c>
      <c r="C3709" s="2" t="s">
        <v>31</v>
      </c>
    </row>
    <row r="3710">
      <c r="A3710" s="1">
        <v>43457.42503943287</v>
      </c>
      <c r="B3710" s="2">
        <v>207.0</v>
      </c>
      <c r="C3710" s="2" t="s">
        <v>85</v>
      </c>
    </row>
    <row r="3711">
      <c r="A3711" s="1">
        <v>43457.42516114583</v>
      </c>
      <c r="B3711" s="2">
        <v>246.0</v>
      </c>
      <c r="C3711" s="2" t="s">
        <v>26</v>
      </c>
    </row>
    <row r="3712">
      <c r="A3712" s="1">
        <v>43457.42527856481</v>
      </c>
      <c r="B3712" s="2">
        <v>215.0</v>
      </c>
      <c r="C3712" s="2" t="s">
        <v>137</v>
      </c>
    </row>
    <row r="3713">
      <c r="A3713" s="1">
        <v>43457.42545956018</v>
      </c>
      <c r="B3713" s="2">
        <v>193.0</v>
      </c>
      <c r="C3713" s="2" t="s">
        <v>30</v>
      </c>
    </row>
    <row r="3714">
      <c r="A3714" s="1">
        <v>43457.42557893519</v>
      </c>
      <c r="B3714" s="2">
        <v>158.0</v>
      </c>
      <c r="C3714" s="2" t="s">
        <v>62</v>
      </c>
    </row>
    <row r="3715">
      <c r="A3715" s="1">
        <v>43457.42589569444</v>
      </c>
      <c r="B3715" s="2">
        <v>113.0</v>
      </c>
      <c r="C3715" s="2" t="s">
        <v>29</v>
      </c>
    </row>
    <row r="3716">
      <c r="A3716" s="1">
        <v>43457.42620446759</v>
      </c>
      <c r="B3716" s="2">
        <v>722.0</v>
      </c>
      <c r="C3716" s="2" t="s">
        <v>25</v>
      </c>
      <c r="D3716" s="2" t="s">
        <v>5</v>
      </c>
    </row>
    <row r="3717">
      <c r="A3717" s="1">
        <v>43457.42633236111</v>
      </c>
      <c r="B3717" s="3" t="s">
        <v>22</v>
      </c>
      <c r="C3717" s="2" t="s">
        <v>23</v>
      </c>
    </row>
    <row r="3718">
      <c r="A3718" s="1">
        <v>43457.42687553241</v>
      </c>
      <c r="B3718" s="3" t="s">
        <v>51</v>
      </c>
      <c r="C3718" s="2" t="s">
        <v>52</v>
      </c>
    </row>
    <row r="3719">
      <c r="A3719" s="1">
        <v>43457.42698130787</v>
      </c>
      <c r="B3719" s="3" t="s">
        <v>111</v>
      </c>
      <c r="C3719" s="2" t="s">
        <v>112</v>
      </c>
    </row>
    <row r="3720">
      <c r="A3720" s="1">
        <v>43457.42709114583</v>
      </c>
      <c r="B3720" s="3" t="s">
        <v>88</v>
      </c>
      <c r="C3720" s="2" t="s">
        <v>89</v>
      </c>
    </row>
    <row r="3721">
      <c r="A3721" s="1">
        <v>43457.427246875</v>
      </c>
      <c r="B3721" s="3" t="s">
        <v>32</v>
      </c>
      <c r="C3721" s="2" t="s">
        <v>33</v>
      </c>
    </row>
    <row r="3722">
      <c r="A3722" s="1">
        <v>43457.4274108449</v>
      </c>
      <c r="B3722" s="2">
        <v>262.0</v>
      </c>
      <c r="C3722" s="2" t="s">
        <v>28</v>
      </c>
    </row>
    <row r="3723">
      <c r="A3723" s="1">
        <v>43457.42774746528</v>
      </c>
      <c r="B3723" s="2">
        <v>611.0</v>
      </c>
      <c r="C3723" s="2" t="s">
        <v>143</v>
      </c>
    </row>
    <row r="3724">
      <c r="A3724" s="1">
        <v>43457.428228680554</v>
      </c>
      <c r="B3724" s="2">
        <v>253.0</v>
      </c>
      <c r="C3724" s="2" t="s">
        <v>138</v>
      </c>
    </row>
    <row r="3725">
      <c r="A3725" s="1">
        <v>43457.428348738424</v>
      </c>
      <c r="B3725" s="2">
        <v>253.0</v>
      </c>
      <c r="C3725" s="2" t="s">
        <v>138</v>
      </c>
    </row>
    <row r="3726">
      <c r="A3726" s="1">
        <v>43457.42870842593</v>
      </c>
      <c r="B3726" s="2">
        <v>159.0</v>
      </c>
      <c r="C3726" s="2" t="s">
        <v>58</v>
      </c>
    </row>
    <row r="3727">
      <c r="A3727" s="1">
        <v>43457.42906178241</v>
      </c>
      <c r="B3727" s="2">
        <v>158.0</v>
      </c>
      <c r="C3727" s="2" t="s">
        <v>62</v>
      </c>
    </row>
    <row r="3728">
      <c r="A3728" s="1">
        <v>43457.42987353009</v>
      </c>
      <c r="B3728" s="2">
        <v>165.0</v>
      </c>
      <c r="C3728" s="2" t="s">
        <v>50</v>
      </c>
    </row>
    <row r="3729">
      <c r="A3729" s="1">
        <v>43457.43014024306</v>
      </c>
      <c r="B3729" s="2">
        <v>618.0</v>
      </c>
      <c r="C3729" s="2" t="s">
        <v>147</v>
      </c>
    </row>
    <row r="3730">
      <c r="A3730" s="1">
        <v>43457.43066424769</v>
      </c>
      <c r="B3730" s="2">
        <v>648.0</v>
      </c>
      <c r="C3730" s="2" t="s">
        <v>207</v>
      </c>
    </row>
    <row r="3731">
      <c r="A3731" s="1">
        <v>43457.430680219906</v>
      </c>
      <c r="B3731" s="3" t="s">
        <v>126</v>
      </c>
      <c r="C3731" s="2" t="s">
        <v>127</v>
      </c>
    </row>
    <row r="3732">
      <c r="A3732" s="1">
        <v>43457.43084332176</v>
      </c>
      <c r="B3732" s="2">
        <v>649.0</v>
      </c>
      <c r="C3732" s="2" t="s">
        <v>177</v>
      </c>
    </row>
    <row r="3733">
      <c r="A3733" s="1">
        <v>43457.43085013889</v>
      </c>
      <c r="B3733" s="3" t="s">
        <v>11</v>
      </c>
      <c r="C3733" s="2" t="s">
        <v>12</v>
      </c>
    </row>
    <row r="3734">
      <c r="A3734" s="1">
        <v>43457.431123229166</v>
      </c>
      <c r="B3734" s="2">
        <v>736.0</v>
      </c>
      <c r="C3734" s="2" t="s">
        <v>175</v>
      </c>
      <c r="D3734" s="2" t="s">
        <v>5</v>
      </c>
    </row>
    <row r="3735">
      <c r="A3735" s="1">
        <v>43457.4311884375</v>
      </c>
      <c r="B3735" s="2">
        <v>737.0</v>
      </c>
      <c r="C3735" s="2" t="s">
        <v>176</v>
      </c>
      <c r="D3735" s="2" t="s">
        <v>5</v>
      </c>
    </row>
    <row r="3736">
      <c r="A3736" s="1">
        <v>43457.431291875</v>
      </c>
      <c r="B3736" s="2">
        <v>716.0</v>
      </c>
      <c r="C3736" s="2" t="s">
        <v>123</v>
      </c>
      <c r="D3736" s="2" t="s">
        <v>5</v>
      </c>
    </row>
    <row r="3737">
      <c r="A3737" s="1">
        <v>43457.43374324074</v>
      </c>
      <c r="B3737" s="2">
        <v>614.0</v>
      </c>
      <c r="C3737" s="2" t="s">
        <v>76</v>
      </c>
    </row>
    <row r="3738">
      <c r="A3738" s="1">
        <v>43457.43542391204</v>
      </c>
      <c r="B3738" s="2">
        <v>201.0</v>
      </c>
      <c r="C3738" s="2" t="s">
        <v>70</v>
      </c>
    </row>
    <row r="3739">
      <c r="A3739" s="1">
        <v>43457.436005138894</v>
      </c>
      <c r="B3739" s="2">
        <v>643.0</v>
      </c>
      <c r="C3739" s="2" t="s">
        <v>166</v>
      </c>
    </row>
    <row r="3740">
      <c r="A3740" s="1">
        <v>43457.43710787037</v>
      </c>
      <c r="B3740" s="2">
        <v>214.0</v>
      </c>
      <c r="C3740" s="2" t="s">
        <v>47</v>
      </c>
    </row>
    <row r="3741">
      <c r="A3741" s="1">
        <v>43457.437322025464</v>
      </c>
      <c r="B3741" s="3" t="s">
        <v>82</v>
      </c>
      <c r="C3741" s="2" t="s">
        <v>83</v>
      </c>
    </row>
    <row r="3742">
      <c r="A3742" s="1">
        <v>43457.4373955787</v>
      </c>
      <c r="B3742" s="2">
        <v>723.0</v>
      </c>
      <c r="C3742" s="2" t="s">
        <v>84</v>
      </c>
      <c r="D3742" s="2" t="s">
        <v>5</v>
      </c>
    </row>
    <row r="3743">
      <c r="A3743" s="1">
        <v>43457.43771641204</v>
      </c>
      <c r="B3743" s="3" t="s">
        <v>78</v>
      </c>
      <c r="C3743" s="2" t="s">
        <v>79</v>
      </c>
    </row>
    <row r="3744">
      <c r="A3744" s="1">
        <v>43457.43782851852</v>
      </c>
      <c r="B3744" s="2">
        <v>214.0</v>
      </c>
      <c r="C3744" s="2" t="s">
        <v>47</v>
      </c>
    </row>
    <row r="3745">
      <c r="A3745" s="1">
        <v>43457.439525995374</v>
      </c>
      <c r="B3745" s="3" t="s">
        <v>103</v>
      </c>
      <c r="C3745" s="2" t="s">
        <v>104</v>
      </c>
    </row>
    <row r="3746">
      <c r="A3746" s="1">
        <v>43457.44085961806</v>
      </c>
      <c r="B3746" s="2">
        <v>208.0</v>
      </c>
      <c r="C3746" s="2" t="s">
        <v>182</v>
      </c>
    </row>
    <row r="3747">
      <c r="A3747" s="1">
        <v>43457.442542476856</v>
      </c>
      <c r="B3747" s="2">
        <v>257.0</v>
      </c>
      <c r="C3747" s="2" t="s">
        <v>27</v>
      </c>
    </row>
    <row r="3748">
      <c r="A3748" s="1">
        <v>43457.44307149306</v>
      </c>
      <c r="B3748" s="2">
        <v>708.0</v>
      </c>
      <c r="C3748" s="2" t="s">
        <v>4</v>
      </c>
      <c r="D3748" s="2" t="s">
        <v>5</v>
      </c>
    </row>
    <row r="3749">
      <c r="A3749" s="1">
        <v>43457.44315225694</v>
      </c>
      <c r="B3749" s="2">
        <v>709.0</v>
      </c>
      <c r="C3749" s="2" t="s">
        <v>20</v>
      </c>
      <c r="D3749" s="2" t="s">
        <v>5</v>
      </c>
    </row>
    <row r="3750">
      <c r="A3750" s="1">
        <v>43457.44322105324</v>
      </c>
      <c r="B3750" s="3" t="s">
        <v>9</v>
      </c>
      <c r="C3750" s="2" t="s">
        <v>10</v>
      </c>
    </row>
    <row r="3751">
      <c r="A3751" s="1">
        <v>43457.44323055555</v>
      </c>
      <c r="B3751" s="2">
        <v>710.0</v>
      </c>
      <c r="C3751" s="2" t="s">
        <v>21</v>
      </c>
      <c r="D3751" s="2" t="s">
        <v>5</v>
      </c>
    </row>
    <row r="3752">
      <c r="A3752" s="1">
        <v>43457.44347701389</v>
      </c>
      <c r="B3752" s="2">
        <v>114.0</v>
      </c>
      <c r="C3752" s="2" t="s">
        <v>15</v>
      </c>
    </row>
    <row r="3753">
      <c r="A3753" s="1">
        <v>43457.44361751157</v>
      </c>
      <c r="B3753" s="3" t="s">
        <v>80</v>
      </c>
      <c r="C3753" s="2" t="s">
        <v>81</v>
      </c>
    </row>
    <row r="3754">
      <c r="A3754" s="1">
        <v>43457.443781319445</v>
      </c>
      <c r="B3754" s="2">
        <v>653.0</v>
      </c>
      <c r="C3754" s="2" t="s">
        <v>77</v>
      </c>
    </row>
    <row r="3755">
      <c r="A3755" s="1">
        <v>43457.444233842594</v>
      </c>
      <c r="B3755" s="2">
        <v>632.0</v>
      </c>
      <c r="C3755" s="2" t="s">
        <v>146</v>
      </c>
    </row>
    <row r="3756">
      <c r="A3756" s="1">
        <v>43457.44503216435</v>
      </c>
      <c r="B3756" s="2">
        <v>624.0</v>
      </c>
      <c r="C3756" s="2" t="s">
        <v>90</v>
      </c>
    </row>
    <row r="3757">
      <c r="A3757" s="1">
        <v>43457.44513709491</v>
      </c>
      <c r="B3757" s="2">
        <v>725.0</v>
      </c>
      <c r="C3757" s="2" t="s">
        <v>92</v>
      </c>
      <c r="D3757" s="2" t="s">
        <v>5</v>
      </c>
    </row>
    <row r="3758">
      <c r="A3758" s="1">
        <v>43457.44523498842</v>
      </c>
      <c r="B3758" s="3" t="s">
        <v>98</v>
      </c>
      <c r="C3758" s="2" t="s">
        <v>99</v>
      </c>
    </row>
    <row r="3759">
      <c r="A3759" s="1">
        <v>43457.44531957176</v>
      </c>
      <c r="B3759" s="2">
        <v>147.0</v>
      </c>
      <c r="C3759" s="2" t="s">
        <v>100</v>
      </c>
    </row>
    <row r="3760">
      <c r="A3760" s="1">
        <v>43457.445468935184</v>
      </c>
      <c r="B3760" s="3" t="s">
        <v>113</v>
      </c>
      <c r="C3760" s="2" t="s">
        <v>114</v>
      </c>
    </row>
    <row r="3761">
      <c r="A3761" s="1">
        <v>43457.44577306713</v>
      </c>
      <c r="B3761" s="2">
        <v>724.0</v>
      </c>
      <c r="C3761" s="2" t="s">
        <v>91</v>
      </c>
      <c r="D3761" s="2" t="s">
        <v>5</v>
      </c>
    </row>
    <row r="3762">
      <c r="A3762" s="1">
        <v>43457.4458909838</v>
      </c>
      <c r="B3762" s="2">
        <v>52.0</v>
      </c>
      <c r="C3762" s="2" t="s">
        <v>41</v>
      </c>
    </row>
    <row r="3763">
      <c r="A3763" s="1">
        <v>43457.44600655093</v>
      </c>
      <c r="B3763" s="2">
        <v>732.0</v>
      </c>
      <c r="C3763" s="2" t="s">
        <v>102</v>
      </c>
      <c r="D3763" s="2" t="s">
        <v>5</v>
      </c>
    </row>
    <row r="3764">
      <c r="A3764" s="1">
        <v>43457.446184201384</v>
      </c>
      <c r="B3764" s="2">
        <v>726.0</v>
      </c>
      <c r="C3764" s="2" t="s">
        <v>101</v>
      </c>
      <c r="D3764" s="2" t="s">
        <v>5</v>
      </c>
    </row>
    <row r="3765">
      <c r="A3765" s="1">
        <v>43457.4475556713</v>
      </c>
      <c r="B3765" s="2">
        <v>625.0</v>
      </c>
      <c r="C3765" s="2" t="s">
        <v>136</v>
      </c>
    </row>
    <row r="3766">
      <c r="A3766" s="1">
        <v>43457.45078377315</v>
      </c>
      <c r="B3766" s="2">
        <v>535.0</v>
      </c>
      <c r="C3766" s="2" t="s">
        <v>208</v>
      </c>
    </row>
    <row r="3767">
      <c r="A3767" s="1">
        <v>43457.45091591435</v>
      </c>
      <c r="B3767" s="2">
        <v>254.0</v>
      </c>
      <c r="C3767" s="2" t="s">
        <v>132</v>
      </c>
    </row>
    <row r="3768">
      <c r="A3768" s="1">
        <v>43457.45478248842</v>
      </c>
      <c r="B3768" s="2">
        <v>604.0</v>
      </c>
      <c r="C3768" s="2" t="s">
        <v>36</v>
      </c>
    </row>
    <row r="3769">
      <c r="A3769" s="1">
        <v>43457.45777231481</v>
      </c>
      <c r="B3769" s="2">
        <v>124.0</v>
      </c>
      <c r="C3769" s="2" t="s">
        <v>107</v>
      </c>
    </row>
    <row r="3770">
      <c r="A3770" s="1">
        <v>43457.47447785879</v>
      </c>
      <c r="B3770" s="2">
        <v>713.0</v>
      </c>
      <c r="C3770" s="2" t="s">
        <v>121</v>
      </c>
      <c r="D3770" s="2" t="s">
        <v>5</v>
      </c>
    </row>
    <row r="3771">
      <c r="A3771" s="1">
        <v>43457.47459534722</v>
      </c>
      <c r="B3771" s="2">
        <v>714.0</v>
      </c>
      <c r="C3771" s="2" t="s">
        <v>122</v>
      </c>
      <c r="D3771" s="2" t="s">
        <v>5</v>
      </c>
    </row>
    <row r="3772">
      <c r="A3772" s="1">
        <v>43457.474770914356</v>
      </c>
      <c r="B3772" s="3" t="s">
        <v>119</v>
      </c>
      <c r="C3772" s="2" t="s">
        <v>120</v>
      </c>
    </row>
    <row r="3773">
      <c r="A3773" s="1">
        <v>43457.475107175924</v>
      </c>
      <c r="B3773" s="3" t="s">
        <v>117</v>
      </c>
      <c r="C3773" s="2" t="s">
        <v>118</v>
      </c>
    </row>
    <row r="3774">
      <c r="A3774" s="1">
        <v>43457.47892445602</v>
      </c>
      <c r="B3774" s="2">
        <v>731.0</v>
      </c>
      <c r="C3774" s="2" t="s">
        <v>164</v>
      </c>
      <c r="D3774" s="2" t="s">
        <v>5</v>
      </c>
    </row>
    <row r="3775">
      <c r="A3775" s="1">
        <v>43457.76851461806</v>
      </c>
      <c r="B3775" s="2">
        <v>214.0</v>
      </c>
      <c r="C3775" s="2" t="s">
        <v>47</v>
      </c>
    </row>
    <row r="3776">
      <c r="A3776" s="1">
        <v>43458.380946053236</v>
      </c>
      <c r="B3776" s="2">
        <v>259.0</v>
      </c>
      <c r="C3776" s="2" t="s">
        <v>66</v>
      </c>
    </row>
    <row r="3777">
      <c r="A3777" s="1">
        <v>43458.38153653935</v>
      </c>
      <c r="B3777" s="2">
        <v>260.0</v>
      </c>
      <c r="C3777" s="2" t="s">
        <v>67</v>
      </c>
    </row>
    <row r="3778">
      <c r="A3778" s="1">
        <v>43458.381631446755</v>
      </c>
      <c r="B3778" s="2">
        <v>260.0</v>
      </c>
      <c r="C3778" s="2" t="s">
        <v>67</v>
      </c>
    </row>
    <row r="3779">
      <c r="A3779" s="1">
        <v>43458.3818052662</v>
      </c>
      <c r="B3779" s="2">
        <v>260.0</v>
      </c>
      <c r="C3779" s="2" t="s">
        <v>67</v>
      </c>
    </row>
    <row r="3780">
      <c r="A3780" s="1">
        <v>43458.382261875</v>
      </c>
      <c r="B3780" s="2">
        <v>734.0</v>
      </c>
      <c r="C3780" s="2" t="s">
        <v>63</v>
      </c>
      <c r="D3780" s="2" t="s">
        <v>5</v>
      </c>
    </row>
    <row r="3781">
      <c r="A3781" s="1">
        <v>43458.414329189814</v>
      </c>
      <c r="B3781" s="3" t="s">
        <v>117</v>
      </c>
      <c r="C3781" s="2" t="s">
        <v>118</v>
      </c>
    </row>
    <row r="3782">
      <c r="A3782" s="1">
        <v>43458.41522407407</v>
      </c>
      <c r="B3782" s="3" t="s">
        <v>74</v>
      </c>
      <c r="C3782" s="2" t="s">
        <v>75</v>
      </c>
    </row>
    <row r="3783">
      <c r="A3783" s="1">
        <v>43458.415810335646</v>
      </c>
      <c r="B3783" s="3" t="s">
        <v>150</v>
      </c>
      <c r="C3783" s="2" t="s">
        <v>151</v>
      </c>
    </row>
    <row r="3784">
      <c r="A3784" s="1">
        <v>43458.418573981486</v>
      </c>
      <c r="B3784" s="3" t="s">
        <v>42</v>
      </c>
      <c r="C3784" s="2" t="s">
        <v>43</v>
      </c>
    </row>
    <row r="3785">
      <c r="A3785" s="1">
        <v>43458.43511449074</v>
      </c>
      <c r="B3785" s="2">
        <v>667.0</v>
      </c>
      <c r="C3785" s="2" t="s">
        <v>73</v>
      </c>
    </row>
    <row r="3786">
      <c r="A3786" s="1">
        <v>43458.43528171296</v>
      </c>
      <c r="B3786" s="2">
        <v>706.0</v>
      </c>
      <c r="C3786" s="2" t="s">
        <v>149</v>
      </c>
      <c r="D3786" s="2" t="s">
        <v>5</v>
      </c>
    </row>
    <row r="3787">
      <c r="A3787" s="1">
        <v>43461.65743042824</v>
      </c>
      <c r="B3787" s="2">
        <v>719.0</v>
      </c>
      <c r="C3787" s="2" t="s">
        <v>106</v>
      </c>
      <c r="D3787" s="2" t="s">
        <v>5</v>
      </c>
    </row>
    <row r="3788">
      <c r="A3788" s="1">
        <v>43461.658447650465</v>
      </c>
      <c r="B3788" s="2">
        <v>739.0</v>
      </c>
      <c r="C3788" s="2" t="s">
        <v>194</v>
      </c>
      <c r="D3788" s="2" t="s">
        <v>5</v>
      </c>
    </row>
    <row r="3789">
      <c r="A3789" s="1">
        <v>43461.65958327547</v>
      </c>
      <c r="B3789" s="2">
        <v>733.0</v>
      </c>
      <c r="C3789" s="2" t="s">
        <v>110</v>
      </c>
      <c r="D3789" s="2" t="s">
        <v>5</v>
      </c>
    </row>
    <row r="3790">
      <c r="A3790" s="1">
        <v>43461.66055770833</v>
      </c>
      <c r="C3790" s="2" t="s">
        <v>200</v>
      </c>
    </row>
    <row r="3791">
      <c r="A3791" s="1">
        <v>43461.660861365744</v>
      </c>
      <c r="C3791" s="2" t="s">
        <v>200</v>
      </c>
    </row>
    <row r="3792">
      <c r="A3792" s="1">
        <v>43461.661779270835</v>
      </c>
      <c r="C3792" s="2" t="s">
        <v>200</v>
      </c>
    </row>
    <row r="3793">
      <c r="A3793" s="1">
        <v>43462.47560391204</v>
      </c>
      <c r="B3793" s="2">
        <v>609.0</v>
      </c>
      <c r="C3793" s="2" t="s">
        <v>179</v>
      </c>
    </row>
    <row r="3794">
      <c r="A3794" s="1">
        <v>43462.47610396991</v>
      </c>
      <c r="B3794" s="2">
        <v>268.0</v>
      </c>
      <c r="C3794" s="2" t="s">
        <v>205</v>
      </c>
    </row>
    <row r="3795">
      <c r="A3795" s="1">
        <v>43464.4175596875</v>
      </c>
      <c r="B3795" s="3" t="s">
        <v>55</v>
      </c>
      <c r="C3795" s="2" t="s">
        <v>56</v>
      </c>
    </row>
    <row r="3796">
      <c r="A3796" s="1">
        <v>43464.41777946759</v>
      </c>
      <c r="B3796" s="2">
        <v>729.0</v>
      </c>
      <c r="C3796" s="2" t="s">
        <v>54</v>
      </c>
      <c r="D3796" s="2" t="s">
        <v>5</v>
      </c>
    </row>
    <row r="3797">
      <c r="A3797" s="1">
        <v>43464.41792104166</v>
      </c>
      <c r="B3797" s="2">
        <v>707.0</v>
      </c>
      <c r="C3797" s="2" t="s">
        <v>57</v>
      </c>
      <c r="D3797" s="2" t="s">
        <v>5</v>
      </c>
    </row>
    <row r="3798">
      <c r="A3798" s="1">
        <v>43464.41810711805</v>
      </c>
      <c r="B3798" s="2">
        <v>141.0</v>
      </c>
      <c r="C3798" s="2" t="s">
        <v>53</v>
      </c>
    </row>
    <row r="3799">
      <c r="A3799" s="1">
        <v>43464.419896481486</v>
      </c>
      <c r="B3799" s="2">
        <v>237.0</v>
      </c>
      <c r="C3799" s="2" t="s">
        <v>140</v>
      </c>
    </row>
    <row r="3800">
      <c r="A3800" s="1">
        <v>43464.420002569444</v>
      </c>
      <c r="B3800" s="2">
        <v>237.0</v>
      </c>
      <c r="C3800" s="2" t="s">
        <v>140</v>
      </c>
    </row>
    <row r="3801">
      <c r="A3801" s="1">
        <v>43464.42064824074</v>
      </c>
      <c r="B3801" s="2">
        <v>614.0</v>
      </c>
      <c r="C3801" s="2" t="s">
        <v>76</v>
      </c>
    </row>
    <row r="3802">
      <c r="A3802" s="1">
        <v>43464.420715879634</v>
      </c>
      <c r="B3802" s="2">
        <v>237.0</v>
      </c>
      <c r="C3802" s="2" t="s">
        <v>140</v>
      </c>
    </row>
    <row r="3803">
      <c r="A3803" s="1">
        <v>43464.42071777778</v>
      </c>
      <c r="B3803" s="2">
        <v>614.0</v>
      </c>
      <c r="C3803" s="2" t="s">
        <v>76</v>
      </c>
    </row>
    <row r="3804">
      <c r="A3804" s="1">
        <v>43464.42083263889</v>
      </c>
      <c r="B3804" s="2">
        <v>237.0</v>
      </c>
      <c r="C3804" s="2" t="s">
        <v>140</v>
      </c>
    </row>
    <row r="3805">
      <c r="A3805" s="1">
        <v>43464.42256464121</v>
      </c>
      <c r="B3805" s="2">
        <v>653.0</v>
      </c>
      <c r="C3805" s="2" t="s">
        <v>77</v>
      </c>
    </row>
    <row r="3806">
      <c r="A3806" s="1">
        <v>43464.42258381944</v>
      </c>
      <c r="B3806" s="2">
        <v>653.0</v>
      </c>
      <c r="C3806" s="2" t="s">
        <v>77</v>
      </c>
    </row>
    <row r="3807">
      <c r="A3807" s="1">
        <v>43464.42310717593</v>
      </c>
      <c r="B3807" s="2">
        <v>653.0</v>
      </c>
      <c r="C3807" s="2" t="s">
        <v>77</v>
      </c>
    </row>
    <row r="3808">
      <c r="A3808" s="1">
        <v>43464.42311042824</v>
      </c>
      <c r="B3808" s="2">
        <v>238.0</v>
      </c>
      <c r="C3808" s="2" t="s">
        <v>35</v>
      </c>
    </row>
    <row r="3809">
      <c r="A3809" s="1">
        <v>43464.42347065972</v>
      </c>
      <c r="B3809" s="2">
        <v>238.0</v>
      </c>
      <c r="C3809" s="2" t="s">
        <v>35</v>
      </c>
    </row>
    <row r="3810">
      <c r="A3810" s="1">
        <v>43464.42352788194</v>
      </c>
      <c r="B3810" s="2">
        <v>653.0</v>
      </c>
      <c r="C3810" s="2" t="s">
        <v>77</v>
      </c>
    </row>
    <row r="3811">
      <c r="A3811" s="1">
        <v>43464.423625972224</v>
      </c>
      <c r="B3811" s="2">
        <v>237.0</v>
      </c>
      <c r="C3811" s="2" t="s">
        <v>140</v>
      </c>
    </row>
    <row r="3812">
      <c r="A3812" s="1">
        <v>43464.42367797454</v>
      </c>
      <c r="B3812" s="2">
        <v>237.0</v>
      </c>
      <c r="C3812" s="2" t="s">
        <v>140</v>
      </c>
    </row>
    <row r="3813">
      <c r="A3813" s="1">
        <v>43464.42374893518</v>
      </c>
      <c r="B3813" s="2">
        <v>237.0</v>
      </c>
      <c r="C3813" s="2" t="s">
        <v>140</v>
      </c>
    </row>
    <row r="3814">
      <c r="A3814" s="1">
        <v>43464.42438078704</v>
      </c>
      <c r="B3814" s="3" t="s">
        <v>9</v>
      </c>
      <c r="C3814" s="2" t="s">
        <v>10</v>
      </c>
    </row>
    <row r="3815">
      <c r="A3815" s="1">
        <v>43464.425182858795</v>
      </c>
      <c r="B3815" s="2">
        <v>262.0</v>
      </c>
      <c r="C3815" s="2" t="s">
        <v>28</v>
      </c>
    </row>
    <row r="3816">
      <c r="A3816" s="1">
        <v>43464.42541892361</v>
      </c>
      <c r="B3816" s="2">
        <v>607.0</v>
      </c>
      <c r="C3816" s="2" t="s">
        <v>68</v>
      </c>
    </row>
    <row r="3817">
      <c r="A3817" s="1">
        <v>43464.42552309028</v>
      </c>
      <c r="B3817" s="2">
        <v>607.0</v>
      </c>
      <c r="C3817" s="2" t="s">
        <v>68</v>
      </c>
    </row>
    <row r="3818">
      <c r="A3818" s="1">
        <v>43464.42582831018</v>
      </c>
      <c r="B3818" s="2">
        <v>607.0</v>
      </c>
      <c r="C3818" s="2" t="s">
        <v>68</v>
      </c>
    </row>
    <row r="3819">
      <c r="A3819" s="1">
        <v>43464.42583054398</v>
      </c>
      <c r="B3819" s="2">
        <v>611.0</v>
      </c>
      <c r="C3819" s="2" t="s">
        <v>143</v>
      </c>
    </row>
    <row r="3820">
      <c r="A3820" s="1">
        <v>43464.42607631945</v>
      </c>
      <c r="B3820" s="2">
        <v>611.0</v>
      </c>
      <c r="C3820" s="2" t="s">
        <v>143</v>
      </c>
    </row>
    <row r="3821">
      <c r="A3821" s="1">
        <v>43464.42608012732</v>
      </c>
      <c r="B3821" s="3" t="s">
        <v>80</v>
      </c>
      <c r="C3821" s="2" t="s">
        <v>81</v>
      </c>
    </row>
    <row r="3822">
      <c r="A3822" s="1">
        <v>43464.42651244213</v>
      </c>
      <c r="B3822" s="3" t="s">
        <v>80</v>
      </c>
      <c r="C3822" s="2" t="s">
        <v>81</v>
      </c>
    </row>
    <row r="3823">
      <c r="A3823" s="1">
        <v>43464.42651480324</v>
      </c>
      <c r="B3823" s="2">
        <v>114.0</v>
      </c>
      <c r="C3823" s="2" t="s">
        <v>15</v>
      </c>
    </row>
    <row r="3824">
      <c r="A3824" s="1">
        <v>43464.42731670139</v>
      </c>
      <c r="B3824" s="3" t="s">
        <v>80</v>
      </c>
      <c r="C3824" s="2" t="s">
        <v>81</v>
      </c>
    </row>
    <row r="3825">
      <c r="A3825" s="1">
        <v>43464.427661574075</v>
      </c>
      <c r="B3825" s="3" t="s">
        <v>80</v>
      </c>
      <c r="C3825" s="2" t="s">
        <v>81</v>
      </c>
    </row>
    <row r="3826">
      <c r="A3826" s="1">
        <v>43464.42770274305</v>
      </c>
      <c r="B3826" s="3" t="s">
        <v>80</v>
      </c>
      <c r="C3826" s="2" t="s">
        <v>81</v>
      </c>
    </row>
    <row r="3827">
      <c r="A3827" s="1">
        <v>43464.42771027778</v>
      </c>
      <c r="B3827" s="3" t="s">
        <v>80</v>
      </c>
      <c r="C3827" s="2" t="s">
        <v>81</v>
      </c>
    </row>
    <row r="3828">
      <c r="A3828" s="1">
        <v>43464.42825481482</v>
      </c>
      <c r="B3828" s="2">
        <v>257.0</v>
      </c>
      <c r="C3828" s="2" t="s">
        <v>27</v>
      </c>
    </row>
    <row r="3829">
      <c r="A3829" s="1">
        <v>43464.42828864584</v>
      </c>
      <c r="B3829" s="2">
        <v>257.0</v>
      </c>
      <c r="C3829" s="2" t="s">
        <v>27</v>
      </c>
    </row>
    <row r="3830">
      <c r="A3830" s="1">
        <v>43464.428428900464</v>
      </c>
      <c r="B3830" s="2">
        <v>259.0</v>
      </c>
      <c r="C3830" s="2" t="s">
        <v>66</v>
      </c>
    </row>
    <row r="3831">
      <c r="A3831" s="1">
        <v>43464.428448113424</v>
      </c>
      <c r="B3831" s="2">
        <v>259.0</v>
      </c>
      <c r="C3831" s="2" t="s">
        <v>66</v>
      </c>
    </row>
    <row r="3832">
      <c r="A3832" s="1">
        <v>43464.42852671296</v>
      </c>
      <c r="B3832" s="3" t="s">
        <v>80</v>
      </c>
      <c r="C3832" s="2" t="s">
        <v>81</v>
      </c>
    </row>
    <row r="3833">
      <c r="A3833" s="1">
        <v>43464.428594791665</v>
      </c>
      <c r="B3833" s="2">
        <v>260.0</v>
      </c>
      <c r="C3833" s="2" t="s">
        <v>67</v>
      </c>
    </row>
    <row r="3834">
      <c r="A3834" s="1">
        <v>43464.42860895833</v>
      </c>
      <c r="B3834" s="2">
        <v>260.0</v>
      </c>
      <c r="C3834" s="2" t="s">
        <v>67</v>
      </c>
    </row>
    <row r="3835">
      <c r="A3835" s="1">
        <v>43464.428619375</v>
      </c>
      <c r="B3835" s="2">
        <v>627.0</v>
      </c>
      <c r="C3835" s="2" t="s">
        <v>134</v>
      </c>
    </row>
    <row r="3836">
      <c r="A3836" s="1">
        <v>43464.428656539356</v>
      </c>
      <c r="B3836" s="2">
        <v>627.0</v>
      </c>
      <c r="C3836" s="2" t="s">
        <v>134</v>
      </c>
    </row>
    <row r="3837">
      <c r="A3837" s="1">
        <v>43464.42867059028</v>
      </c>
      <c r="B3837" s="3" t="s">
        <v>80</v>
      </c>
      <c r="C3837" s="2" t="s">
        <v>81</v>
      </c>
    </row>
    <row r="3838">
      <c r="A3838" s="1">
        <v>43464.428919328704</v>
      </c>
      <c r="B3838" s="2">
        <v>734.0</v>
      </c>
      <c r="C3838" s="2" t="s">
        <v>63</v>
      </c>
      <c r="D3838" s="2" t="s">
        <v>5</v>
      </c>
    </row>
    <row r="3839">
      <c r="A3839" s="1">
        <v>43464.428937731485</v>
      </c>
      <c r="B3839" s="2">
        <v>734.0</v>
      </c>
      <c r="C3839" s="2" t="s">
        <v>63</v>
      </c>
      <c r="D3839" s="2" t="s">
        <v>5</v>
      </c>
    </row>
    <row r="3840">
      <c r="A3840" s="1">
        <v>43464.42903609954</v>
      </c>
      <c r="B3840" s="3" t="s">
        <v>80</v>
      </c>
      <c r="C3840" s="2" t="s">
        <v>81</v>
      </c>
    </row>
    <row r="3841">
      <c r="A3841" s="1">
        <v>43464.42999181713</v>
      </c>
      <c r="B3841" s="3" t="s">
        <v>159</v>
      </c>
      <c r="C3841" s="2" t="s">
        <v>160</v>
      </c>
    </row>
    <row r="3842">
      <c r="A3842" s="1">
        <v>43464.43001060185</v>
      </c>
      <c r="B3842" s="3" t="s">
        <v>159</v>
      </c>
      <c r="C3842" s="2" t="s">
        <v>160</v>
      </c>
    </row>
    <row r="3843">
      <c r="A3843" s="1">
        <v>43464.43024232639</v>
      </c>
      <c r="B3843" s="3" t="s">
        <v>82</v>
      </c>
      <c r="C3843" s="2" t="s">
        <v>83</v>
      </c>
    </row>
    <row r="3844">
      <c r="A3844" s="1">
        <v>43464.43025844907</v>
      </c>
      <c r="B3844" s="3" t="s">
        <v>82</v>
      </c>
      <c r="C3844" s="2" t="s">
        <v>83</v>
      </c>
    </row>
    <row r="3845">
      <c r="A3845" s="1">
        <v>43464.43048270833</v>
      </c>
      <c r="B3845" s="3" t="s">
        <v>78</v>
      </c>
      <c r="C3845" s="2" t="s">
        <v>79</v>
      </c>
    </row>
    <row r="3846">
      <c r="A3846" s="1">
        <v>43464.43050274305</v>
      </c>
      <c r="B3846" s="3" t="s">
        <v>78</v>
      </c>
      <c r="C3846" s="2" t="s">
        <v>79</v>
      </c>
    </row>
    <row r="3847">
      <c r="A3847" s="1">
        <v>43464.43065969908</v>
      </c>
      <c r="B3847" s="2">
        <v>723.0</v>
      </c>
      <c r="C3847" s="2" t="s">
        <v>84</v>
      </c>
      <c r="D3847" s="2" t="s">
        <v>5</v>
      </c>
    </row>
    <row r="3848">
      <c r="A3848" s="1">
        <v>43464.430681516205</v>
      </c>
      <c r="B3848" s="2">
        <v>723.0</v>
      </c>
      <c r="C3848" s="2" t="s">
        <v>84</v>
      </c>
      <c r="D3848" s="2" t="s">
        <v>5</v>
      </c>
    </row>
    <row r="3849">
      <c r="A3849" s="1">
        <v>43464.43072142361</v>
      </c>
      <c r="B3849" s="3" t="s">
        <v>80</v>
      </c>
      <c r="C3849" s="2" t="s">
        <v>81</v>
      </c>
    </row>
    <row r="3850">
      <c r="A3850" s="1">
        <v>43464.43079738426</v>
      </c>
      <c r="B3850" s="2">
        <v>656.0</v>
      </c>
      <c r="C3850" s="2" t="s">
        <v>144</v>
      </c>
    </row>
    <row r="3851">
      <c r="A3851" s="1">
        <v>43464.4308146875</v>
      </c>
      <c r="B3851" s="2">
        <v>656.0</v>
      </c>
      <c r="C3851" s="2" t="s">
        <v>144</v>
      </c>
    </row>
    <row r="3852">
      <c r="A3852" s="1">
        <v>43464.43085928241</v>
      </c>
      <c r="B3852" s="3" t="s">
        <v>80</v>
      </c>
      <c r="C3852" s="2" t="s">
        <v>81</v>
      </c>
    </row>
    <row r="3853">
      <c r="A3853" s="1">
        <v>43464.430892488424</v>
      </c>
      <c r="B3853" s="2">
        <v>214.0</v>
      </c>
      <c r="C3853" s="2" t="s">
        <v>47</v>
      </c>
    </row>
    <row r="3854">
      <c r="A3854" s="1">
        <v>43464.43091443287</v>
      </c>
      <c r="B3854" s="2">
        <v>214.0</v>
      </c>
      <c r="C3854" s="2" t="s">
        <v>47</v>
      </c>
    </row>
    <row r="3855">
      <c r="A3855" s="1">
        <v>43464.43094471065</v>
      </c>
      <c r="B3855" s="3" t="s">
        <v>80</v>
      </c>
      <c r="C3855" s="2" t="s">
        <v>81</v>
      </c>
    </row>
    <row r="3856">
      <c r="A3856" s="1">
        <v>43464.43107899306</v>
      </c>
      <c r="B3856" s="2">
        <v>643.0</v>
      </c>
      <c r="C3856" s="2" t="s">
        <v>166</v>
      </c>
    </row>
    <row r="3857">
      <c r="A3857" s="1">
        <v>43464.43112528935</v>
      </c>
      <c r="B3857" s="2">
        <v>643.0</v>
      </c>
      <c r="C3857" s="2" t="s">
        <v>166</v>
      </c>
    </row>
    <row r="3858">
      <c r="A3858" s="1">
        <v>43464.43125390046</v>
      </c>
      <c r="B3858" s="3" t="s">
        <v>80</v>
      </c>
      <c r="C3858" s="2" t="s">
        <v>81</v>
      </c>
    </row>
    <row r="3859">
      <c r="A3859" s="1">
        <v>43464.43139707176</v>
      </c>
      <c r="B3859" s="2">
        <v>231.0</v>
      </c>
      <c r="C3859" s="2" t="s">
        <v>61</v>
      </c>
    </row>
    <row r="3860">
      <c r="A3860" s="1">
        <v>43464.43172346065</v>
      </c>
      <c r="C3860" s="2" t="s">
        <v>201</v>
      </c>
    </row>
    <row r="3861">
      <c r="A3861" s="1">
        <v>43464.43177760417</v>
      </c>
      <c r="B3861" s="2">
        <v>735.0</v>
      </c>
      <c r="C3861" s="2" t="s">
        <v>37</v>
      </c>
      <c r="D3861" s="2" t="s">
        <v>5</v>
      </c>
    </row>
    <row r="3862">
      <c r="A3862" s="1">
        <v>43464.43179552083</v>
      </c>
      <c r="B3862" s="2">
        <v>735.0</v>
      </c>
      <c r="C3862" s="2" t="s">
        <v>37</v>
      </c>
      <c r="D3862" s="2" t="s">
        <v>5</v>
      </c>
    </row>
    <row r="3863">
      <c r="A3863" s="1">
        <v>43464.43183420139</v>
      </c>
      <c r="B3863" s="3" t="s">
        <v>80</v>
      </c>
      <c r="C3863" s="2" t="s">
        <v>81</v>
      </c>
    </row>
    <row r="3864">
      <c r="A3864" s="1">
        <v>43464.43194702546</v>
      </c>
      <c r="B3864" s="2">
        <v>189.0</v>
      </c>
      <c r="C3864" s="2" t="s">
        <v>128</v>
      </c>
    </row>
    <row r="3865">
      <c r="A3865" s="1">
        <v>43464.43196482639</v>
      </c>
      <c r="B3865" s="2">
        <v>189.0</v>
      </c>
      <c r="C3865" s="2" t="s">
        <v>128</v>
      </c>
    </row>
    <row r="3866">
      <c r="A3866" s="1">
        <v>43464.432047870374</v>
      </c>
      <c r="B3866" s="3" t="s">
        <v>80</v>
      </c>
      <c r="C3866" s="2" t="s">
        <v>81</v>
      </c>
    </row>
    <row r="3867">
      <c r="A3867" s="1">
        <v>43464.432126875</v>
      </c>
      <c r="B3867" s="3" t="s">
        <v>32</v>
      </c>
      <c r="C3867" s="2" t="s">
        <v>33</v>
      </c>
    </row>
    <row r="3868">
      <c r="A3868" s="1">
        <v>43464.432144791666</v>
      </c>
      <c r="B3868" s="3" t="s">
        <v>32</v>
      </c>
      <c r="C3868" s="2" t="s">
        <v>33</v>
      </c>
    </row>
    <row r="3869">
      <c r="A3869" s="1">
        <v>43464.43218469908</v>
      </c>
      <c r="B3869" s="3" t="s">
        <v>80</v>
      </c>
      <c r="C3869" s="2" t="s">
        <v>81</v>
      </c>
    </row>
    <row r="3870">
      <c r="A3870" s="1">
        <v>43464.432465185186</v>
      </c>
      <c r="B3870" s="2">
        <v>173.0</v>
      </c>
      <c r="C3870" s="2" t="s">
        <v>24</v>
      </c>
    </row>
    <row r="3871">
      <c r="A3871" s="1">
        <v>43464.432481909724</v>
      </c>
      <c r="B3871" s="2">
        <v>173.0</v>
      </c>
      <c r="C3871" s="2" t="s">
        <v>24</v>
      </c>
    </row>
    <row r="3872">
      <c r="A3872" s="1">
        <v>43464.432545081014</v>
      </c>
      <c r="B3872" s="3" t="s">
        <v>80</v>
      </c>
      <c r="C3872" s="2" t="s">
        <v>81</v>
      </c>
    </row>
    <row r="3873">
      <c r="A3873" s="1">
        <v>43464.43264491898</v>
      </c>
      <c r="B3873" s="2">
        <v>193.0</v>
      </c>
      <c r="C3873" s="2" t="s">
        <v>30</v>
      </c>
    </row>
    <row r="3874">
      <c r="A3874" s="1">
        <v>43464.432660694445</v>
      </c>
      <c r="B3874" s="2">
        <v>193.0</v>
      </c>
      <c r="C3874" s="2" t="s">
        <v>30</v>
      </c>
    </row>
    <row r="3875">
      <c r="A3875" s="1">
        <v>43464.43283809027</v>
      </c>
      <c r="B3875" s="2">
        <v>113.0</v>
      </c>
      <c r="C3875" s="2" t="s">
        <v>29</v>
      </c>
    </row>
    <row r="3876">
      <c r="A3876" s="1">
        <v>43464.43285328704</v>
      </c>
      <c r="B3876" s="2">
        <v>113.0</v>
      </c>
      <c r="C3876" s="2" t="s">
        <v>29</v>
      </c>
    </row>
    <row r="3877">
      <c r="A3877" s="1">
        <v>43464.433159039356</v>
      </c>
      <c r="B3877" s="2">
        <v>720.0</v>
      </c>
      <c r="C3877" s="2" t="s">
        <v>155</v>
      </c>
      <c r="D3877" s="2" t="s">
        <v>5</v>
      </c>
    </row>
    <row r="3878">
      <c r="A3878" s="1">
        <v>43464.433179803236</v>
      </c>
      <c r="B3878" s="2">
        <v>720.0</v>
      </c>
      <c r="C3878" s="2" t="s">
        <v>155</v>
      </c>
      <c r="D3878" s="2" t="s">
        <v>5</v>
      </c>
    </row>
    <row r="3879">
      <c r="A3879" s="1">
        <v>43464.43323684028</v>
      </c>
      <c r="B3879" s="3" t="s">
        <v>80</v>
      </c>
      <c r="C3879" s="2" t="s">
        <v>81</v>
      </c>
    </row>
    <row r="3880">
      <c r="A3880" s="1">
        <v>43464.43338637731</v>
      </c>
      <c r="B3880" s="2">
        <v>721.0</v>
      </c>
      <c r="C3880" s="2" t="s">
        <v>156</v>
      </c>
      <c r="D3880" s="2" t="s">
        <v>5</v>
      </c>
    </row>
    <row r="3881">
      <c r="A3881" s="1">
        <v>43464.43340359954</v>
      </c>
      <c r="B3881" s="2">
        <v>721.0</v>
      </c>
      <c r="C3881" s="2" t="s">
        <v>156</v>
      </c>
      <c r="D3881" s="2" t="s">
        <v>5</v>
      </c>
    </row>
    <row r="3882">
      <c r="A3882" s="1">
        <v>43464.43350136574</v>
      </c>
      <c r="B3882" s="3" t="s">
        <v>80</v>
      </c>
      <c r="C3882" s="2" t="s">
        <v>81</v>
      </c>
    </row>
    <row r="3883">
      <c r="A3883" s="1">
        <v>43464.43360071759</v>
      </c>
      <c r="B3883" s="3" t="s">
        <v>162</v>
      </c>
      <c r="C3883" s="2" t="s">
        <v>163</v>
      </c>
    </row>
    <row r="3884">
      <c r="A3884" s="1">
        <v>43464.4336137963</v>
      </c>
      <c r="B3884" s="3" t="s">
        <v>162</v>
      </c>
      <c r="C3884" s="2" t="s">
        <v>163</v>
      </c>
    </row>
    <row r="3885">
      <c r="A3885" s="1">
        <v>43464.43386344907</v>
      </c>
      <c r="B3885" s="2">
        <v>160.0</v>
      </c>
      <c r="C3885" s="2" t="s">
        <v>154</v>
      </c>
    </row>
    <row r="3886">
      <c r="A3886" s="1">
        <v>43464.433878564814</v>
      </c>
      <c r="B3886" s="2">
        <v>160.0</v>
      </c>
      <c r="C3886" s="2" t="s">
        <v>154</v>
      </c>
    </row>
    <row r="3887">
      <c r="A3887" s="1">
        <v>43464.43401158565</v>
      </c>
      <c r="B3887" s="3" t="s">
        <v>51</v>
      </c>
      <c r="C3887" s="2" t="s">
        <v>52</v>
      </c>
    </row>
    <row r="3888">
      <c r="A3888" s="1">
        <v>43464.43402672454</v>
      </c>
      <c r="B3888" s="3" t="s">
        <v>51</v>
      </c>
      <c r="C3888" s="2" t="s">
        <v>52</v>
      </c>
    </row>
    <row r="3889">
      <c r="A3889" s="1">
        <v>43464.43423319444</v>
      </c>
      <c r="B3889" s="2">
        <v>244.0</v>
      </c>
      <c r="C3889" s="2" t="s">
        <v>38</v>
      </c>
    </row>
    <row r="3890">
      <c r="A3890" s="1">
        <v>43464.434247847224</v>
      </c>
      <c r="B3890" s="2">
        <v>244.0</v>
      </c>
      <c r="C3890" s="2" t="s">
        <v>38</v>
      </c>
    </row>
    <row r="3891">
      <c r="A3891" s="1">
        <v>43464.434561539354</v>
      </c>
      <c r="B3891" s="2">
        <v>616.0</v>
      </c>
      <c r="C3891" s="2" t="s">
        <v>71</v>
      </c>
    </row>
    <row r="3892">
      <c r="A3892" s="1">
        <v>43464.43457820602</v>
      </c>
      <c r="B3892" s="2">
        <v>616.0</v>
      </c>
      <c r="C3892" s="2" t="s">
        <v>71</v>
      </c>
    </row>
    <row r="3893">
      <c r="A3893" s="1">
        <v>43464.434884560185</v>
      </c>
      <c r="B3893" s="3" t="s">
        <v>22</v>
      </c>
      <c r="C3893" s="2" t="s">
        <v>23</v>
      </c>
    </row>
    <row r="3894">
      <c r="A3894" s="1">
        <v>43464.43489744213</v>
      </c>
      <c r="B3894" s="3" t="s">
        <v>22</v>
      </c>
      <c r="C3894" s="2" t="s">
        <v>23</v>
      </c>
    </row>
    <row r="3895">
      <c r="A3895" s="1">
        <v>43464.43493087963</v>
      </c>
      <c r="B3895" s="2">
        <v>167.0</v>
      </c>
      <c r="C3895" s="2" t="s">
        <v>39</v>
      </c>
    </row>
    <row r="3896">
      <c r="A3896" s="1">
        <v>43464.435098587965</v>
      </c>
      <c r="B3896" s="3" t="s">
        <v>80</v>
      </c>
      <c r="C3896" s="2" t="s">
        <v>81</v>
      </c>
    </row>
    <row r="3897">
      <c r="A3897" s="1">
        <v>43464.43512083333</v>
      </c>
      <c r="B3897" s="3" t="s">
        <v>44</v>
      </c>
      <c r="C3897" s="2" t="s">
        <v>45</v>
      </c>
    </row>
    <row r="3898">
      <c r="A3898" s="1">
        <v>43464.435138483794</v>
      </c>
      <c r="B3898" s="3" t="s">
        <v>44</v>
      </c>
      <c r="C3898" s="2" t="s">
        <v>45</v>
      </c>
    </row>
    <row r="3899">
      <c r="A3899" s="1">
        <v>43464.435201932865</v>
      </c>
      <c r="B3899" s="3" t="s">
        <v>80</v>
      </c>
      <c r="C3899" s="2" t="s">
        <v>81</v>
      </c>
    </row>
    <row r="3900">
      <c r="A3900" s="1">
        <v>43464.43581658565</v>
      </c>
      <c r="B3900" s="3" t="s">
        <v>11</v>
      </c>
      <c r="C3900" s="2" t="s">
        <v>12</v>
      </c>
    </row>
    <row r="3901">
      <c r="A3901" s="1">
        <v>43464.43583265046</v>
      </c>
      <c r="B3901" s="3" t="s">
        <v>11</v>
      </c>
      <c r="C3901" s="2" t="s">
        <v>12</v>
      </c>
    </row>
    <row r="3902">
      <c r="A3902" s="1">
        <v>43464.4358849537</v>
      </c>
      <c r="B3902" s="3" t="s">
        <v>126</v>
      </c>
      <c r="C3902" s="2" t="s">
        <v>127</v>
      </c>
    </row>
    <row r="3903">
      <c r="A3903" s="1">
        <v>43464.43590803241</v>
      </c>
      <c r="B3903" s="3" t="s">
        <v>126</v>
      </c>
      <c r="C3903" s="2" t="s">
        <v>127</v>
      </c>
    </row>
    <row r="3904">
      <c r="A3904" s="1">
        <v>43464.435984641204</v>
      </c>
      <c r="B3904" s="3" t="s">
        <v>80</v>
      </c>
      <c r="C3904" s="2" t="s">
        <v>81</v>
      </c>
    </row>
    <row r="3905">
      <c r="A3905" s="1">
        <v>43464.43600475695</v>
      </c>
      <c r="B3905" s="2">
        <v>716.0</v>
      </c>
      <c r="C3905" s="2" t="s">
        <v>123</v>
      </c>
      <c r="D3905" s="2" t="s">
        <v>5</v>
      </c>
    </row>
    <row r="3906">
      <c r="A3906" s="1">
        <v>43464.43602445602</v>
      </c>
      <c r="B3906" s="2">
        <v>716.0</v>
      </c>
      <c r="C3906" s="2" t="s">
        <v>123</v>
      </c>
      <c r="D3906" s="2" t="s">
        <v>5</v>
      </c>
    </row>
    <row r="3907">
      <c r="A3907" s="1">
        <v>43464.436061354165</v>
      </c>
      <c r="B3907" s="3" t="s">
        <v>80</v>
      </c>
      <c r="C3907" s="2" t="s">
        <v>81</v>
      </c>
    </row>
    <row r="3908">
      <c r="A3908" s="1">
        <v>43464.43671559027</v>
      </c>
      <c r="B3908" s="2">
        <v>137.0</v>
      </c>
      <c r="C3908" s="2" t="s">
        <v>72</v>
      </c>
    </row>
    <row r="3909">
      <c r="A3909" s="1">
        <v>43464.43672903936</v>
      </c>
      <c r="B3909" s="2">
        <v>137.0</v>
      </c>
      <c r="C3909" s="2" t="s">
        <v>72</v>
      </c>
    </row>
    <row r="3910">
      <c r="A3910" s="1">
        <v>43464.437303240746</v>
      </c>
      <c r="B3910" s="3" t="s">
        <v>80</v>
      </c>
      <c r="C3910" s="2" t="s">
        <v>81</v>
      </c>
    </row>
    <row r="3911">
      <c r="A3911" s="1">
        <v>43464.43734152778</v>
      </c>
      <c r="B3911" s="3" t="s">
        <v>88</v>
      </c>
      <c r="C3911" s="2" t="s">
        <v>89</v>
      </c>
    </row>
    <row r="3912">
      <c r="A3912" s="1">
        <v>43464.437359930555</v>
      </c>
      <c r="B3912" s="3" t="s">
        <v>88</v>
      </c>
      <c r="C3912" s="2" t="s">
        <v>89</v>
      </c>
    </row>
    <row r="3913">
      <c r="A3913" s="1">
        <v>43464.438451423615</v>
      </c>
      <c r="B3913" s="3" t="s">
        <v>80</v>
      </c>
      <c r="C3913" s="2" t="s">
        <v>81</v>
      </c>
    </row>
    <row r="3914">
      <c r="A3914" s="1">
        <v>43464.43852012731</v>
      </c>
      <c r="B3914" s="2">
        <v>219.0</v>
      </c>
      <c r="C3914" s="2" t="s">
        <v>31</v>
      </c>
    </row>
    <row r="3915">
      <c r="A3915" s="1">
        <v>43464.43854618055</v>
      </c>
      <c r="B3915" s="2">
        <v>219.0</v>
      </c>
      <c r="C3915" s="2" t="s">
        <v>31</v>
      </c>
    </row>
    <row r="3916">
      <c r="A3916" s="1">
        <v>43464.43863053241</v>
      </c>
      <c r="B3916" s="3" t="s">
        <v>80</v>
      </c>
      <c r="C3916" s="2" t="s">
        <v>81</v>
      </c>
    </row>
    <row r="3917">
      <c r="A3917" s="1">
        <v>43464.4386459838</v>
      </c>
      <c r="B3917" s="2">
        <v>667.0</v>
      </c>
      <c r="C3917" s="2" t="s">
        <v>73</v>
      </c>
    </row>
    <row r="3918">
      <c r="A3918" s="1">
        <v>43464.43878328704</v>
      </c>
      <c r="B3918" s="2">
        <v>706.0</v>
      </c>
      <c r="C3918" s="2" t="s">
        <v>149</v>
      </c>
      <c r="D3918" s="2" t="s">
        <v>5</v>
      </c>
    </row>
    <row r="3919">
      <c r="A3919" s="1">
        <v>43464.43895283565</v>
      </c>
      <c r="B3919" s="3" t="s">
        <v>150</v>
      </c>
      <c r="C3919" s="2" t="s">
        <v>151</v>
      </c>
    </row>
    <row r="3920">
      <c r="A3920" s="1">
        <v>43464.43901351852</v>
      </c>
      <c r="B3920" s="2">
        <v>158.0</v>
      </c>
      <c r="C3920" s="2" t="s">
        <v>62</v>
      </c>
    </row>
    <row r="3921">
      <c r="A3921" s="1">
        <v>43464.43902943287</v>
      </c>
      <c r="B3921" s="2">
        <v>158.0</v>
      </c>
      <c r="C3921" s="2" t="s">
        <v>62</v>
      </c>
    </row>
    <row r="3922">
      <c r="A3922" s="1">
        <v>43464.43908414352</v>
      </c>
      <c r="B3922" s="3" t="s">
        <v>80</v>
      </c>
      <c r="C3922" s="2" t="s">
        <v>81</v>
      </c>
    </row>
    <row r="3923">
      <c r="A3923" s="1">
        <v>43464.43911550926</v>
      </c>
      <c r="B3923" s="3" t="s">
        <v>74</v>
      </c>
      <c r="C3923" s="2" t="s">
        <v>75</v>
      </c>
    </row>
    <row r="3924">
      <c r="A3924" s="1">
        <v>43464.439519594904</v>
      </c>
      <c r="B3924" s="3" t="s">
        <v>80</v>
      </c>
      <c r="C3924" s="2" t="s">
        <v>81</v>
      </c>
    </row>
    <row r="3925">
      <c r="A3925" s="1">
        <v>43464.439526064816</v>
      </c>
      <c r="B3925" s="2">
        <v>114.0</v>
      </c>
      <c r="C3925" s="2" t="s">
        <v>15</v>
      </c>
    </row>
    <row r="3926">
      <c r="A3926" s="1">
        <v>43464.439680034724</v>
      </c>
      <c r="B3926" s="3" t="s">
        <v>80</v>
      </c>
      <c r="C3926" s="2" t="s">
        <v>81</v>
      </c>
    </row>
    <row r="3927">
      <c r="A3927" s="1">
        <v>43464.44033534722</v>
      </c>
      <c r="B3927" s="2">
        <v>618.0</v>
      </c>
      <c r="C3927" s="2" t="s">
        <v>147</v>
      </c>
    </row>
    <row r="3928">
      <c r="A3928" s="1">
        <v>43464.440390856485</v>
      </c>
      <c r="B3928" s="3" t="s">
        <v>80</v>
      </c>
      <c r="C3928" s="2" t="s">
        <v>81</v>
      </c>
    </row>
    <row r="3929">
      <c r="A3929" s="1">
        <v>43464.440393425924</v>
      </c>
      <c r="B3929" s="2">
        <v>618.0</v>
      </c>
      <c r="C3929" s="2" t="s">
        <v>147</v>
      </c>
    </row>
    <row r="3930">
      <c r="A3930" s="1">
        <v>43464.44047068287</v>
      </c>
      <c r="B3930" s="3" t="s">
        <v>80</v>
      </c>
      <c r="C3930" s="2" t="s">
        <v>81</v>
      </c>
    </row>
    <row r="3931">
      <c r="A3931" s="1">
        <v>43464.440566770834</v>
      </c>
      <c r="B3931" s="2">
        <v>229.0</v>
      </c>
      <c r="C3931" s="2" t="s">
        <v>86</v>
      </c>
    </row>
    <row r="3932">
      <c r="A3932" s="1">
        <v>43464.44058282407</v>
      </c>
      <c r="B3932" s="2">
        <v>229.0</v>
      </c>
      <c r="C3932" s="2" t="s">
        <v>86</v>
      </c>
    </row>
    <row r="3933">
      <c r="A3933" s="1">
        <v>43464.440643229165</v>
      </c>
      <c r="B3933" s="3" t="s">
        <v>80</v>
      </c>
      <c r="C3933" s="2" t="s">
        <v>81</v>
      </c>
    </row>
    <row r="3934">
      <c r="A3934" s="1">
        <v>43464.440680659725</v>
      </c>
      <c r="B3934" s="2">
        <v>207.0</v>
      </c>
      <c r="C3934" s="2" t="s">
        <v>85</v>
      </c>
    </row>
    <row r="3935">
      <c r="A3935" s="1">
        <v>43464.440697094906</v>
      </c>
      <c r="B3935" s="2">
        <v>207.0</v>
      </c>
      <c r="C3935" s="2" t="s">
        <v>85</v>
      </c>
    </row>
    <row r="3936">
      <c r="A3936" s="1">
        <v>43464.44075039352</v>
      </c>
      <c r="B3936" s="3" t="s">
        <v>80</v>
      </c>
      <c r="C3936" s="2" t="s">
        <v>81</v>
      </c>
    </row>
    <row r="3937">
      <c r="A3937" s="1">
        <v>43464.441624189814</v>
      </c>
      <c r="B3937" s="2">
        <v>649.0</v>
      </c>
      <c r="C3937" s="2" t="s">
        <v>177</v>
      </c>
    </row>
    <row r="3938">
      <c r="A3938" s="1">
        <v>43464.44164777778</v>
      </c>
      <c r="B3938" s="2">
        <v>649.0</v>
      </c>
      <c r="C3938" s="2" t="s">
        <v>177</v>
      </c>
    </row>
    <row r="3939">
      <c r="A3939" s="1">
        <v>43464.441689224535</v>
      </c>
      <c r="B3939" s="3" t="s">
        <v>80</v>
      </c>
      <c r="C3939" s="2" t="s">
        <v>81</v>
      </c>
    </row>
    <row r="3940">
      <c r="A3940" s="1">
        <v>43464.44171853009</v>
      </c>
      <c r="B3940" s="2">
        <v>648.0</v>
      </c>
      <c r="C3940" s="2" t="s">
        <v>207</v>
      </c>
    </row>
    <row r="3941">
      <c r="A3941" s="1">
        <v>43464.44173548611</v>
      </c>
      <c r="B3941" s="2">
        <v>648.0</v>
      </c>
      <c r="C3941" s="2" t="s">
        <v>207</v>
      </c>
    </row>
    <row r="3942">
      <c r="A3942" s="1">
        <v>43464.441777141205</v>
      </c>
      <c r="B3942" s="3" t="s">
        <v>80</v>
      </c>
      <c r="C3942" s="2" t="s">
        <v>81</v>
      </c>
    </row>
    <row r="3943">
      <c r="A3943" s="1">
        <v>43464.44443318287</v>
      </c>
      <c r="B3943" s="2">
        <v>625.0</v>
      </c>
      <c r="C3943" s="2" t="s">
        <v>136</v>
      </c>
    </row>
    <row r="3944">
      <c r="A3944" s="1">
        <v>43464.44444931713</v>
      </c>
      <c r="B3944" s="2">
        <v>625.0</v>
      </c>
      <c r="C3944" s="2" t="s">
        <v>136</v>
      </c>
    </row>
    <row r="3945">
      <c r="A3945" s="1">
        <v>43464.44534752315</v>
      </c>
      <c r="B3945" s="3" t="s">
        <v>80</v>
      </c>
      <c r="C3945" s="2" t="s">
        <v>81</v>
      </c>
    </row>
    <row r="3946">
      <c r="A3946" s="1">
        <v>43464.44594135416</v>
      </c>
      <c r="B3946" s="3" t="s">
        <v>9</v>
      </c>
      <c r="C3946" s="2" t="s">
        <v>10</v>
      </c>
    </row>
    <row r="3947">
      <c r="A3947" s="1">
        <v>43464.446001331016</v>
      </c>
      <c r="B3947" s="3" t="s">
        <v>80</v>
      </c>
      <c r="C3947" s="2" t="s">
        <v>81</v>
      </c>
    </row>
    <row r="3948">
      <c r="A3948" s="1">
        <v>43464.446003703706</v>
      </c>
      <c r="B3948" s="3" t="s">
        <v>9</v>
      </c>
      <c r="C3948" s="2" t="s">
        <v>10</v>
      </c>
    </row>
    <row r="3949">
      <c r="A3949" s="1">
        <v>43464.446122928246</v>
      </c>
      <c r="B3949" s="2">
        <v>655.0</v>
      </c>
      <c r="C3949" s="2" t="s">
        <v>17</v>
      </c>
    </row>
    <row r="3950">
      <c r="A3950" s="1">
        <v>43464.44614148149</v>
      </c>
      <c r="B3950" s="2">
        <v>655.0</v>
      </c>
      <c r="C3950" s="2" t="s">
        <v>17</v>
      </c>
    </row>
    <row r="3951">
      <c r="A3951" s="1">
        <v>43464.45353373843</v>
      </c>
      <c r="B3951" s="2">
        <v>655.0</v>
      </c>
      <c r="C3951" s="2" t="s">
        <v>17</v>
      </c>
    </row>
    <row r="3952">
      <c r="A3952" s="1">
        <v>43464.453742199075</v>
      </c>
      <c r="B3952" s="3" t="s">
        <v>80</v>
      </c>
      <c r="C3952" s="2" t="s">
        <v>81</v>
      </c>
    </row>
    <row r="3953">
      <c r="A3953" s="1">
        <v>43464.45396048611</v>
      </c>
      <c r="B3953" s="2">
        <v>732.0</v>
      </c>
      <c r="C3953" s="2" t="s">
        <v>102</v>
      </c>
      <c r="D3953" s="2" t="s">
        <v>5</v>
      </c>
    </row>
    <row r="3954">
      <c r="A3954" s="1">
        <v>43464.453978680554</v>
      </c>
      <c r="B3954" s="2">
        <v>732.0</v>
      </c>
      <c r="C3954" s="2" t="s">
        <v>102</v>
      </c>
      <c r="D3954" s="2" t="s">
        <v>5</v>
      </c>
    </row>
    <row r="3955">
      <c r="A3955" s="1">
        <v>43464.45401613426</v>
      </c>
      <c r="B3955" s="3" t="s">
        <v>80</v>
      </c>
      <c r="C3955" s="2" t="s">
        <v>81</v>
      </c>
    </row>
    <row r="3956">
      <c r="A3956" s="1">
        <v>43464.45405472222</v>
      </c>
      <c r="B3956" s="2">
        <v>726.0</v>
      </c>
      <c r="C3956" s="2" t="s">
        <v>101</v>
      </c>
      <c r="D3956" s="2" t="s">
        <v>5</v>
      </c>
    </row>
    <row r="3957">
      <c r="A3957" s="1">
        <v>43464.4540733912</v>
      </c>
      <c r="B3957" s="2">
        <v>726.0</v>
      </c>
      <c r="C3957" s="2" t="s">
        <v>101</v>
      </c>
      <c r="D3957" s="2" t="s">
        <v>5</v>
      </c>
    </row>
    <row r="3958">
      <c r="A3958" s="1">
        <v>43464.45416577546</v>
      </c>
      <c r="B3958" s="3" t="s">
        <v>80</v>
      </c>
      <c r="C3958" s="2" t="s">
        <v>81</v>
      </c>
    </row>
    <row r="3959">
      <c r="A3959" s="1">
        <v>43464.454175949075</v>
      </c>
      <c r="B3959" s="3" t="s">
        <v>103</v>
      </c>
      <c r="C3959" s="2" t="s">
        <v>104</v>
      </c>
    </row>
    <row r="3960">
      <c r="A3960" s="1">
        <v>43464.45418465278</v>
      </c>
      <c r="B3960" s="3" t="s">
        <v>98</v>
      </c>
      <c r="C3960" s="2" t="s">
        <v>99</v>
      </c>
    </row>
    <row r="3961">
      <c r="A3961" s="1">
        <v>43464.45420107638</v>
      </c>
      <c r="B3961" s="3" t="s">
        <v>98</v>
      </c>
      <c r="C3961" s="2" t="s">
        <v>99</v>
      </c>
    </row>
    <row r="3962">
      <c r="A3962" s="1">
        <v>43464.454250243056</v>
      </c>
      <c r="B3962" s="2">
        <v>147.0</v>
      </c>
      <c r="C3962" s="2" t="s">
        <v>100</v>
      </c>
    </row>
    <row r="3963">
      <c r="A3963" s="1">
        <v>43464.45427</v>
      </c>
      <c r="B3963" s="2">
        <v>147.0</v>
      </c>
      <c r="C3963" s="2" t="s">
        <v>100</v>
      </c>
    </row>
    <row r="3964">
      <c r="A3964" s="1">
        <v>43464.4543094213</v>
      </c>
      <c r="B3964" s="3" t="s">
        <v>80</v>
      </c>
      <c r="C3964" s="2" t="s">
        <v>81</v>
      </c>
    </row>
    <row r="3965">
      <c r="A3965" s="1">
        <v>43464.46393996528</v>
      </c>
      <c r="B3965" s="3" t="s">
        <v>113</v>
      </c>
      <c r="C3965" s="2" t="s">
        <v>114</v>
      </c>
    </row>
    <row r="3966">
      <c r="A3966" s="1">
        <v>43464.46396064815</v>
      </c>
      <c r="B3966" s="3" t="s">
        <v>113</v>
      </c>
      <c r="C3966" s="2" t="s">
        <v>114</v>
      </c>
    </row>
    <row r="3967">
      <c r="A3967" s="1">
        <v>43464.463997858795</v>
      </c>
      <c r="B3967" s="3" t="s">
        <v>80</v>
      </c>
      <c r="C3967" s="2" t="s">
        <v>81</v>
      </c>
    </row>
    <row r="3968">
      <c r="A3968" s="1">
        <v>43464.46402299769</v>
      </c>
      <c r="B3968" s="2">
        <v>101.0</v>
      </c>
      <c r="C3968" s="2" t="s">
        <v>108</v>
      </c>
    </row>
    <row r="3969">
      <c r="A3969" s="1">
        <v>43464.464043518514</v>
      </c>
      <c r="B3969" s="2">
        <v>101.0</v>
      </c>
      <c r="C3969" s="2" t="s">
        <v>108</v>
      </c>
    </row>
    <row r="3970">
      <c r="A3970" s="1">
        <v>43464.46411054398</v>
      </c>
      <c r="B3970" s="3" t="s">
        <v>80</v>
      </c>
      <c r="C3970" s="2" t="s">
        <v>81</v>
      </c>
    </row>
    <row r="3971">
      <c r="A3971" s="1">
        <v>43464.46415616898</v>
      </c>
      <c r="B3971" s="2">
        <v>124.0</v>
      </c>
      <c r="C3971" s="2" t="s">
        <v>107</v>
      </c>
    </row>
    <row r="3972">
      <c r="A3972" s="1">
        <v>43464.4644253588</v>
      </c>
      <c r="B3972" s="2">
        <v>116.0</v>
      </c>
      <c r="C3972" s="2" t="s">
        <v>211</v>
      </c>
    </row>
    <row r="3973">
      <c r="A3973" s="1">
        <v>43464.46445716435</v>
      </c>
      <c r="B3973" s="2">
        <v>124.0</v>
      </c>
      <c r="C3973" s="2" t="s">
        <v>107</v>
      </c>
    </row>
    <row r="3974">
      <c r="A3974" s="1">
        <v>43464.46448019676</v>
      </c>
      <c r="B3974" s="2">
        <v>124.0</v>
      </c>
      <c r="C3974" s="2" t="s">
        <v>107</v>
      </c>
    </row>
    <row r="3975">
      <c r="A3975" s="1">
        <v>43464.464517326385</v>
      </c>
      <c r="B3975" s="3" t="s">
        <v>80</v>
      </c>
      <c r="C3975" s="2" t="s">
        <v>81</v>
      </c>
    </row>
    <row r="3976">
      <c r="A3976" s="1">
        <v>43464.46456416667</v>
      </c>
      <c r="B3976" s="2">
        <v>228.0</v>
      </c>
      <c r="C3976" s="2" t="s">
        <v>135</v>
      </c>
    </row>
    <row r="3977">
      <c r="A3977" s="1">
        <v>43464.464583125</v>
      </c>
      <c r="B3977" s="2">
        <v>228.0</v>
      </c>
      <c r="C3977" s="2" t="s">
        <v>135</v>
      </c>
    </row>
    <row r="3978">
      <c r="A3978" s="1">
        <v>43464.46462900463</v>
      </c>
      <c r="B3978" s="3" t="s">
        <v>80</v>
      </c>
      <c r="C3978" s="2" t="s">
        <v>81</v>
      </c>
    </row>
    <row r="3979">
      <c r="A3979" s="1">
        <v>43464.46471166667</v>
      </c>
      <c r="B3979" s="2">
        <v>718.0</v>
      </c>
      <c r="C3979" s="2" t="s">
        <v>105</v>
      </c>
      <c r="D3979" s="2" t="s">
        <v>5</v>
      </c>
    </row>
    <row r="3980">
      <c r="A3980" s="1">
        <v>43464.46472689815</v>
      </c>
      <c r="B3980" s="2">
        <v>718.0</v>
      </c>
      <c r="C3980" s="2" t="s">
        <v>105</v>
      </c>
      <c r="D3980" s="2" t="s">
        <v>5</v>
      </c>
    </row>
    <row r="3981">
      <c r="A3981" s="1">
        <v>43464.464786944445</v>
      </c>
      <c r="B3981" s="2">
        <v>719.0</v>
      </c>
      <c r="C3981" s="2" t="s">
        <v>106</v>
      </c>
      <c r="D3981" s="2" t="s">
        <v>5</v>
      </c>
    </row>
    <row r="3982">
      <c r="A3982" s="1">
        <v>43464.46480307871</v>
      </c>
      <c r="B3982" s="2">
        <v>719.0</v>
      </c>
      <c r="C3982" s="2" t="s">
        <v>106</v>
      </c>
      <c r="D3982" s="2" t="s">
        <v>5</v>
      </c>
    </row>
    <row r="3983">
      <c r="A3983" s="1">
        <v>43464.4648465162</v>
      </c>
      <c r="B3983" s="3" t="s">
        <v>80</v>
      </c>
      <c r="C3983" s="2" t="s">
        <v>81</v>
      </c>
    </row>
    <row r="3984">
      <c r="A3984" s="1">
        <v>43464.46833042824</v>
      </c>
      <c r="B3984" s="2">
        <v>667.0</v>
      </c>
      <c r="C3984" s="2" t="s">
        <v>73</v>
      </c>
    </row>
    <row r="3985">
      <c r="A3985" s="1">
        <v>43464.46835085648</v>
      </c>
      <c r="B3985" s="2">
        <v>667.0</v>
      </c>
      <c r="C3985" s="2" t="s">
        <v>73</v>
      </c>
    </row>
    <row r="3986">
      <c r="A3986" s="1">
        <v>43464.46917978009</v>
      </c>
      <c r="B3986" s="2">
        <v>667.0</v>
      </c>
      <c r="C3986" s="2" t="s">
        <v>73</v>
      </c>
    </row>
    <row r="3987">
      <c r="A3987" s="1">
        <v>43464.46918133102</v>
      </c>
      <c r="B3987" s="2">
        <v>114.0</v>
      </c>
      <c r="C3987" s="2" t="s">
        <v>15</v>
      </c>
    </row>
    <row r="3988">
      <c r="A3988" s="1">
        <v>43464.46935114583</v>
      </c>
      <c r="B3988" s="2">
        <v>114.0</v>
      </c>
      <c r="C3988" s="2" t="s">
        <v>15</v>
      </c>
    </row>
    <row r="3989">
      <c r="A3989" s="1">
        <v>43464.46948863426</v>
      </c>
      <c r="B3989" s="2">
        <v>611.0</v>
      </c>
      <c r="C3989" s="2" t="s">
        <v>143</v>
      </c>
    </row>
    <row r="3990">
      <c r="A3990" s="1">
        <v>43464.46954020833</v>
      </c>
      <c r="B3990" s="2">
        <v>607.0</v>
      </c>
      <c r="C3990" s="2" t="s">
        <v>68</v>
      </c>
    </row>
    <row r="3991">
      <c r="A3991" s="1">
        <v>43464.469636064816</v>
      </c>
      <c r="B3991" s="2">
        <v>607.0</v>
      </c>
      <c r="C3991" s="2" t="s">
        <v>68</v>
      </c>
    </row>
    <row r="3992">
      <c r="A3992" s="1">
        <v>43464.46972166667</v>
      </c>
      <c r="B3992" s="2">
        <v>611.0</v>
      </c>
      <c r="C3992" s="2" t="s">
        <v>143</v>
      </c>
    </row>
    <row r="3993">
      <c r="A3993" s="1">
        <v>43464.46972825231</v>
      </c>
      <c r="B3993" s="3" t="s">
        <v>80</v>
      </c>
      <c r="C3993" s="2" t="s">
        <v>81</v>
      </c>
    </row>
    <row r="3994">
      <c r="A3994" s="1">
        <v>43464.46974947916</v>
      </c>
      <c r="B3994" s="2">
        <v>667.0</v>
      </c>
      <c r="C3994" s="2" t="s">
        <v>73</v>
      </c>
    </row>
    <row r="3995">
      <c r="A3995" s="1">
        <v>43464.46975665509</v>
      </c>
      <c r="B3995" s="2">
        <v>114.0</v>
      </c>
      <c r="C3995" s="2" t="s">
        <v>15</v>
      </c>
    </row>
    <row r="3996">
      <c r="A3996" s="1">
        <v>43464.46990631944</v>
      </c>
      <c r="B3996" s="2">
        <v>607.0</v>
      </c>
      <c r="C3996" s="2" t="s">
        <v>68</v>
      </c>
    </row>
    <row r="3997">
      <c r="A3997" s="1">
        <v>43464.470252430554</v>
      </c>
      <c r="B3997" s="2">
        <v>607.0</v>
      </c>
      <c r="C3997" s="2" t="s">
        <v>68</v>
      </c>
    </row>
    <row r="3998">
      <c r="A3998" s="1">
        <v>43464.47125206019</v>
      </c>
      <c r="B3998" s="2">
        <v>210.0</v>
      </c>
      <c r="C3998" s="2" t="s">
        <v>64</v>
      </c>
    </row>
    <row r="3999">
      <c r="A3999" s="1">
        <v>43464.492689039354</v>
      </c>
      <c r="B3999" s="2">
        <v>253.0</v>
      </c>
      <c r="C3999" s="2" t="s">
        <v>138</v>
      </c>
    </row>
    <row r="4000">
      <c r="A4000" s="1">
        <v>43464.492710555554</v>
      </c>
      <c r="B4000" s="2">
        <v>253.0</v>
      </c>
      <c r="C4000" s="2" t="s">
        <v>138</v>
      </c>
    </row>
    <row r="4001">
      <c r="A4001" s="1">
        <v>43464.62483763889</v>
      </c>
      <c r="B4001" s="2">
        <v>627.0</v>
      </c>
      <c r="C4001" s="2" t="s">
        <v>134</v>
      </c>
    </row>
    <row r="4002">
      <c r="A4002" s="1">
        <v>43465.68828828704</v>
      </c>
      <c r="B4002" s="3" t="s">
        <v>42</v>
      </c>
      <c r="C4002" s="2" t="s">
        <v>43</v>
      </c>
    </row>
    <row r="4003">
      <c r="A4003" s="1">
        <v>43468.31470366898</v>
      </c>
      <c r="B4003" s="2">
        <v>208.0</v>
      </c>
      <c r="C4003" s="2" t="s">
        <v>182</v>
      </c>
    </row>
    <row r="4004">
      <c r="A4004" s="1">
        <v>43468.42119648148</v>
      </c>
      <c r="C4004" s="2" t="s">
        <v>201</v>
      </c>
    </row>
    <row r="4005">
      <c r="A4005" s="1">
        <v>43468.42203606482</v>
      </c>
      <c r="C4005" s="2" t="s">
        <v>201</v>
      </c>
    </row>
    <row r="4006">
      <c r="A4006" s="1">
        <v>43468.429815763884</v>
      </c>
      <c r="B4006" s="2">
        <v>193.0</v>
      </c>
      <c r="C4006" s="2" t="s">
        <v>30</v>
      </c>
    </row>
    <row r="4007">
      <c r="A4007" s="1">
        <v>43468.43474736111</v>
      </c>
      <c r="B4007" s="2">
        <v>708.0</v>
      </c>
      <c r="C4007" s="2" t="s">
        <v>4</v>
      </c>
      <c r="D4007" s="2" t="s">
        <v>5</v>
      </c>
    </row>
    <row r="4008">
      <c r="A4008" s="1">
        <v>43468.4348440625</v>
      </c>
      <c r="B4008" s="2">
        <v>709.0</v>
      </c>
      <c r="C4008" s="2" t="s">
        <v>20</v>
      </c>
      <c r="D4008" s="2" t="s">
        <v>5</v>
      </c>
    </row>
    <row r="4009">
      <c r="A4009" s="1">
        <v>43468.43489052083</v>
      </c>
      <c r="B4009" s="2">
        <v>710.0</v>
      </c>
      <c r="C4009" s="2" t="s">
        <v>21</v>
      </c>
      <c r="D4009" s="2" t="s">
        <v>5</v>
      </c>
    </row>
    <row r="4010">
      <c r="A4010" s="1">
        <v>43468.43576298611</v>
      </c>
      <c r="B4010" s="2">
        <v>736.0</v>
      </c>
      <c r="C4010" s="2" t="s">
        <v>175</v>
      </c>
      <c r="D4010" s="2" t="s">
        <v>5</v>
      </c>
    </row>
    <row r="4011">
      <c r="A4011" s="1">
        <v>43468.4358309838</v>
      </c>
      <c r="B4011" s="2">
        <v>737.0</v>
      </c>
      <c r="C4011" s="2" t="s">
        <v>176</v>
      </c>
      <c r="D4011" s="2" t="s">
        <v>5</v>
      </c>
    </row>
    <row r="4012">
      <c r="A4012" s="1">
        <v>43468.57325148148</v>
      </c>
      <c r="B4012" s="2">
        <v>602.0</v>
      </c>
      <c r="C4012" s="2" t="s">
        <v>131</v>
      </c>
    </row>
    <row r="4013">
      <c r="A4013" s="1">
        <v>43468.59010133102</v>
      </c>
      <c r="B4013" s="2">
        <v>732.0</v>
      </c>
      <c r="C4013" s="2" t="s">
        <v>102</v>
      </c>
      <c r="D4013" s="2" t="s">
        <v>5</v>
      </c>
    </row>
    <row r="4014">
      <c r="A4014" s="1">
        <v>43471.42554524305</v>
      </c>
      <c r="B4014" s="2">
        <v>210.0</v>
      </c>
      <c r="C4014" s="2" t="s">
        <v>64</v>
      </c>
    </row>
    <row r="4015">
      <c r="A4015" s="1">
        <v>43471.42554524305</v>
      </c>
      <c r="B4015" s="2">
        <v>253.0</v>
      </c>
      <c r="C4015" s="2" t="s">
        <v>138</v>
      </c>
    </row>
    <row r="4016">
      <c r="A4016" s="1">
        <v>43471.42584840278</v>
      </c>
      <c r="B4016" s="2">
        <v>253.0</v>
      </c>
      <c r="C4016" s="2" t="s">
        <v>138</v>
      </c>
    </row>
    <row r="4017">
      <c r="A4017" s="1">
        <v>43471.426037083336</v>
      </c>
      <c r="B4017" s="2">
        <v>253.0</v>
      </c>
      <c r="C4017" s="2" t="s">
        <v>138</v>
      </c>
    </row>
    <row r="4018">
      <c r="A4018" s="1">
        <v>43471.42629217592</v>
      </c>
      <c r="B4018" s="2">
        <v>253.0</v>
      </c>
      <c r="C4018" s="2" t="s">
        <v>138</v>
      </c>
    </row>
    <row r="4019">
      <c r="A4019" s="1">
        <v>43471.426659143515</v>
      </c>
      <c r="B4019" s="2">
        <v>167.0</v>
      </c>
      <c r="C4019" s="2" t="s">
        <v>39</v>
      </c>
    </row>
    <row r="4020">
      <c r="A4020" s="1">
        <v>43471.42710537037</v>
      </c>
      <c r="B4020" s="2">
        <v>167.0</v>
      </c>
      <c r="C4020" s="2" t="s">
        <v>39</v>
      </c>
    </row>
    <row r="4021">
      <c r="A4021" s="1">
        <v>43471.43044065972</v>
      </c>
      <c r="B4021" s="2">
        <v>165.0</v>
      </c>
      <c r="C4021" s="2" t="s">
        <v>50</v>
      </c>
    </row>
    <row r="4022">
      <c r="A4022" s="1">
        <v>43471.43058918981</v>
      </c>
      <c r="B4022" s="2">
        <v>618.0</v>
      </c>
      <c r="C4022" s="2" t="s">
        <v>147</v>
      </c>
    </row>
    <row r="4023">
      <c r="A4023" s="1">
        <v>43471.43091039352</v>
      </c>
      <c r="B4023" s="2">
        <v>611.0</v>
      </c>
      <c r="C4023" s="2" t="s">
        <v>143</v>
      </c>
    </row>
    <row r="4024">
      <c r="A4024" s="1">
        <v>43471.43280155092</v>
      </c>
      <c r="B4024" s="2">
        <v>270.0</v>
      </c>
      <c r="C4024" s="2" t="s">
        <v>153</v>
      </c>
    </row>
    <row r="4025">
      <c r="A4025" s="1">
        <v>43471.43310335648</v>
      </c>
      <c r="B4025" s="2">
        <v>270.0</v>
      </c>
      <c r="C4025" s="2" t="s">
        <v>212</v>
      </c>
    </row>
    <row r="4026">
      <c r="A4026" s="1">
        <v>43471.43319993056</v>
      </c>
      <c r="B4026" s="2">
        <v>270.0</v>
      </c>
      <c r="C4026" s="2" t="s">
        <v>212</v>
      </c>
    </row>
    <row r="4027">
      <c r="A4027" s="1">
        <v>43471.433211041665</v>
      </c>
      <c r="B4027" s="2">
        <v>270.0</v>
      </c>
      <c r="C4027" s="2" t="s">
        <v>153</v>
      </c>
    </row>
    <row r="4028">
      <c r="A4028" s="1">
        <v>43471.4337977199</v>
      </c>
      <c r="B4028" s="2">
        <v>252.0</v>
      </c>
      <c r="C4028" s="2" t="s">
        <v>34</v>
      </c>
    </row>
    <row r="4029">
      <c r="A4029" s="1">
        <v>43471.43440554398</v>
      </c>
      <c r="B4029" s="3" t="s">
        <v>42</v>
      </c>
      <c r="C4029" s="2" t="s">
        <v>43</v>
      </c>
    </row>
    <row r="4030">
      <c r="A4030" s="1">
        <v>43471.43482018518</v>
      </c>
      <c r="B4030" s="2">
        <v>201.0</v>
      </c>
      <c r="C4030" s="2" t="s">
        <v>43</v>
      </c>
    </row>
    <row r="4031">
      <c r="A4031" s="1">
        <v>43471.434985196756</v>
      </c>
      <c r="B4031" s="2">
        <v>231.0</v>
      </c>
    </row>
    <row r="4032">
      <c r="A4032" s="1">
        <v>43471.435231932875</v>
      </c>
      <c r="B4032" s="2">
        <v>214.0</v>
      </c>
    </row>
    <row r="4033">
      <c r="A4033" s="1">
        <v>43471.43535142361</v>
      </c>
      <c r="B4033" s="2">
        <v>93.0</v>
      </c>
    </row>
    <row r="4034">
      <c r="A4034" s="1">
        <v>43471.435492951394</v>
      </c>
      <c r="B4034" s="3" t="s">
        <v>184</v>
      </c>
    </row>
    <row r="4035">
      <c r="A4035" s="1">
        <v>43471.4355721875</v>
      </c>
      <c r="B4035" s="3" t="s">
        <v>186</v>
      </c>
      <c r="C4035" s="2" t="s">
        <v>187</v>
      </c>
    </row>
    <row r="4036">
      <c r="A4036" s="1">
        <v>43471.435605</v>
      </c>
      <c r="B4036" s="3" t="s">
        <v>186</v>
      </c>
    </row>
    <row r="4037">
      <c r="A4037" s="1">
        <v>43471.43588167824</v>
      </c>
      <c r="B4037" s="3" t="s">
        <v>184</v>
      </c>
      <c r="C4037" s="2" t="s">
        <v>185</v>
      </c>
    </row>
    <row r="4038">
      <c r="A4038" s="1">
        <v>43471.4369453125</v>
      </c>
      <c r="B4038" s="3" t="s">
        <v>184</v>
      </c>
      <c r="C4038" s="2" t="s">
        <v>185</v>
      </c>
    </row>
    <row r="4039">
      <c r="A4039" s="1">
        <v>43471.43704101852</v>
      </c>
      <c r="B4039" s="3" t="s">
        <v>184</v>
      </c>
      <c r="C4039" s="2" t="s">
        <v>185</v>
      </c>
    </row>
    <row r="4040">
      <c r="A4040" s="1">
        <v>43471.437139814814</v>
      </c>
      <c r="B4040" s="3" t="s">
        <v>186</v>
      </c>
      <c r="C4040" s="2" t="s">
        <v>187</v>
      </c>
    </row>
    <row r="4041">
      <c r="A4041" s="1">
        <v>43471.437296585646</v>
      </c>
      <c r="B4041" s="2">
        <v>231.0</v>
      </c>
      <c r="C4041" s="2" t="s">
        <v>61</v>
      </c>
    </row>
    <row r="4042">
      <c r="A4042" s="1">
        <v>43471.43743355324</v>
      </c>
      <c r="B4042" s="2">
        <v>214.0</v>
      </c>
      <c r="C4042" s="2" t="s">
        <v>47</v>
      </c>
    </row>
    <row r="4043">
      <c r="A4043" s="1">
        <v>43471.437604189814</v>
      </c>
      <c r="B4043" s="3" t="s">
        <v>32</v>
      </c>
      <c r="C4043" s="2" t="s">
        <v>33</v>
      </c>
    </row>
    <row r="4044">
      <c r="A4044" s="1">
        <v>43471.437697789355</v>
      </c>
      <c r="B4044" s="3" t="s">
        <v>159</v>
      </c>
      <c r="C4044" s="2" t="s">
        <v>160</v>
      </c>
    </row>
    <row r="4045">
      <c r="A4045" s="1">
        <v>43471.43776302083</v>
      </c>
      <c r="B4045" s="3" t="s">
        <v>103</v>
      </c>
      <c r="C4045" s="2" t="s">
        <v>104</v>
      </c>
    </row>
    <row r="4046">
      <c r="A4046" s="1">
        <v>43471.437829965274</v>
      </c>
      <c r="B4046" s="3" t="s">
        <v>13</v>
      </c>
      <c r="C4046" s="2" t="s">
        <v>14</v>
      </c>
    </row>
    <row r="4047">
      <c r="A4047" s="1">
        <v>43471.43799827546</v>
      </c>
      <c r="B4047" s="3" t="s">
        <v>22</v>
      </c>
      <c r="C4047" s="2" t="s">
        <v>23</v>
      </c>
    </row>
    <row r="4048">
      <c r="A4048" s="1">
        <v>43471.43813299769</v>
      </c>
      <c r="B4048" s="2">
        <v>158.0</v>
      </c>
      <c r="C4048" s="2" t="s">
        <v>62</v>
      </c>
    </row>
    <row r="4049">
      <c r="A4049" s="1">
        <v>43471.43824483796</v>
      </c>
      <c r="B4049" s="2">
        <v>175.0</v>
      </c>
      <c r="C4049" s="2" t="s">
        <v>69</v>
      </c>
    </row>
    <row r="4050">
      <c r="A4050" s="1">
        <v>43471.4383296875</v>
      </c>
      <c r="B4050" s="2">
        <v>173.0</v>
      </c>
      <c r="C4050" s="2" t="s">
        <v>24</v>
      </c>
    </row>
    <row r="4051">
      <c r="A4051" s="1">
        <v>43471.43842924769</v>
      </c>
      <c r="B4051" s="3" t="s">
        <v>82</v>
      </c>
      <c r="C4051" s="2" t="s">
        <v>83</v>
      </c>
    </row>
    <row r="4052">
      <c r="A4052" s="1">
        <v>43471.43850978009</v>
      </c>
      <c r="B4052" s="3" t="s">
        <v>78</v>
      </c>
      <c r="C4052" s="2" t="s">
        <v>79</v>
      </c>
    </row>
    <row r="4053">
      <c r="A4053" s="1">
        <v>43471.438650428245</v>
      </c>
      <c r="B4053" s="2">
        <v>723.0</v>
      </c>
      <c r="C4053" s="2" t="s">
        <v>84</v>
      </c>
      <c r="D4053" s="2" t="s">
        <v>5</v>
      </c>
    </row>
    <row r="4054">
      <c r="A4054" s="1">
        <v>43471.4387487037</v>
      </c>
      <c r="B4054" s="2">
        <v>648.0</v>
      </c>
      <c r="C4054" s="2" t="s">
        <v>207</v>
      </c>
    </row>
    <row r="4055">
      <c r="A4055" s="1">
        <v>43471.43882033565</v>
      </c>
      <c r="B4055" s="2">
        <v>643.0</v>
      </c>
      <c r="C4055" s="2" t="s">
        <v>166</v>
      </c>
    </row>
    <row r="4056">
      <c r="A4056" s="1">
        <v>43471.438886655094</v>
      </c>
      <c r="B4056" s="2">
        <v>649.0</v>
      </c>
      <c r="C4056" s="2" t="s">
        <v>177</v>
      </c>
    </row>
    <row r="4057">
      <c r="A4057" s="1">
        <v>43471.43897570602</v>
      </c>
      <c r="B4057" s="3" t="s">
        <v>80</v>
      </c>
      <c r="C4057" s="2" t="s">
        <v>81</v>
      </c>
    </row>
    <row r="4058">
      <c r="A4058" s="1">
        <v>43471.439017881945</v>
      </c>
      <c r="B4058" s="3" t="s">
        <v>51</v>
      </c>
      <c r="C4058" s="2" t="s">
        <v>52</v>
      </c>
    </row>
    <row r="4059">
      <c r="A4059" s="1">
        <v>43471.43922185185</v>
      </c>
      <c r="B4059" s="2">
        <v>193.0</v>
      </c>
      <c r="C4059" s="2" t="s">
        <v>30</v>
      </c>
    </row>
    <row r="4060">
      <c r="A4060" s="1">
        <v>43471.43936387732</v>
      </c>
      <c r="B4060" s="2">
        <v>648.0</v>
      </c>
      <c r="C4060" s="2" t="s">
        <v>207</v>
      </c>
    </row>
    <row r="4061">
      <c r="A4061" s="1">
        <v>43471.4394324537</v>
      </c>
      <c r="B4061" s="2">
        <v>649.0</v>
      </c>
      <c r="C4061" s="2" t="s">
        <v>177</v>
      </c>
    </row>
    <row r="4062">
      <c r="A4062" s="1">
        <v>43471.439524375004</v>
      </c>
      <c r="B4062" s="2">
        <v>113.0</v>
      </c>
      <c r="C4062" s="2" t="s">
        <v>29</v>
      </c>
    </row>
    <row r="4063">
      <c r="A4063" s="1">
        <v>43471.439598425924</v>
      </c>
      <c r="B4063" s="3" t="s">
        <v>11</v>
      </c>
      <c r="C4063" s="2" t="s">
        <v>12</v>
      </c>
    </row>
    <row r="4064">
      <c r="A4064" s="1">
        <v>43471.439651574074</v>
      </c>
      <c r="B4064" s="3" t="s">
        <v>126</v>
      </c>
      <c r="C4064" s="2" t="s">
        <v>127</v>
      </c>
    </row>
    <row r="4065">
      <c r="A4065" s="1">
        <v>43471.43977548611</v>
      </c>
      <c r="B4065" s="2">
        <v>716.0</v>
      </c>
      <c r="C4065" s="2" t="s">
        <v>123</v>
      </c>
      <c r="D4065" s="2" t="s">
        <v>5</v>
      </c>
    </row>
    <row r="4066">
      <c r="A4066" s="1">
        <v>43471.43990064815</v>
      </c>
      <c r="B4066" s="2">
        <v>618.0</v>
      </c>
      <c r="C4066" s="2" t="s">
        <v>147</v>
      </c>
    </row>
    <row r="4067">
      <c r="A4067" s="1">
        <v>43471.43998488426</v>
      </c>
      <c r="B4067" s="2">
        <v>613.0</v>
      </c>
      <c r="C4067" s="2" t="s">
        <v>124</v>
      </c>
    </row>
    <row r="4068">
      <c r="A4068" s="1">
        <v>43471.44021380787</v>
      </c>
      <c r="B4068" s="2">
        <v>229.0</v>
      </c>
      <c r="C4068" s="2" t="s">
        <v>86</v>
      </c>
    </row>
    <row r="4069">
      <c r="A4069" s="1">
        <v>43471.440303877316</v>
      </c>
      <c r="B4069" s="2">
        <v>172.0</v>
      </c>
      <c r="C4069" s="2" t="s">
        <v>65</v>
      </c>
    </row>
    <row r="4070">
      <c r="A4070" s="1">
        <v>43471.44042809028</v>
      </c>
      <c r="B4070" s="2">
        <v>126.0</v>
      </c>
      <c r="C4070" s="2" t="s">
        <v>87</v>
      </c>
    </row>
    <row r="4071">
      <c r="A4071" s="1">
        <v>43471.440520034725</v>
      </c>
      <c r="B4071" s="2">
        <v>257.0</v>
      </c>
      <c r="C4071" s="2" t="s">
        <v>27</v>
      </c>
    </row>
    <row r="4072">
      <c r="A4072" s="1">
        <v>43471.440529224536</v>
      </c>
      <c r="B4072" s="3" t="s">
        <v>94</v>
      </c>
      <c r="C4072" s="2" t="s">
        <v>95</v>
      </c>
    </row>
    <row r="4073">
      <c r="A4073" s="1">
        <v>43471.440657025465</v>
      </c>
      <c r="B4073" s="2">
        <v>114.0</v>
      </c>
      <c r="C4073" s="2" t="s">
        <v>15</v>
      </c>
    </row>
    <row r="4074">
      <c r="A4074" s="1">
        <v>43471.44075357639</v>
      </c>
      <c r="B4074" s="2">
        <v>238.0</v>
      </c>
      <c r="C4074" s="2" t="s">
        <v>35</v>
      </c>
    </row>
    <row r="4075">
      <c r="A4075" s="1">
        <v>43471.440834560184</v>
      </c>
      <c r="B4075" s="2">
        <v>259.0</v>
      </c>
      <c r="C4075" s="2" t="s">
        <v>66</v>
      </c>
    </row>
    <row r="4076">
      <c r="A4076" s="1">
        <v>43471.44086099537</v>
      </c>
      <c r="B4076" s="2">
        <v>262.0</v>
      </c>
      <c r="C4076" s="2" t="s">
        <v>28</v>
      </c>
    </row>
    <row r="4077">
      <c r="A4077" s="1">
        <v>43471.44104052083</v>
      </c>
      <c r="B4077" s="2">
        <v>607.0</v>
      </c>
      <c r="C4077" s="2" t="s">
        <v>68</v>
      </c>
    </row>
    <row r="4078">
      <c r="A4078" s="1">
        <v>43471.44116549769</v>
      </c>
      <c r="B4078" s="2">
        <v>614.0</v>
      </c>
      <c r="C4078" s="2" t="s">
        <v>76</v>
      </c>
    </row>
    <row r="4079">
      <c r="A4079" s="1">
        <v>43471.441264884255</v>
      </c>
      <c r="B4079" s="3" t="s">
        <v>88</v>
      </c>
      <c r="C4079" s="2" t="s">
        <v>89</v>
      </c>
    </row>
    <row r="4080">
      <c r="A4080" s="1">
        <v>43471.44139537037</v>
      </c>
      <c r="B4080" s="2">
        <v>667.0</v>
      </c>
      <c r="C4080" s="2" t="s">
        <v>73</v>
      </c>
    </row>
    <row r="4081">
      <c r="A4081" s="1">
        <v>43471.441470150465</v>
      </c>
      <c r="B4081" s="2">
        <v>706.0</v>
      </c>
      <c r="C4081" s="2" t="s">
        <v>149</v>
      </c>
      <c r="D4081" s="2" t="s">
        <v>5</v>
      </c>
    </row>
    <row r="4082">
      <c r="A4082" s="1">
        <v>43471.44156028936</v>
      </c>
      <c r="B4082" s="3" t="s">
        <v>150</v>
      </c>
      <c r="C4082" s="2" t="s">
        <v>151</v>
      </c>
    </row>
    <row r="4083">
      <c r="A4083" s="1">
        <v>43471.441957013885</v>
      </c>
      <c r="B4083" s="3" t="s">
        <v>74</v>
      </c>
      <c r="C4083" s="2" t="s">
        <v>75</v>
      </c>
    </row>
    <row r="4084">
      <c r="A4084" s="1">
        <v>43471.442150682866</v>
      </c>
      <c r="B4084" s="2">
        <v>535.0</v>
      </c>
      <c r="C4084" s="2" t="s">
        <v>208</v>
      </c>
    </row>
    <row r="4085">
      <c r="A4085" s="1">
        <v>43471.442410324074</v>
      </c>
      <c r="B4085" s="2">
        <v>535.0</v>
      </c>
      <c r="C4085" s="2" t="s">
        <v>208</v>
      </c>
    </row>
    <row r="4086">
      <c r="A4086" s="1">
        <v>43471.44254048611</v>
      </c>
      <c r="B4086" s="2">
        <v>653.0</v>
      </c>
      <c r="C4086" s="2" t="s">
        <v>77</v>
      </c>
    </row>
    <row r="4087">
      <c r="A4087" s="1">
        <v>43471.44263006945</v>
      </c>
      <c r="B4087" s="2">
        <v>198.0</v>
      </c>
      <c r="C4087" s="2" t="s">
        <v>97</v>
      </c>
    </row>
    <row r="4088">
      <c r="A4088" s="1">
        <v>43471.442720983796</v>
      </c>
      <c r="B4088" s="2">
        <v>702.0</v>
      </c>
      <c r="C4088" s="2" t="s">
        <v>96</v>
      </c>
      <c r="D4088" s="2" t="s">
        <v>5</v>
      </c>
    </row>
    <row r="4089">
      <c r="A4089" s="1">
        <v>43471.44310925926</v>
      </c>
      <c r="B4089" s="3" t="s">
        <v>111</v>
      </c>
      <c r="C4089" s="2" t="s">
        <v>112</v>
      </c>
    </row>
    <row r="4090">
      <c r="A4090" s="1">
        <v>43471.44318381944</v>
      </c>
      <c r="B4090" s="3" t="s">
        <v>9</v>
      </c>
      <c r="C4090" s="2" t="s">
        <v>10</v>
      </c>
    </row>
    <row r="4091">
      <c r="A4091" s="1">
        <v>43471.443288078706</v>
      </c>
      <c r="B4091" s="2">
        <v>267.0</v>
      </c>
      <c r="C4091" s="2" t="s">
        <v>115</v>
      </c>
    </row>
    <row r="4092">
      <c r="A4092" s="1">
        <v>43471.44343480324</v>
      </c>
      <c r="B4092" s="2">
        <v>604.0</v>
      </c>
      <c r="C4092" s="2" t="s">
        <v>36</v>
      </c>
    </row>
    <row r="4093">
      <c r="A4093" s="1">
        <v>43471.443622314815</v>
      </c>
      <c r="B4093" s="3" t="s">
        <v>186</v>
      </c>
    </row>
    <row r="4094">
      <c r="A4094" s="1">
        <v>43471.44454266204</v>
      </c>
      <c r="B4094" s="2">
        <v>210.0</v>
      </c>
      <c r="C4094" s="2" t="s">
        <v>64</v>
      </c>
    </row>
    <row r="4095">
      <c r="A4095" s="1">
        <v>43471.44510380787</v>
      </c>
      <c r="B4095" s="2">
        <v>259.0</v>
      </c>
      <c r="C4095" s="2" t="s">
        <v>66</v>
      </c>
    </row>
    <row r="4096">
      <c r="A4096" s="1">
        <v>43471.44514454861</v>
      </c>
      <c r="B4096" s="2">
        <v>259.0</v>
      </c>
      <c r="C4096" s="2" t="s">
        <v>66</v>
      </c>
    </row>
    <row r="4097">
      <c r="A4097" s="1">
        <v>43471.44515240741</v>
      </c>
      <c r="B4097" s="2">
        <v>624.0</v>
      </c>
      <c r="C4097" s="2" t="s">
        <v>90</v>
      </c>
    </row>
    <row r="4098">
      <c r="A4098" s="1">
        <v>43471.445279872685</v>
      </c>
      <c r="B4098" s="2">
        <v>260.0</v>
      </c>
      <c r="C4098" s="2" t="s">
        <v>67</v>
      </c>
    </row>
    <row r="4099">
      <c r="A4099" s="1">
        <v>43471.44609658565</v>
      </c>
      <c r="B4099" s="2">
        <v>734.0</v>
      </c>
      <c r="C4099" s="2" t="s">
        <v>63</v>
      </c>
      <c r="D4099" s="2" t="s">
        <v>5</v>
      </c>
    </row>
    <row r="4100">
      <c r="A4100" s="1">
        <v>43471.44623607639</v>
      </c>
      <c r="B4100" s="2">
        <v>210.0</v>
      </c>
      <c r="C4100" s="2" t="s">
        <v>64</v>
      </c>
    </row>
    <row r="4101">
      <c r="A4101" s="1">
        <v>43471.446566493054</v>
      </c>
      <c r="B4101" s="2">
        <v>734.0</v>
      </c>
      <c r="C4101" s="2" t="s">
        <v>63</v>
      </c>
      <c r="D4101" s="2" t="s">
        <v>5</v>
      </c>
    </row>
    <row r="4102">
      <c r="A4102" s="1">
        <v>43471.44696678241</v>
      </c>
      <c r="B4102" s="2">
        <v>254.0</v>
      </c>
      <c r="C4102" s="2" t="s">
        <v>132</v>
      </c>
    </row>
    <row r="4103">
      <c r="A4103" s="1">
        <v>43471.447095868054</v>
      </c>
      <c r="B4103" s="3" t="s">
        <v>42</v>
      </c>
      <c r="C4103" s="2" t="s">
        <v>43</v>
      </c>
    </row>
    <row r="4104">
      <c r="A4104" s="1">
        <v>43471.44916603009</v>
      </c>
      <c r="B4104" s="2">
        <v>726.0</v>
      </c>
      <c r="C4104" s="2" t="s">
        <v>101</v>
      </c>
      <c r="D4104" s="2" t="s">
        <v>5</v>
      </c>
    </row>
    <row r="4105">
      <c r="A4105" s="1">
        <v>43471.44923254629</v>
      </c>
      <c r="B4105" s="2">
        <v>732.0</v>
      </c>
      <c r="C4105" s="2" t="s">
        <v>102</v>
      </c>
      <c r="D4105" s="2" t="s">
        <v>5</v>
      </c>
    </row>
    <row r="4106">
      <c r="A4106" s="1">
        <v>43471.44940525463</v>
      </c>
      <c r="B4106" s="2">
        <v>147.0</v>
      </c>
      <c r="C4106" s="2" t="s">
        <v>100</v>
      </c>
    </row>
    <row r="4107">
      <c r="A4107" s="1">
        <v>43471.449519560185</v>
      </c>
      <c r="B4107" s="3" t="s">
        <v>98</v>
      </c>
      <c r="C4107" s="2" t="s">
        <v>99</v>
      </c>
    </row>
    <row r="4108">
      <c r="A4108" s="1">
        <v>43471.44997371528</v>
      </c>
      <c r="B4108" s="2">
        <v>708.0</v>
      </c>
      <c r="C4108" s="2" t="s">
        <v>4</v>
      </c>
      <c r="D4108" s="2" t="s">
        <v>5</v>
      </c>
    </row>
    <row r="4109">
      <c r="A4109" s="1">
        <v>43471.45004386574</v>
      </c>
      <c r="B4109" s="2">
        <v>709.0</v>
      </c>
      <c r="C4109" s="2" t="s">
        <v>20</v>
      </c>
      <c r="D4109" s="2" t="s">
        <v>5</v>
      </c>
    </row>
    <row r="4110">
      <c r="A4110" s="1">
        <v>43471.45009982639</v>
      </c>
      <c r="B4110" s="2">
        <v>710.0</v>
      </c>
      <c r="C4110" s="2" t="s">
        <v>21</v>
      </c>
      <c r="D4110" s="2" t="s">
        <v>5</v>
      </c>
    </row>
    <row r="4111">
      <c r="A4111" s="1">
        <v>43471.45129712963</v>
      </c>
      <c r="B4111" s="3" t="s">
        <v>103</v>
      </c>
      <c r="C4111" s="2" t="s">
        <v>104</v>
      </c>
    </row>
    <row r="4112">
      <c r="A4112" s="1">
        <v>43471.45175784722</v>
      </c>
      <c r="B4112" s="2">
        <v>172.0</v>
      </c>
      <c r="C4112" s="2" t="s">
        <v>65</v>
      </c>
    </row>
    <row r="4113">
      <c r="A4113" s="1">
        <v>43471.45211655092</v>
      </c>
      <c r="B4113" s="2">
        <v>729.0</v>
      </c>
      <c r="C4113" s="2" t="s">
        <v>54</v>
      </c>
      <c r="D4113" s="2" t="s">
        <v>5</v>
      </c>
    </row>
    <row r="4114">
      <c r="A4114" s="1">
        <v>43471.45231918982</v>
      </c>
      <c r="B4114" s="2">
        <v>707.0</v>
      </c>
      <c r="C4114" s="2" t="s">
        <v>57</v>
      </c>
      <c r="D4114" s="2" t="s">
        <v>5</v>
      </c>
    </row>
    <row r="4115">
      <c r="A4115" s="1">
        <v>43471.45276053241</v>
      </c>
      <c r="B4115" s="2">
        <v>141.0</v>
      </c>
      <c r="C4115" s="2" t="s">
        <v>53</v>
      </c>
    </row>
    <row r="4116">
      <c r="A4116" s="1">
        <v>43471.45293439815</v>
      </c>
      <c r="B4116" s="2">
        <v>260.0</v>
      </c>
      <c r="C4116" s="2" t="s">
        <v>67</v>
      </c>
    </row>
    <row r="4117">
      <c r="A4117" s="1">
        <v>43471.45295200231</v>
      </c>
      <c r="B4117" s="2">
        <v>215.0</v>
      </c>
      <c r="C4117" s="2" t="s">
        <v>137</v>
      </c>
    </row>
    <row r="4118">
      <c r="A4118" s="1">
        <v>43471.45296267361</v>
      </c>
      <c r="B4118" s="2">
        <v>702.0</v>
      </c>
      <c r="C4118" s="2" t="s">
        <v>96</v>
      </c>
      <c r="D4118" s="2" t="s">
        <v>5</v>
      </c>
    </row>
    <row r="4119">
      <c r="A4119" s="1">
        <v>43471.45325261574</v>
      </c>
      <c r="B4119" s="2">
        <v>737.0</v>
      </c>
      <c r="C4119" s="2" t="s">
        <v>176</v>
      </c>
      <c r="D4119" s="2" t="s">
        <v>5</v>
      </c>
    </row>
    <row r="4120">
      <c r="A4120" s="1">
        <v>43471.453560462964</v>
      </c>
      <c r="B4120" s="2">
        <v>717.0</v>
      </c>
      <c r="C4120" s="2" t="s">
        <v>152</v>
      </c>
      <c r="D4120" s="2" t="s">
        <v>5</v>
      </c>
    </row>
    <row r="4121">
      <c r="A4121" s="1">
        <v>43471.4539159375</v>
      </c>
      <c r="B4121" s="2">
        <v>733.0</v>
      </c>
      <c r="C4121" s="2" t="s">
        <v>110</v>
      </c>
      <c r="D4121" s="2" t="s">
        <v>5</v>
      </c>
    </row>
    <row r="4122">
      <c r="A4122" s="1">
        <v>43471.45420922454</v>
      </c>
      <c r="B4122" s="2">
        <v>210.0</v>
      </c>
      <c r="C4122" s="2" t="s">
        <v>64</v>
      </c>
    </row>
    <row r="4123">
      <c r="A4123" s="1">
        <v>43471.45472555555</v>
      </c>
      <c r="B4123" s="2">
        <v>609.0</v>
      </c>
      <c r="C4123" s="2" t="s">
        <v>179</v>
      </c>
    </row>
    <row r="4124">
      <c r="A4124" s="1">
        <v>43471.45626015046</v>
      </c>
      <c r="B4124" s="2">
        <v>609.0</v>
      </c>
      <c r="C4124" s="2" t="s">
        <v>179</v>
      </c>
    </row>
    <row r="4125">
      <c r="A4125" s="1">
        <v>43471.45630734954</v>
      </c>
      <c r="B4125" s="2">
        <v>655.0</v>
      </c>
      <c r="C4125" s="2" t="s">
        <v>17</v>
      </c>
    </row>
    <row r="4126">
      <c r="A4126" s="1">
        <v>43471.45713603009</v>
      </c>
      <c r="B4126" s="3" t="s">
        <v>113</v>
      </c>
      <c r="C4126" s="2" t="s">
        <v>114</v>
      </c>
    </row>
    <row r="4127">
      <c r="A4127" s="1">
        <v>43471.457338796296</v>
      </c>
      <c r="B4127" s="2">
        <v>101.0</v>
      </c>
      <c r="C4127" s="2" t="s">
        <v>108</v>
      </c>
    </row>
    <row r="4128">
      <c r="A4128" s="1">
        <v>43471.457537118054</v>
      </c>
      <c r="B4128" s="2">
        <v>718.0</v>
      </c>
      <c r="C4128" s="2" t="s">
        <v>105</v>
      </c>
      <c r="D4128" s="2" t="s">
        <v>5</v>
      </c>
    </row>
    <row r="4129">
      <c r="A4129" s="1">
        <v>43471.45768114583</v>
      </c>
      <c r="B4129" s="2">
        <v>719.0</v>
      </c>
      <c r="C4129" s="2" t="s">
        <v>106</v>
      </c>
      <c r="D4129" s="2" t="s">
        <v>5</v>
      </c>
    </row>
    <row r="4130">
      <c r="A4130" s="1">
        <v>43471.45782795139</v>
      </c>
      <c r="B4130" s="2">
        <v>124.0</v>
      </c>
      <c r="C4130" s="2" t="s">
        <v>107</v>
      </c>
    </row>
    <row r="4131">
      <c r="A4131" s="1">
        <v>43471.45841777777</v>
      </c>
      <c r="B4131" s="2">
        <v>663.0</v>
      </c>
      <c r="C4131" s="2" t="s">
        <v>109</v>
      </c>
    </row>
    <row r="4132">
      <c r="A4132" s="1">
        <v>43471.45905800926</v>
      </c>
      <c r="B4132" s="2">
        <v>237.0</v>
      </c>
      <c r="C4132" s="2" t="s">
        <v>140</v>
      </c>
    </row>
    <row r="4133">
      <c r="A4133" s="1">
        <v>43471.459220439814</v>
      </c>
      <c r="B4133" s="2">
        <v>157.0</v>
      </c>
      <c r="C4133" s="2" t="s">
        <v>141</v>
      </c>
    </row>
    <row r="4134">
      <c r="A4134" s="1">
        <v>43471.4608387037</v>
      </c>
      <c r="B4134" s="2">
        <v>611.0</v>
      </c>
      <c r="C4134" s="2" t="s">
        <v>143</v>
      </c>
    </row>
    <row r="4135">
      <c r="A4135" s="1">
        <v>43471.46201989583</v>
      </c>
      <c r="B4135" s="2">
        <v>705.0</v>
      </c>
      <c r="C4135" s="2" t="s">
        <v>168</v>
      </c>
      <c r="D4135" s="2" t="s">
        <v>5</v>
      </c>
    </row>
    <row r="4136">
      <c r="A4136" s="1">
        <v>43471.46244174769</v>
      </c>
      <c r="B4136" s="2">
        <v>705.0</v>
      </c>
      <c r="C4136" s="2" t="s">
        <v>168</v>
      </c>
      <c r="D4136" s="2" t="s">
        <v>5</v>
      </c>
    </row>
    <row r="4137">
      <c r="A4137" s="1">
        <v>43471.462737141206</v>
      </c>
      <c r="B4137" s="2">
        <v>708.0</v>
      </c>
      <c r="C4137" s="2" t="s">
        <v>4</v>
      </c>
      <c r="D4137" s="2" t="s">
        <v>5</v>
      </c>
    </row>
    <row r="4138">
      <c r="A4138" s="1">
        <v>43471.46626939815</v>
      </c>
      <c r="B4138" s="2">
        <v>708.0</v>
      </c>
      <c r="C4138" s="2" t="s">
        <v>4</v>
      </c>
      <c r="D4138" s="2" t="s">
        <v>5</v>
      </c>
    </row>
    <row r="4139">
      <c r="A4139" s="1">
        <v>43471.4678009375</v>
      </c>
      <c r="B4139" s="2">
        <v>535.0</v>
      </c>
      <c r="C4139" s="2" t="s">
        <v>208</v>
      </c>
    </row>
    <row r="4140">
      <c r="A4140" s="1">
        <v>43471.46943331018</v>
      </c>
      <c r="B4140" s="2">
        <v>705.0</v>
      </c>
      <c r="C4140" s="2" t="s">
        <v>168</v>
      </c>
      <c r="D4140" s="2" t="s">
        <v>5</v>
      </c>
    </row>
    <row r="4141">
      <c r="A4141" s="1">
        <v>43471.47813292824</v>
      </c>
      <c r="B4141" s="2">
        <v>215.0</v>
      </c>
      <c r="C4141" s="2" t="s">
        <v>137</v>
      </c>
    </row>
    <row r="4142">
      <c r="A4142" s="1">
        <v>43471.49194162037</v>
      </c>
      <c r="B4142" s="2">
        <v>268.0</v>
      </c>
      <c r="C4142" s="2" t="s">
        <v>205</v>
      </c>
    </row>
    <row r="4143">
      <c r="A4143" s="1">
        <v>43471.49910368056</v>
      </c>
      <c r="B4143" s="3" t="s">
        <v>119</v>
      </c>
      <c r="C4143" s="2" t="s">
        <v>120</v>
      </c>
    </row>
    <row r="4144">
      <c r="A4144" s="1">
        <v>43471.49918866898</v>
      </c>
      <c r="B4144" s="3" t="s">
        <v>117</v>
      </c>
      <c r="C4144" s="2" t="s">
        <v>118</v>
      </c>
    </row>
    <row r="4145">
      <c r="A4145" s="1">
        <v>43471.49963608796</v>
      </c>
      <c r="B4145" s="2">
        <v>713.0</v>
      </c>
      <c r="C4145" s="2" t="s">
        <v>121</v>
      </c>
      <c r="D4145" s="2" t="s">
        <v>5</v>
      </c>
    </row>
    <row r="4146">
      <c r="A4146" s="1">
        <v>43471.49971982639</v>
      </c>
      <c r="B4146" s="2">
        <v>714.0</v>
      </c>
      <c r="C4146" s="2" t="s">
        <v>122</v>
      </c>
      <c r="D4146" s="2" t="s">
        <v>5</v>
      </c>
    </row>
    <row r="4147">
      <c r="A4147" s="1">
        <v>43471.71309701389</v>
      </c>
      <c r="B4147" s="2">
        <v>609.0</v>
      </c>
      <c r="C4147" s="2" t="s">
        <v>179</v>
      </c>
    </row>
    <row r="4148">
      <c r="A4148" s="1">
        <v>43471.715401724534</v>
      </c>
      <c r="B4148" s="3" t="s">
        <v>80</v>
      </c>
      <c r="C4148" s="2" t="s">
        <v>81</v>
      </c>
    </row>
    <row r="4149">
      <c r="A4149" s="1">
        <v>43471.71597517361</v>
      </c>
      <c r="B4149" s="2">
        <v>210.0</v>
      </c>
      <c r="C4149" s="2" t="s">
        <v>64</v>
      </c>
    </row>
    <row r="4150">
      <c r="A4150" s="1">
        <v>43471.71711423611</v>
      </c>
      <c r="B4150" s="2">
        <v>270.0</v>
      </c>
      <c r="C4150" s="2" t="s">
        <v>153</v>
      </c>
    </row>
    <row r="4151">
      <c r="A4151" s="1">
        <v>43471.71755526621</v>
      </c>
      <c r="B4151" s="2">
        <v>717.0</v>
      </c>
      <c r="C4151" s="2" t="s">
        <v>152</v>
      </c>
      <c r="D4151" s="2" t="s">
        <v>5</v>
      </c>
    </row>
    <row r="4152">
      <c r="A4152" s="1">
        <v>43471.717771724536</v>
      </c>
      <c r="B4152" s="2">
        <v>270.0</v>
      </c>
      <c r="C4152" s="2" t="s">
        <v>153</v>
      </c>
    </row>
    <row r="4153">
      <c r="A4153" s="1">
        <v>43471.717850347224</v>
      </c>
      <c r="B4153" s="2">
        <v>717.0</v>
      </c>
      <c r="C4153" s="2" t="s">
        <v>152</v>
      </c>
      <c r="D4153" s="2" t="s">
        <v>5</v>
      </c>
    </row>
    <row r="4154">
      <c r="A4154" s="1">
        <v>43472.47171023148</v>
      </c>
      <c r="B4154" s="2">
        <v>603.0</v>
      </c>
      <c r="C4154" s="2" t="s">
        <v>40</v>
      </c>
    </row>
    <row r="4155">
      <c r="A4155" s="1">
        <v>43472.50652190972</v>
      </c>
      <c r="B4155" s="2">
        <v>650.0</v>
      </c>
      <c r="C4155" s="2" t="s">
        <v>213</v>
      </c>
    </row>
    <row r="4156">
      <c r="A4156" s="1">
        <v>43472.50652491898</v>
      </c>
      <c r="B4156" s="2">
        <v>650.0</v>
      </c>
      <c r="C4156" s="2" t="s">
        <v>213</v>
      </c>
    </row>
    <row r="4157">
      <c r="A4157" s="1">
        <v>43472.50652534723</v>
      </c>
      <c r="B4157" s="2">
        <v>650.0</v>
      </c>
      <c r="C4157" s="2" t="s">
        <v>213</v>
      </c>
    </row>
    <row r="4158">
      <c r="A4158" s="1">
        <v>43472.50653825232</v>
      </c>
      <c r="B4158" s="2">
        <v>650.0</v>
      </c>
      <c r="C4158" s="2" t="s">
        <v>213</v>
      </c>
    </row>
    <row r="4159">
      <c r="A4159" s="1">
        <v>43472.50658564815</v>
      </c>
      <c r="B4159" s="2">
        <v>650.0</v>
      </c>
      <c r="C4159" s="2" t="s">
        <v>213</v>
      </c>
    </row>
    <row r="4160">
      <c r="A4160" s="1">
        <v>43472.50836601852</v>
      </c>
      <c r="B4160" s="2">
        <v>650.0</v>
      </c>
      <c r="C4160" s="2" t="s">
        <v>213</v>
      </c>
    </row>
    <row r="4161">
      <c r="A4161" s="1">
        <v>43472.50873524306</v>
      </c>
      <c r="B4161" s="2">
        <v>650.0</v>
      </c>
      <c r="C4161" s="2" t="s">
        <v>213</v>
      </c>
    </row>
    <row r="4162">
      <c r="A4162" s="1">
        <v>43472.94413320602</v>
      </c>
      <c r="B4162" s="2">
        <v>609.0</v>
      </c>
      <c r="C4162" s="2" t="s">
        <v>179</v>
      </c>
    </row>
    <row r="4163">
      <c r="A4163" s="1">
        <v>43473.35703474537</v>
      </c>
      <c r="B4163" s="2">
        <v>167.0</v>
      </c>
      <c r="C4163" s="2" t="s">
        <v>39</v>
      </c>
    </row>
    <row r="4164">
      <c r="A4164" s="1">
        <v>43473.48758903935</v>
      </c>
      <c r="B4164" s="2">
        <v>655.0</v>
      </c>
      <c r="C4164" s="2" t="s">
        <v>17</v>
      </c>
    </row>
    <row r="4165">
      <c r="A4165" s="1">
        <v>43473.66255252315</v>
      </c>
      <c r="B4165" s="2">
        <v>611.0</v>
      </c>
      <c r="C4165" s="2" t="s">
        <v>143</v>
      </c>
    </row>
    <row r="4166">
      <c r="A4166" s="1">
        <v>43478.41576231481</v>
      </c>
      <c r="B4166" s="2">
        <v>707.0</v>
      </c>
      <c r="C4166" s="2" t="s">
        <v>57</v>
      </c>
      <c r="D4166" s="2" t="s">
        <v>5</v>
      </c>
    </row>
    <row r="4167">
      <c r="A4167" s="1">
        <v>43478.41600453704</v>
      </c>
      <c r="B4167" s="2">
        <v>141.0</v>
      </c>
      <c r="C4167" s="2" t="s">
        <v>53</v>
      </c>
    </row>
    <row r="4168">
      <c r="A4168" s="1">
        <v>43478.41619982639</v>
      </c>
      <c r="B4168" s="3" t="s">
        <v>55</v>
      </c>
      <c r="C4168" s="2" t="s">
        <v>56</v>
      </c>
    </row>
    <row r="4169">
      <c r="A4169" s="1">
        <v>43478.41659704861</v>
      </c>
      <c r="B4169" s="2">
        <v>729.0</v>
      </c>
      <c r="C4169" s="2" t="s">
        <v>54</v>
      </c>
      <c r="D4169" s="2" t="s">
        <v>5</v>
      </c>
    </row>
    <row r="4170">
      <c r="A4170" s="1">
        <v>43478.42322748843</v>
      </c>
      <c r="B4170" s="2">
        <v>612.0</v>
      </c>
      <c r="C4170" s="2" t="s">
        <v>214</v>
      </c>
    </row>
    <row r="4171">
      <c r="A4171" s="1">
        <v>43478.423591921295</v>
      </c>
      <c r="B4171" s="2">
        <v>262.0</v>
      </c>
      <c r="C4171" s="2" t="s">
        <v>28</v>
      </c>
    </row>
    <row r="4172">
      <c r="A4172" s="1">
        <v>43478.42388677083</v>
      </c>
      <c r="B4172" s="2">
        <v>735.0</v>
      </c>
      <c r="C4172" s="2" t="s">
        <v>37</v>
      </c>
      <c r="D4172" s="2" t="s">
        <v>5</v>
      </c>
    </row>
    <row r="4173">
      <c r="A4173" s="1">
        <v>43478.42406777778</v>
      </c>
      <c r="B4173" s="2">
        <v>722.0</v>
      </c>
      <c r="C4173" s="2" t="s">
        <v>25</v>
      </c>
      <c r="D4173" s="2" t="s">
        <v>5</v>
      </c>
    </row>
    <row r="4174">
      <c r="A4174" s="1">
        <v>43478.42456986111</v>
      </c>
      <c r="B4174" s="3" t="s">
        <v>94</v>
      </c>
      <c r="C4174" s="2" t="s">
        <v>95</v>
      </c>
    </row>
    <row r="4175">
      <c r="A4175" s="1">
        <v>43478.42485739583</v>
      </c>
      <c r="B4175" s="2">
        <v>611.0</v>
      </c>
      <c r="C4175" s="2" t="s">
        <v>143</v>
      </c>
    </row>
    <row r="4176">
      <c r="A4176" s="1">
        <v>43478.4250639699</v>
      </c>
      <c r="B4176" s="2">
        <v>604.0</v>
      </c>
      <c r="C4176" s="2" t="s">
        <v>36</v>
      </c>
    </row>
    <row r="4177">
      <c r="A4177" s="1">
        <v>43478.42609421296</v>
      </c>
      <c r="B4177" s="2">
        <v>201.0</v>
      </c>
      <c r="C4177" s="2" t="s">
        <v>70</v>
      </c>
    </row>
    <row r="4178">
      <c r="A4178" s="1">
        <v>43478.42758645833</v>
      </c>
      <c r="B4178" s="2">
        <v>655.0</v>
      </c>
      <c r="C4178" s="2" t="s">
        <v>17</v>
      </c>
    </row>
    <row r="4179">
      <c r="A4179" s="1">
        <v>43478.42769586806</v>
      </c>
      <c r="B4179" s="2">
        <v>267.0</v>
      </c>
      <c r="C4179" s="2" t="s">
        <v>115</v>
      </c>
    </row>
    <row r="4180">
      <c r="A4180" s="1">
        <v>43478.42963421297</v>
      </c>
      <c r="B4180" s="2">
        <v>734.0</v>
      </c>
      <c r="C4180" s="2" t="s">
        <v>63</v>
      </c>
      <c r="D4180" s="2" t="s">
        <v>5</v>
      </c>
    </row>
    <row r="4181">
      <c r="A4181" s="1">
        <v>43478.42975552083</v>
      </c>
      <c r="B4181" s="2">
        <v>229.0</v>
      </c>
      <c r="C4181" s="2" t="s">
        <v>86</v>
      </c>
    </row>
    <row r="4182">
      <c r="A4182" s="1">
        <v>43478.43001730324</v>
      </c>
      <c r="B4182" s="2">
        <v>614.0</v>
      </c>
      <c r="C4182" s="2" t="s">
        <v>76</v>
      </c>
    </row>
    <row r="4183">
      <c r="A4183" s="1">
        <v>43478.43039570602</v>
      </c>
      <c r="B4183" s="2">
        <v>259.0</v>
      </c>
      <c r="C4183" s="2" t="s">
        <v>66</v>
      </c>
    </row>
    <row r="4184">
      <c r="A4184" s="1">
        <v>43478.430456076385</v>
      </c>
      <c r="B4184" s="2">
        <v>260.0</v>
      </c>
      <c r="C4184" s="2" t="s">
        <v>67</v>
      </c>
    </row>
    <row r="4185">
      <c r="A4185" s="1">
        <v>43478.43075072917</v>
      </c>
      <c r="B4185" s="2">
        <v>167.0</v>
      </c>
      <c r="C4185" s="2" t="s">
        <v>39</v>
      </c>
    </row>
    <row r="4186">
      <c r="A4186" s="1">
        <v>43478.43082400463</v>
      </c>
      <c r="B4186" s="2">
        <v>165.0</v>
      </c>
      <c r="C4186" s="2" t="s">
        <v>50</v>
      </c>
    </row>
    <row r="4187">
      <c r="A4187" s="1">
        <v>43478.431071875</v>
      </c>
      <c r="B4187" s="2">
        <v>167.0</v>
      </c>
      <c r="C4187" s="2" t="s">
        <v>39</v>
      </c>
    </row>
    <row r="4188">
      <c r="A4188" s="1">
        <v>43478.43123815973</v>
      </c>
      <c r="B4188" s="2">
        <v>167.0</v>
      </c>
      <c r="C4188" s="2" t="s">
        <v>39</v>
      </c>
    </row>
    <row r="4189">
      <c r="A4189" s="1">
        <v>43478.43187039351</v>
      </c>
      <c r="B4189" s="2">
        <v>214.0</v>
      </c>
      <c r="C4189" s="2" t="s">
        <v>47</v>
      </c>
    </row>
    <row r="4190">
      <c r="A4190" s="1">
        <v>43478.432933668984</v>
      </c>
      <c r="B4190" s="3" t="s">
        <v>11</v>
      </c>
      <c r="C4190" s="2" t="s">
        <v>12</v>
      </c>
    </row>
    <row r="4191">
      <c r="A4191" s="1">
        <v>43478.43299744213</v>
      </c>
      <c r="B4191" s="3" t="s">
        <v>126</v>
      </c>
      <c r="C4191" s="2" t="s">
        <v>127</v>
      </c>
    </row>
    <row r="4192">
      <c r="A4192" s="1">
        <v>43478.433141076384</v>
      </c>
      <c r="B4192" s="2">
        <v>173.0</v>
      </c>
      <c r="C4192" s="2" t="s">
        <v>24</v>
      </c>
    </row>
    <row r="4193">
      <c r="A4193" s="1">
        <v>43478.43334928241</v>
      </c>
      <c r="B4193" s="3" t="s">
        <v>82</v>
      </c>
      <c r="C4193" s="2" t="s">
        <v>83</v>
      </c>
    </row>
    <row r="4194">
      <c r="A4194" s="1">
        <v>43478.433446111114</v>
      </c>
      <c r="B4194" s="3" t="s">
        <v>32</v>
      </c>
      <c r="C4194" s="2" t="s">
        <v>33</v>
      </c>
    </row>
    <row r="4195">
      <c r="A4195" s="1">
        <v>43478.433582453705</v>
      </c>
      <c r="B4195" s="3" t="s">
        <v>159</v>
      </c>
      <c r="C4195" s="2" t="s">
        <v>160</v>
      </c>
    </row>
    <row r="4196">
      <c r="A4196" s="1">
        <v>43478.43377271991</v>
      </c>
      <c r="B4196" s="3" t="s">
        <v>103</v>
      </c>
      <c r="C4196" s="2" t="s">
        <v>104</v>
      </c>
    </row>
    <row r="4197">
      <c r="A4197" s="1">
        <v>43478.43391865741</v>
      </c>
      <c r="B4197" s="2">
        <v>113.0</v>
      </c>
      <c r="C4197" s="2" t="s">
        <v>29</v>
      </c>
    </row>
    <row r="4198">
      <c r="A4198" s="1">
        <v>43478.43402775463</v>
      </c>
      <c r="B4198" s="3" t="s">
        <v>32</v>
      </c>
      <c r="C4198" s="2" t="s">
        <v>33</v>
      </c>
    </row>
    <row r="4199">
      <c r="A4199" s="1">
        <v>43478.434089560185</v>
      </c>
      <c r="B4199" s="2">
        <v>734.0</v>
      </c>
      <c r="C4199" s="2" t="s">
        <v>63</v>
      </c>
      <c r="D4199" s="2" t="s">
        <v>5</v>
      </c>
    </row>
    <row r="4200">
      <c r="A4200" s="1">
        <v>43478.43422114583</v>
      </c>
      <c r="B4200" s="2">
        <v>259.0</v>
      </c>
      <c r="C4200" s="2" t="s">
        <v>66</v>
      </c>
    </row>
    <row r="4201">
      <c r="A4201" s="1">
        <v>43478.43430273148</v>
      </c>
      <c r="B4201" s="3" t="s">
        <v>88</v>
      </c>
      <c r="C4201" s="2" t="s">
        <v>89</v>
      </c>
    </row>
    <row r="4202">
      <c r="A4202" s="1">
        <v>43478.43430797454</v>
      </c>
      <c r="B4202" s="2">
        <v>260.0</v>
      </c>
      <c r="C4202" s="2" t="s">
        <v>67</v>
      </c>
    </row>
    <row r="4203">
      <c r="A4203" s="1">
        <v>43478.43463982639</v>
      </c>
      <c r="B4203" s="3" t="s">
        <v>78</v>
      </c>
      <c r="C4203" s="2" t="s">
        <v>79</v>
      </c>
    </row>
    <row r="4204">
      <c r="A4204" s="1">
        <v>43478.434793912034</v>
      </c>
      <c r="B4204" s="2">
        <v>723.0</v>
      </c>
      <c r="C4204" s="2" t="s">
        <v>84</v>
      </c>
      <c r="D4204" s="2" t="s">
        <v>5</v>
      </c>
    </row>
    <row r="4205">
      <c r="A4205" s="1">
        <v>43478.43633074074</v>
      </c>
      <c r="B4205" s="2">
        <v>244.0</v>
      </c>
      <c r="C4205" s="2" t="s">
        <v>38</v>
      </c>
    </row>
    <row r="4206">
      <c r="A4206" s="1">
        <v>43478.436452106485</v>
      </c>
      <c r="B4206" s="2">
        <v>215.0</v>
      </c>
      <c r="C4206" s="2" t="s">
        <v>137</v>
      </c>
    </row>
    <row r="4207">
      <c r="A4207" s="1">
        <v>43478.43656097222</v>
      </c>
      <c r="B4207" s="3" t="s">
        <v>22</v>
      </c>
      <c r="C4207" s="2" t="s">
        <v>23</v>
      </c>
    </row>
    <row r="4208">
      <c r="A4208" s="1">
        <v>43478.43664596065</v>
      </c>
      <c r="B4208" s="2">
        <v>175.0</v>
      </c>
      <c r="C4208" s="2" t="s">
        <v>69</v>
      </c>
    </row>
    <row r="4209">
      <c r="A4209" s="1">
        <v>43478.43678665509</v>
      </c>
      <c r="B4209" s="2">
        <v>172.0</v>
      </c>
      <c r="C4209" s="2" t="s">
        <v>65</v>
      </c>
    </row>
    <row r="4210">
      <c r="A4210" s="1">
        <v>43478.43693630787</v>
      </c>
      <c r="B4210" s="2">
        <v>607.0</v>
      </c>
      <c r="C4210" s="2" t="s">
        <v>68</v>
      </c>
    </row>
    <row r="4211">
      <c r="A4211" s="1">
        <v>43478.43727571759</v>
      </c>
      <c r="B4211" s="2">
        <v>667.0</v>
      </c>
      <c r="C4211" s="2" t="s">
        <v>73</v>
      </c>
    </row>
    <row r="4212">
      <c r="A4212" s="1">
        <v>43478.43735309028</v>
      </c>
      <c r="B4212" s="2">
        <v>601.0</v>
      </c>
      <c r="C4212" s="2" t="s">
        <v>125</v>
      </c>
    </row>
    <row r="4213">
      <c r="A4213" s="1">
        <v>43478.43739378473</v>
      </c>
      <c r="B4213" s="2">
        <v>706.0</v>
      </c>
      <c r="C4213" s="2" t="s">
        <v>149</v>
      </c>
      <c r="D4213" s="2" t="s">
        <v>5</v>
      </c>
    </row>
    <row r="4214">
      <c r="A4214" s="1">
        <v>43478.437477893516</v>
      </c>
      <c r="B4214" s="3" t="s">
        <v>150</v>
      </c>
      <c r="C4214" s="2" t="s">
        <v>151</v>
      </c>
    </row>
    <row r="4215">
      <c r="A4215" s="1">
        <v>43478.43761365741</v>
      </c>
      <c r="B4215" s="2">
        <v>210.0</v>
      </c>
      <c r="C4215" s="2" t="s">
        <v>64</v>
      </c>
    </row>
    <row r="4216">
      <c r="A4216" s="1">
        <v>43478.437803402776</v>
      </c>
      <c r="B4216" s="2">
        <v>643.0</v>
      </c>
      <c r="C4216" s="2" t="s">
        <v>166</v>
      </c>
    </row>
    <row r="4217">
      <c r="A4217" s="1">
        <v>43478.437902777776</v>
      </c>
      <c r="B4217" s="3" t="s">
        <v>98</v>
      </c>
      <c r="C4217" s="2" t="s">
        <v>99</v>
      </c>
    </row>
    <row r="4218">
      <c r="A4218" s="1">
        <v>43478.438008136574</v>
      </c>
      <c r="B4218" s="2">
        <v>147.0</v>
      </c>
      <c r="C4218" s="2" t="s">
        <v>100</v>
      </c>
    </row>
    <row r="4219">
      <c r="A4219" s="1">
        <v>43478.43825344907</v>
      </c>
      <c r="B4219" s="2">
        <v>726.0</v>
      </c>
      <c r="C4219" s="2" t="s">
        <v>101</v>
      </c>
      <c r="D4219" s="2" t="s">
        <v>5</v>
      </c>
    </row>
    <row r="4220">
      <c r="A4220" s="1">
        <v>43478.43836650463</v>
      </c>
      <c r="B4220" s="2">
        <v>732.0</v>
      </c>
      <c r="C4220" s="2" t="s">
        <v>102</v>
      </c>
      <c r="D4220" s="2" t="s">
        <v>5</v>
      </c>
    </row>
    <row r="4221">
      <c r="A4221" s="1">
        <v>43478.43883767361</v>
      </c>
      <c r="B4221" s="3" t="s">
        <v>51</v>
      </c>
      <c r="C4221" s="2" t="s">
        <v>52</v>
      </c>
    </row>
    <row r="4222">
      <c r="A4222" s="1">
        <v>43478.43975472222</v>
      </c>
      <c r="B4222" s="2">
        <v>726.0</v>
      </c>
      <c r="C4222" s="2" t="s">
        <v>101</v>
      </c>
      <c r="D4222" s="2" t="s">
        <v>5</v>
      </c>
    </row>
    <row r="4223">
      <c r="A4223" s="1">
        <v>43478.43986032407</v>
      </c>
      <c r="B4223" s="2">
        <v>732.0</v>
      </c>
      <c r="C4223" s="2" t="s">
        <v>102</v>
      </c>
      <c r="D4223" s="2" t="s">
        <v>5</v>
      </c>
    </row>
    <row r="4224">
      <c r="A4224" s="1">
        <v>43478.44004168981</v>
      </c>
      <c r="B4224" s="2">
        <v>738.0</v>
      </c>
      <c r="C4224" s="2" t="s">
        <v>161</v>
      </c>
    </row>
    <row r="4225">
      <c r="A4225" s="1">
        <v>43478.44024207176</v>
      </c>
      <c r="B4225" s="3" t="s">
        <v>44</v>
      </c>
      <c r="C4225" s="2" t="s">
        <v>45</v>
      </c>
    </row>
    <row r="4226">
      <c r="A4226" s="1">
        <v>43478.44062230324</v>
      </c>
      <c r="B4226" s="2">
        <v>667.0</v>
      </c>
      <c r="C4226" s="2" t="s">
        <v>73</v>
      </c>
    </row>
    <row r="4227">
      <c r="A4227" s="1">
        <v>43478.44071293982</v>
      </c>
      <c r="B4227" s="2">
        <v>706.0</v>
      </c>
      <c r="C4227" s="2" t="s">
        <v>149</v>
      </c>
      <c r="D4227" s="2" t="s">
        <v>5</v>
      </c>
    </row>
    <row r="4228">
      <c r="A4228" s="1">
        <v>43478.44082333334</v>
      </c>
      <c r="B4228" s="3" t="s">
        <v>150</v>
      </c>
      <c r="C4228" s="2" t="s">
        <v>151</v>
      </c>
    </row>
    <row r="4229">
      <c r="A4229" s="1">
        <v>43478.441041921295</v>
      </c>
      <c r="B4229" s="3" t="s">
        <v>74</v>
      </c>
      <c r="C4229" s="2" t="s">
        <v>75</v>
      </c>
    </row>
    <row r="4230">
      <c r="A4230" s="1">
        <v>43478.44152299769</v>
      </c>
      <c r="B4230" s="3" t="s">
        <v>80</v>
      </c>
      <c r="C4230" s="2" t="s">
        <v>81</v>
      </c>
    </row>
    <row r="4231">
      <c r="A4231" s="1">
        <v>43478.44168744213</v>
      </c>
      <c r="B4231" s="2">
        <v>653.0</v>
      </c>
      <c r="C4231" s="2" t="s">
        <v>77</v>
      </c>
    </row>
    <row r="4232">
      <c r="A4232" s="1">
        <v>43478.44197167824</v>
      </c>
      <c r="B4232" s="3" t="s">
        <v>111</v>
      </c>
      <c r="C4232" s="2" t="s">
        <v>112</v>
      </c>
    </row>
    <row r="4233">
      <c r="A4233" s="1">
        <v>43478.44262825232</v>
      </c>
      <c r="B4233" s="3" t="s">
        <v>9</v>
      </c>
      <c r="C4233" s="2" t="s">
        <v>10</v>
      </c>
    </row>
    <row r="4234">
      <c r="A4234" s="1">
        <v>43478.44688228009</v>
      </c>
      <c r="B4234" s="2">
        <v>736.0</v>
      </c>
      <c r="C4234" s="2" t="s">
        <v>175</v>
      </c>
      <c r="D4234" s="2" t="s">
        <v>5</v>
      </c>
    </row>
    <row r="4235">
      <c r="A4235" s="1">
        <v>43478.44696659722</v>
      </c>
      <c r="B4235" s="2">
        <v>737.0</v>
      </c>
      <c r="C4235" s="2" t="s">
        <v>176</v>
      </c>
      <c r="D4235" s="2" t="s">
        <v>5</v>
      </c>
    </row>
    <row r="4236">
      <c r="A4236" s="1">
        <v>43478.44740421296</v>
      </c>
      <c r="B4236" s="2">
        <v>649.0</v>
      </c>
      <c r="C4236" s="2" t="s">
        <v>177</v>
      </c>
    </row>
    <row r="4237">
      <c r="A4237" s="1">
        <v>43478.44761508102</v>
      </c>
      <c r="B4237" s="2">
        <v>663.0</v>
      </c>
      <c r="C4237" s="2" t="s">
        <v>109</v>
      </c>
    </row>
    <row r="4238">
      <c r="A4238" s="1">
        <v>43478.44773234954</v>
      </c>
      <c r="B4238" s="2">
        <v>733.0</v>
      </c>
      <c r="C4238" s="2" t="s">
        <v>110</v>
      </c>
      <c r="D4238" s="2" t="s">
        <v>5</v>
      </c>
    </row>
    <row r="4239">
      <c r="A4239" s="1">
        <v>43478.44899072917</v>
      </c>
      <c r="B4239" s="2">
        <v>231.0</v>
      </c>
      <c r="C4239" s="2" t="s">
        <v>61</v>
      </c>
    </row>
    <row r="4240">
      <c r="A4240" s="1">
        <v>43478.449676516204</v>
      </c>
      <c r="B4240" s="3" t="s">
        <v>113</v>
      </c>
      <c r="C4240" s="2" t="s">
        <v>114</v>
      </c>
    </row>
    <row r="4241">
      <c r="A4241" s="1">
        <v>43478.449742372686</v>
      </c>
      <c r="B4241" s="2">
        <v>101.0</v>
      </c>
      <c r="C4241" s="2" t="s">
        <v>108</v>
      </c>
    </row>
    <row r="4242">
      <c r="A4242" s="1">
        <v>43478.4499143287</v>
      </c>
      <c r="B4242" s="2">
        <v>718.0</v>
      </c>
      <c r="C4242" s="2" t="s">
        <v>105</v>
      </c>
      <c r="D4242" s="2" t="s">
        <v>5</v>
      </c>
    </row>
    <row r="4243">
      <c r="A4243" s="1">
        <v>43478.4499705787</v>
      </c>
      <c r="B4243" s="2">
        <v>719.0</v>
      </c>
      <c r="C4243" s="2" t="s">
        <v>106</v>
      </c>
      <c r="D4243" s="2" t="s">
        <v>5</v>
      </c>
    </row>
    <row r="4244">
      <c r="A4244" s="1">
        <v>43478.450126724536</v>
      </c>
      <c r="B4244" s="2">
        <v>124.0</v>
      </c>
      <c r="C4244" s="2" t="s">
        <v>107</v>
      </c>
    </row>
    <row r="4245">
      <c r="A4245" s="1">
        <v>43478.45052513889</v>
      </c>
      <c r="B4245" s="2">
        <v>603.0</v>
      </c>
      <c r="C4245" s="2" t="s">
        <v>40</v>
      </c>
    </row>
    <row r="4246">
      <c r="A4246" s="1">
        <v>43478.45060119213</v>
      </c>
      <c r="B4246" s="2">
        <v>535.0</v>
      </c>
      <c r="C4246" s="2" t="s">
        <v>208</v>
      </c>
    </row>
    <row r="4247">
      <c r="A4247" s="1">
        <v>43478.45105737269</v>
      </c>
      <c r="B4247" s="2">
        <v>656.0</v>
      </c>
      <c r="C4247" s="2" t="s">
        <v>144</v>
      </c>
    </row>
    <row r="4248">
      <c r="A4248" s="1">
        <v>43478.452061331016</v>
      </c>
      <c r="B4248" s="2">
        <v>624.0</v>
      </c>
      <c r="C4248" s="2" t="s">
        <v>90</v>
      </c>
    </row>
    <row r="4249">
      <c r="A4249" s="1">
        <v>43478.454325625</v>
      </c>
      <c r="B4249" s="2">
        <v>738.0</v>
      </c>
      <c r="C4249" s="2" t="s">
        <v>161</v>
      </c>
    </row>
    <row r="4250">
      <c r="A4250" s="1">
        <v>43478.454936168986</v>
      </c>
      <c r="B4250" s="2">
        <v>602.0</v>
      </c>
      <c r="C4250" s="2" t="s">
        <v>131</v>
      </c>
    </row>
    <row r="4251">
      <c r="A4251" s="1">
        <v>43478.45525863426</v>
      </c>
      <c r="B4251" s="2">
        <v>52.0</v>
      </c>
      <c r="C4251" s="2" t="s">
        <v>41</v>
      </c>
    </row>
    <row r="4252">
      <c r="A4252" s="1">
        <v>43478.455795925925</v>
      </c>
      <c r="B4252" s="2">
        <v>160.0</v>
      </c>
      <c r="C4252" s="2" t="s">
        <v>154</v>
      </c>
    </row>
    <row r="4253">
      <c r="A4253" s="1">
        <v>43478.45609337963</v>
      </c>
      <c r="B4253" s="2">
        <v>724.0</v>
      </c>
      <c r="C4253" s="2" t="s">
        <v>91</v>
      </c>
      <c r="D4253" s="2" t="s">
        <v>5</v>
      </c>
    </row>
    <row r="4254">
      <c r="A4254" s="1">
        <v>43478.45616377315</v>
      </c>
      <c r="B4254" s="2">
        <v>725.0</v>
      </c>
      <c r="C4254" s="2" t="s">
        <v>92</v>
      </c>
      <c r="D4254" s="2" t="s">
        <v>5</v>
      </c>
    </row>
    <row r="4255">
      <c r="A4255" s="1">
        <v>43478.45646202547</v>
      </c>
      <c r="B4255" s="2">
        <v>708.0</v>
      </c>
      <c r="C4255" s="2" t="s">
        <v>4</v>
      </c>
      <c r="D4255" s="2" t="s">
        <v>5</v>
      </c>
    </row>
    <row r="4256">
      <c r="A4256" s="1">
        <v>43478.45651975695</v>
      </c>
      <c r="B4256" s="2">
        <v>709.0</v>
      </c>
      <c r="C4256" s="2" t="s">
        <v>20</v>
      </c>
      <c r="D4256" s="2" t="s">
        <v>5</v>
      </c>
    </row>
    <row r="4257">
      <c r="A4257" s="1">
        <v>43478.4565840162</v>
      </c>
      <c r="B4257" s="2">
        <v>710.0</v>
      </c>
      <c r="C4257" s="2" t="s">
        <v>21</v>
      </c>
      <c r="D4257" s="2" t="s">
        <v>5</v>
      </c>
    </row>
    <row r="4258">
      <c r="A4258" s="1">
        <v>43478.45671568287</v>
      </c>
      <c r="B4258" s="2">
        <v>114.0</v>
      </c>
      <c r="C4258" s="2" t="s">
        <v>15</v>
      </c>
    </row>
    <row r="4259">
      <c r="A4259" s="1">
        <v>43478.45697814815</v>
      </c>
      <c r="B4259" s="2">
        <v>165.0</v>
      </c>
      <c r="C4259" s="2" t="s">
        <v>50</v>
      </c>
    </row>
    <row r="4260">
      <c r="A4260" s="1">
        <v>43478.45794364583</v>
      </c>
      <c r="B4260" s="2">
        <v>253.0</v>
      </c>
      <c r="C4260" s="2" t="s">
        <v>138</v>
      </c>
    </row>
    <row r="4261">
      <c r="A4261" s="1">
        <v>43478.45862583333</v>
      </c>
      <c r="B4261" s="2">
        <v>214.0</v>
      </c>
      <c r="C4261" s="2" t="s">
        <v>47</v>
      </c>
    </row>
    <row r="4262">
      <c r="A4262" s="1">
        <v>43478.46900516204</v>
      </c>
      <c r="B4262" s="2">
        <v>721.0</v>
      </c>
      <c r="C4262" s="2" t="s">
        <v>156</v>
      </c>
      <c r="D4262" s="2" t="s">
        <v>5</v>
      </c>
    </row>
    <row r="4263">
      <c r="A4263" s="1">
        <v>43478.47016752315</v>
      </c>
      <c r="B4263" s="2">
        <v>208.0</v>
      </c>
      <c r="C4263" s="2" t="s">
        <v>182</v>
      </c>
    </row>
    <row r="4264">
      <c r="A4264" s="1">
        <v>43478.47189335648</v>
      </c>
      <c r="B4264" s="2">
        <v>260.0</v>
      </c>
      <c r="C4264" s="2" t="s">
        <v>67</v>
      </c>
    </row>
    <row r="4265">
      <c r="A4265" s="1">
        <v>43478.471953252316</v>
      </c>
      <c r="B4265" s="2">
        <v>734.0</v>
      </c>
      <c r="C4265" s="2" t="s">
        <v>63</v>
      </c>
      <c r="D4265" s="2" t="s">
        <v>5</v>
      </c>
    </row>
    <row r="4266">
      <c r="A4266" s="1">
        <v>43478.485713055554</v>
      </c>
      <c r="B4266" s="3" t="s">
        <v>119</v>
      </c>
      <c r="C4266" s="2" t="s">
        <v>120</v>
      </c>
    </row>
    <row r="4267">
      <c r="A4267" s="1">
        <v>43478.48589589121</v>
      </c>
      <c r="B4267" s="3" t="s">
        <v>117</v>
      </c>
      <c r="C4267" s="2" t="s">
        <v>118</v>
      </c>
    </row>
    <row r="4268">
      <c r="A4268" s="1">
        <v>43478.4861269213</v>
      </c>
      <c r="B4268" s="2">
        <v>713.0</v>
      </c>
      <c r="C4268" s="2" t="s">
        <v>121</v>
      </c>
      <c r="D4268" s="2" t="s">
        <v>5</v>
      </c>
    </row>
    <row r="4269">
      <c r="A4269" s="1">
        <v>43478.48632399306</v>
      </c>
      <c r="B4269" s="2">
        <v>714.0</v>
      </c>
      <c r="C4269" s="2" t="s">
        <v>122</v>
      </c>
      <c r="D4269" s="2" t="s">
        <v>5</v>
      </c>
    </row>
    <row r="4270">
      <c r="A4270" s="1">
        <v>43478.49039450231</v>
      </c>
      <c r="B4270" s="2">
        <v>653.0</v>
      </c>
      <c r="C4270" s="2" t="s">
        <v>77</v>
      </c>
    </row>
    <row r="4271">
      <c r="A4271" s="1">
        <v>43478.49066648148</v>
      </c>
      <c r="B4271" s="2">
        <v>231.0</v>
      </c>
      <c r="C4271" s="2" t="s">
        <v>61</v>
      </c>
    </row>
    <row r="4272">
      <c r="A4272" s="1">
        <v>43479.67275521991</v>
      </c>
      <c r="B4272" s="2">
        <v>650.0</v>
      </c>
      <c r="C4272" s="2" t="s">
        <v>213</v>
      </c>
    </row>
    <row r="4273">
      <c r="A4273" s="1">
        <v>43483.1547618287</v>
      </c>
      <c r="B4273" s="2">
        <v>214.0</v>
      </c>
      <c r="C4273" s="2" t="s">
        <v>47</v>
      </c>
    </row>
    <row r="4274">
      <c r="A4274" s="1">
        <v>43485.596602025464</v>
      </c>
      <c r="B4274" s="2">
        <v>627.0</v>
      </c>
      <c r="C4274" s="2" t="s">
        <v>134</v>
      </c>
    </row>
    <row r="4275">
      <c r="A4275" s="1">
        <v>43487.56686905093</v>
      </c>
      <c r="B4275" s="2">
        <v>609.0</v>
      </c>
      <c r="C4275" s="2" t="s">
        <v>179</v>
      </c>
    </row>
    <row r="4276">
      <c r="A4276" s="1">
        <v>43487.56690395833</v>
      </c>
      <c r="B4276" s="2">
        <v>609.0</v>
      </c>
      <c r="C4276" s="2" t="s">
        <v>179</v>
      </c>
    </row>
    <row r="4277">
      <c r="A4277" s="1">
        <v>43487.56763959491</v>
      </c>
      <c r="B4277" s="2">
        <v>601.0</v>
      </c>
      <c r="C4277" s="2" t="s">
        <v>125</v>
      </c>
    </row>
    <row r="4278">
      <c r="A4278" s="1">
        <v>43487.575964675925</v>
      </c>
      <c r="B4278" s="2">
        <v>608.0</v>
      </c>
      <c r="C4278" s="2" t="s">
        <v>7</v>
      </c>
    </row>
    <row r="4279">
      <c r="A4279" s="1">
        <v>43487.580491712964</v>
      </c>
      <c r="B4279" s="3" t="s">
        <v>184</v>
      </c>
      <c r="C4279" s="2" t="s">
        <v>185</v>
      </c>
    </row>
    <row r="4280">
      <c r="A4280" s="1">
        <v>43492.317957569445</v>
      </c>
      <c r="B4280" s="2">
        <v>616.0</v>
      </c>
      <c r="C4280" s="2" t="s">
        <v>71</v>
      </c>
    </row>
    <row r="4281">
      <c r="A4281" s="1">
        <v>43492.31820214121</v>
      </c>
      <c r="B4281" s="2">
        <v>616.0</v>
      </c>
      <c r="C4281" s="2" t="s">
        <v>71</v>
      </c>
    </row>
    <row r="4282">
      <c r="A4282" s="1">
        <v>43492.31838681713</v>
      </c>
      <c r="B4282" s="2">
        <v>616.0</v>
      </c>
      <c r="C4282" s="2" t="s">
        <v>71</v>
      </c>
    </row>
    <row r="4283">
      <c r="A4283" s="1">
        <v>43492.31849931713</v>
      </c>
      <c r="B4283" s="2">
        <v>616.0</v>
      </c>
      <c r="C4283" s="2" t="s">
        <v>71</v>
      </c>
    </row>
    <row r="4284">
      <c r="A4284" s="1">
        <v>43492.31864221065</v>
      </c>
      <c r="B4284" s="2">
        <v>616.0</v>
      </c>
      <c r="C4284" s="2" t="s">
        <v>71</v>
      </c>
    </row>
    <row r="4285">
      <c r="A4285" s="1">
        <v>43492.41645980324</v>
      </c>
      <c r="B4285" s="2">
        <v>246.0</v>
      </c>
      <c r="C4285" s="2" t="s">
        <v>26</v>
      </c>
    </row>
    <row r="4286">
      <c r="A4286" s="1">
        <v>43492.42166857639</v>
      </c>
      <c r="B4286" s="2">
        <v>257.0</v>
      </c>
      <c r="C4286" s="2" t="s">
        <v>27</v>
      </c>
    </row>
    <row r="4287">
      <c r="A4287" s="1">
        <v>43492.42196260417</v>
      </c>
      <c r="B4287" s="2">
        <v>722.0</v>
      </c>
      <c r="C4287" s="2" t="s">
        <v>25</v>
      </c>
      <c r="D4287" s="2" t="s">
        <v>5</v>
      </c>
    </row>
    <row r="4288">
      <c r="A4288" s="1">
        <v>43492.42198236111</v>
      </c>
      <c r="B4288" s="2">
        <v>722.0</v>
      </c>
      <c r="C4288" s="2" t="s">
        <v>25</v>
      </c>
      <c r="D4288" s="2" t="s">
        <v>5</v>
      </c>
    </row>
    <row r="4289">
      <c r="A4289" s="1">
        <v>43492.42222771991</v>
      </c>
      <c r="B4289" s="2">
        <v>193.0</v>
      </c>
      <c r="C4289" s="2" t="s">
        <v>30</v>
      </c>
    </row>
    <row r="4290">
      <c r="A4290" s="1">
        <v>43492.42263501158</v>
      </c>
      <c r="B4290" s="2">
        <v>244.0</v>
      </c>
      <c r="C4290" s="2" t="s">
        <v>38</v>
      </c>
    </row>
    <row r="4291">
      <c r="A4291" s="1">
        <v>43492.4229472338</v>
      </c>
      <c r="B4291" s="2">
        <v>189.0</v>
      </c>
      <c r="C4291" s="2" t="s">
        <v>128</v>
      </c>
    </row>
    <row r="4292">
      <c r="A4292" s="1">
        <v>43492.42331828704</v>
      </c>
      <c r="B4292" s="2">
        <v>735.0</v>
      </c>
      <c r="C4292" s="2" t="s">
        <v>37</v>
      </c>
      <c r="D4292" s="2" t="s">
        <v>5</v>
      </c>
    </row>
    <row r="4293">
      <c r="A4293" s="1">
        <v>43492.42399913195</v>
      </c>
      <c r="B4293" s="2">
        <v>262.0</v>
      </c>
      <c r="C4293" s="2" t="s">
        <v>28</v>
      </c>
    </row>
    <row r="4294">
      <c r="A4294" s="1">
        <v>43492.42494329861</v>
      </c>
      <c r="B4294" s="2">
        <v>267.0</v>
      </c>
      <c r="C4294" s="2" t="s">
        <v>115</v>
      </c>
    </row>
    <row r="4295">
      <c r="A4295" s="1">
        <v>43492.42526148148</v>
      </c>
      <c r="B4295" s="2">
        <v>214.0</v>
      </c>
      <c r="C4295" s="2" t="s">
        <v>47</v>
      </c>
    </row>
    <row r="4296">
      <c r="A4296" s="1">
        <v>43492.42542013889</v>
      </c>
      <c r="B4296" s="2">
        <v>173.0</v>
      </c>
      <c r="C4296" s="2" t="s">
        <v>24</v>
      </c>
    </row>
    <row r="4297">
      <c r="A4297" s="1">
        <v>43492.42551965278</v>
      </c>
      <c r="B4297" s="2">
        <v>215.0</v>
      </c>
      <c r="C4297" s="2" t="s">
        <v>137</v>
      </c>
    </row>
    <row r="4298">
      <c r="A4298" s="1">
        <v>43492.42583445602</v>
      </c>
      <c r="B4298" s="3" t="s">
        <v>32</v>
      </c>
      <c r="C4298" s="2" t="s">
        <v>33</v>
      </c>
    </row>
    <row r="4299">
      <c r="A4299" s="1">
        <v>43492.42624581019</v>
      </c>
      <c r="B4299" s="3" t="s">
        <v>103</v>
      </c>
      <c r="C4299" s="2" t="s">
        <v>104</v>
      </c>
    </row>
    <row r="4300">
      <c r="A4300" s="1">
        <v>43492.42671267361</v>
      </c>
      <c r="B4300" s="2">
        <v>201.0</v>
      </c>
      <c r="C4300" s="2" t="s">
        <v>70</v>
      </c>
    </row>
    <row r="4301">
      <c r="A4301" s="1">
        <v>43492.42985052083</v>
      </c>
      <c r="B4301" s="2">
        <v>165.0</v>
      </c>
      <c r="C4301" s="2" t="s">
        <v>50</v>
      </c>
    </row>
    <row r="4302">
      <c r="A4302" s="1">
        <v>43492.43051983796</v>
      </c>
      <c r="B4302" s="2">
        <v>113.0</v>
      </c>
      <c r="C4302" s="2" t="s">
        <v>29</v>
      </c>
    </row>
    <row r="4303">
      <c r="A4303" s="1">
        <v>43492.43062491898</v>
      </c>
      <c r="B4303" s="3" t="s">
        <v>159</v>
      </c>
      <c r="C4303" s="2" t="s">
        <v>160</v>
      </c>
    </row>
    <row r="4304">
      <c r="A4304" s="1">
        <v>43492.431433923615</v>
      </c>
      <c r="B4304" s="2">
        <v>736.0</v>
      </c>
      <c r="C4304" s="2" t="s">
        <v>175</v>
      </c>
      <c r="D4304" s="2" t="s">
        <v>5</v>
      </c>
    </row>
    <row r="4305">
      <c r="A4305" s="1">
        <v>43492.4315084838</v>
      </c>
      <c r="B4305" s="2">
        <v>737.0</v>
      </c>
      <c r="C4305" s="2" t="s">
        <v>176</v>
      </c>
      <c r="D4305" s="2" t="s">
        <v>5</v>
      </c>
    </row>
    <row r="4306">
      <c r="A4306" s="1">
        <v>43492.43165237269</v>
      </c>
      <c r="B4306" s="2">
        <v>648.0</v>
      </c>
      <c r="C4306" s="2" t="s">
        <v>207</v>
      </c>
    </row>
    <row r="4307">
      <c r="A4307" s="1">
        <v>43492.4318365162</v>
      </c>
      <c r="B4307" s="2">
        <v>649.0</v>
      </c>
      <c r="C4307" s="2" t="s">
        <v>177</v>
      </c>
    </row>
    <row r="4308">
      <c r="A4308" s="1">
        <v>43492.4319841088</v>
      </c>
      <c r="B4308" s="2">
        <v>229.0</v>
      </c>
      <c r="C4308" s="2" t="s">
        <v>86</v>
      </c>
    </row>
    <row r="4309">
      <c r="A4309" s="1">
        <v>43492.43247568287</v>
      </c>
      <c r="B4309" s="3" t="s">
        <v>111</v>
      </c>
      <c r="C4309" s="2" t="s">
        <v>112</v>
      </c>
    </row>
    <row r="4310">
      <c r="A4310" s="1">
        <v>43492.432628587965</v>
      </c>
      <c r="B4310" s="2">
        <v>673.0</v>
      </c>
      <c r="C4310" s="2" t="s">
        <v>189</v>
      </c>
    </row>
    <row r="4311">
      <c r="A4311" s="1">
        <v>43492.43271508101</v>
      </c>
      <c r="B4311" s="3" t="s">
        <v>9</v>
      </c>
      <c r="C4311" s="2" t="s">
        <v>10</v>
      </c>
    </row>
    <row r="4312">
      <c r="A4312" s="1">
        <v>43492.43279928241</v>
      </c>
      <c r="B4312" s="3" t="s">
        <v>51</v>
      </c>
      <c r="C4312" s="2" t="s">
        <v>52</v>
      </c>
    </row>
    <row r="4313">
      <c r="A4313" s="1">
        <v>43492.43368164352</v>
      </c>
      <c r="B4313" s="3" t="s">
        <v>44</v>
      </c>
      <c r="C4313" s="2" t="s">
        <v>45</v>
      </c>
    </row>
    <row r="4314">
      <c r="A4314" s="1">
        <v>43492.43379096065</v>
      </c>
      <c r="B4314" s="2">
        <v>611.0</v>
      </c>
      <c r="C4314" s="2" t="s">
        <v>143</v>
      </c>
    </row>
    <row r="4315">
      <c r="A4315" s="1">
        <v>43492.434398425925</v>
      </c>
      <c r="B4315" s="2">
        <v>254.0</v>
      </c>
      <c r="C4315" s="2" t="s">
        <v>132</v>
      </c>
    </row>
    <row r="4316">
      <c r="A4316" s="1">
        <v>43492.43471479167</v>
      </c>
      <c r="B4316" s="2">
        <v>643.0</v>
      </c>
      <c r="C4316" s="2" t="s">
        <v>166</v>
      </c>
    </row>
    <row r="4317">
      <c r="A4317" s="1">
        <v>43492.436280752314</v>
      </c>
      <c r="B4317" s="3" t="s">
        <v>42</v>
      </c>
      <c r="C4317" s="2" t="s">
        <v>43</v>
      </c>
    </row>
    <row r="4318">
      <c r="A4318" s="1">
        <v>43492.436815520836</v>
      </c>
      <c r="B4318" s="2">
        <v>208.0</v>
      </c>
      <c r="C4318" s="2" t="s">
        <v>182</v>
      </c>
    </row>
    <row r="4319">
      <c r="A4319" s="1">
        <v>43492.43759631945</v>
      </c>
      <c r="B4319" s="2">
        <v>667.0</v>
      </c>
      <c r="C4319" s="2" t="s">
        <v>73</v>
      </c>
    </row>
    <row r="4320">
      <c r="A4320" s="1">
        <v>43492.43771891204</v>
      </c>
      <c r="B4320" s="3" t="s">
        <v>150</v>
      </c>
      <c r="C4320" s="2" t="s">
        <v>151</v>
      </c>
    </row>
    <row r="4321">
      <c r="A4321" s="1">
        <v>43492.438039976856</v>
      </c>
      <c r="B4321" s="3" t="s">
        <v>88</v>
      </c>
      <c r="C4321" s="2" t="s">
        <v>89</v>
      </c>
    </row>
    <row r="4322">
      <c r="A4322" s="1">
        <v>43492.43930092592</v>
      </c>
      <c r="B4322" s="3" t="s">
        <v>80</v>
      </c>
      <c r="C4322" s="2" t="s">
        <v>81</v>
      </c>
    </row>
    <row r="4323">
      <c r="A4323" s="1">
        <v>43492.43946170139</v>
      </c>
      <c r="B4323" s="2">
        <v>653.0</v>
      </c>
      <c r="C4323" s="2" t="s">
        <v>77</v>
      </c>
    </row>
    <row r="4324">
      <c r="A4324" s="1">
        <v>43492.43993552083</v>
      </c>
      <c r="B4324" s="2">
        <v>52.0</v>
      </c>
      <c r="C4324" s="2" t="s">
        <v>41</v>
      </c>
    </row>
    <row r="4325">
      <c r="A4325" s="1">
        <v>43492.44016212963</v>
      </c>
      <c r="B4325" s="2">
        <v>124.0</v>
      </c>
      <c r="C4325" s="2" t="s">
        <v>107</v>
      </c>
    </row>
    <row r="4326">
      <c r="A4326" s="1">
        <v>43492.440481921294</v>
      </c>
      <c r="B4326" s="2">
        <v>210.0</v>
      </c>
      <c r="C4326" s="2" t="s">
        <v>64</v>
      </c>
    </row>
    <row r="4327">
      <c r="A4327" s="1">
        <v>43492.44269246528</v>
      </c>
      <c r="B4327" s="3" t="s">
        <v>119</v>
      </c>
      <c r="C4327" s="2" t="s">
        <v>120</v>
      </c>
    </row>
    <row r="4328">
      <c r="A4328" s="1">
        <v>43492.44300827546</v>
      </c>
      <c r="B4328" s="3" t="s">
        <v>9</v>
      </c>
      <c r="C4328" s="2" t="s">
        <v>10</v>
      </c>
    </row>
    <row r="4329">
      <c r="A4329" s="1">
        <v>43492.44317453704</v>
      </c>
      <c r="B4329" s="2">
        <v>708.0</v>
      </c>
      <c r="C4329" s="2" t="s">
        <v>4</v>
      </c>
      <c r="D4329" s="2" t="s">
        <v>5</v>
      </c>
    </row>
    <row r="4330">
      <c r="A4330" s="1">
        <v>43492.443272476856</v>
      </c>
      <c r="B4330" s="2">
        <v>710.0</v>
      </c>
      <c r="C4330" s="2" t="s">
        <v>21</v>
      </c>
      <c r="D4330" s="2" t="s">
        <v>5</v>
      </c>
    </row>
    <row r="4331">
      <c r="A4331" s="1">
        <v>43492.443349849535</v>
      </c>
      <c r="B4331" s="2">
        <v>709.0</v>
      </c>
      <c r="C4331" s="2" t="s">
        <v>20</v>
      </c>
      <c r="D4331" s="2" t="s">
        <v>5</v>
      </c>
    </row>
    <row r="4332">
      <c r="A4332" s="1">
        <v>43492.444720983796</v>
      </c>
      <c r="B4332" s="2">
        <v>253.0</v>
      </c>
      <c r="C4332" s="2" t="s">
        <v>138</v>
      </c>
    </row>
    <row r="4333">
      <c r="A4333" s="1">
        <v>43492.44515487269</v>
      </c>
      <c r="B4333" s="2">
        <v>604.0</v>
      </c>
      <c r="C4333" s="2" t="s">
        <v>36</v>
      </c>
    </row>
    <row r="4334">
      <c r="A4334" s="1">
        <v>43492.44679104167</v>
      </c>
      <c r="B4334" s="2">
        <v>733.0</v>
      </c>
      <c r="C4334" s="2" t="s">
        <v>110</v>
      </c>
      <c r="D4334" s="2" t="s">
        <v>5</v>
      </c>
    </row>
    <row r="4335">
      <c r="A4335" s="1">
        <v>43492.44694621528</v>
      </c>
      <c r="B4335" s="2">
        <v>663.0</v>
      </c>
      <c r="C4335" s="2" t="s">
        <v>109</v>
      </c>
    </row>
    <row r="4336">
      <c r="A4336" s="1">
        <v>43492.447072118055</v>
      </c>
      <c r="B4336" s="2">
        <v>618.0</v>
      </c>
      <c r="C4336" s="2" t="s">
        <v>147</v>
      </c>
    </row>
    <row r="4337">
      <c r="A4337" s="1">
        <v>43492.45560591435</v>
      </c>
      <c r="B4337" s="3" t="s">
        <v>42</v>
      </c>
      <c r="C4337" s="2" t="s">
        <v>43</v>
      </c>
    </row>
    <row r="4338">
      <c r="A4338" s="1">
        <v>43492.45592619213</v>
      </c>
      <c r="B4338" s="3" t="s">
        <v>42</v>
      </c>
      <c r="C4338" s="2" t="s">
        <v>43</v>
      </c>
    </row>
    <row r="4339">
      <c r="A4339" s="1">
        <v>43492.45751119213</v>
      </c>
      <c r="B4339" s="3" t="s">
        <v>98</v>
      </c>
      <c r="C4339" s="2" t="s">
        <v>99</v>
      </c>
    </row>
    <row r="4340">
      <c r="A4340" s="1">
        <v>43492.45769502315</v>
      </c>
      <c r="B4340" s="2">
        <v>726.0</v>
      </c>
      <c r="C4340" s="2" t="s">
        <v>101</v>
      </c>
      <c r="D4340" s="2" t="s">
        <v>5</v>
      </c>
    </row>
    <row r="4341">
      <c r="A4341" s="1">
        <v>43492.457979432875</v>
      </c>
      <c r="B4341" s="2">
        <v>732.0</v>
      </c>
      <c r="C4341" s="2" t="s">
        <v>102</v>
      </c>
      <c r="D4341" s="2" t="s">
        <v>5</v>
      </c>
    </row>
    <row r="4342">
      <c r="A4342" s="1">
        <v>43492.47116375</v>
      </c>
      <c r="B4342" s="2">
        <v>237.0</v>
      </c>
      <c r="C4342" s="2" t="s">
        <v>140</v>
      </c>
    </row>
    <row r="4343">
      <c r="A4343" s="1">
        <v>43492.47132084491</v>
      </c>
      <c r="B4343" s="2">
        <v>157.0</v>
      </c>
      <c r="C4343" s="2" t="s">
        <v>141</v>
      </c>
    </row>
    <row r="4344">
      <c r="A4344" s="1">
        <v>43492.47150581019</v>
      </c>
      <c r="B4344" s="2">
        <v>705.0</v>
      </c>
      <c r="C4344" s="2" t="s">
        <v>168</v>
      </c>
      <c r="D4344" s="2" t="s">
        <v>5</v>
      </c>
    </row>
    <row r="4345">
      <c r="A4345" s="1">
        <v>43494.673969236115</v>
      </c>
      <c r="B4345" s="2">
        <v>734.0</v>
      </c>
      <c r="C4345" s="2" t="s">
        <v>63</v>
      </c>
      <c r="D4345" s="2" t="s">
        <v>5</v>
      </c>
    </row>
    <row r="4346">
      <c r="A4346" s="1">
        <v>43494.67466584491</v>
      </c>
      <c r="B4346" s="2">
        <v>734.0</v>
      </c>
      <c r="C4346" s="2" t="s">
        <v>63</v>
      </c>
      <c r="D4346" s="2" t="s">
        <v>5</v>
      </c>
    </row>
    <row r="4347">
      <c r="A4347" s="1">
        <v>43494.695330138886</v>
      </c>
      <c r="B4347" s="2">
        <v>721.0</v>
      </c>
      <c r="C4347" s="2" t="s">
        <v>156</v>
      </c>
      <c r="D4347" s="2" t="s">
        <v>5</v>
      </c>
    </row>
    <row r="4348">
      <c r="A4348" s="1">
        <v>43494.9903942824</v>
      </c>
      <c r="B4348" s="2">
        <v>602.0</v>
      </c>
      <c r="C4348" s="2" t="s">
        <v>131</v>
      </c>
    </row>
    <row r="4349">
      <c r="A4349" s="1">
        <v>43494.99975271991</v>
      </c>
      <c r="B4349" s="2">
        <v>720.0</v>
      </c>
      <c r="C4349" s="2" t="s">
        <v>155</v>
      </c>
      <c r="D4349" s="2" t="s">
        <v>5</v>
      </c>
    </row>
    <row r="4350">
      <c r="A4350" s="1">
        <v>43495.49014877315</v>
      </c>
      <c r="B4350" s="2">
        <v>621.0</v>
      </c>
      <c r="C4350" s="2" t="s">
        <v>215</v>
      </c>
    </row>
    <row r="4351">
      <c r="A4351" s="1">
        <v>43495.49075726852</v>
      </c>
      <c r="B4351" s="2">
        <v>720.0</v>
      </c>
      <c r="C4351" s="2" t="s">
        <v>155</v>
      </c>
      <c r="D4351" s="2" t="s">
        <v>5</v>
      </c>
    </row>
    <row r="4352">
      <c r="A4352" s="1">
        <v>43495.492148564816</v>
      </c>
      <c r="B4352" s="3" t="s">
        <v>32</v>
      </c>
      <c r="C4352" s="2" t="s">
        <v>33</v>
      </c>
    </row>
    <row r="4353">
      <c r="A4353" s="1">
        <v>43495.49233454861</v>
      </c>
      <c r="B4353" s="2">
        <v>602.0</v>
      </c>
      <c r="C4353" s="2" t="s">
        <v>131</v>
      </c>
    </row>
    <row r="4354">
      <c r="A4354" s="1">
        <v>43495.492545891204</v>
      </c>
      <c r="B4354" s="2">
        <v>173.0</v>
      </c>
      <c r="C4354" s="2" t="s">
        <v>24</v>
      </c>
    </row>
    <row r="4355">
      <c r="A4355" s="1">
        <v>43495.57142518519</v>
      </c>
      <c r="B4355" s="2">
        <v>621.0</v>
      </c>
      <c r="C4355" s="2" t="s">
        <v>215</v>
      </c>
    </row>
    <row r="4356">
      <c r="A4356" s="1">
        <v>43495.5943019213</v>
      </c>
      <c r="B4356" s="2">
        <v>252.0</v>
      </c>
      <c r="C4356" s="2" t="s">
        <v>34</v>
      </c>
    </row>
    <row r="4357">
      <c r="A4357" s="1">
        <v>43495.596758078704</v>
      </c>
      <c r="B4357" s="2">
        <v>603.0</v>
      </c>
      <c r="C4357" s="2" t="s">
        <v>40</v>
      </c>
    </row>
    <row r="4358">
      <c r="A4358" s="1">
        <v>43499.41771530092</v>
      </c>
      <c r="B4358" s="2">
        <v>253.0</v>
      </c>
      <c r="C4358" s="2" t="s">
        <v>138</v>
      </c>
    </row>
    <row r="4359">
      <c r="A4359" s="1">
        <v>43499.41822261574</v>
      </c>
      <c r="B4359" s="2">
        <v>722.0</v>
      </c>
      <c r="C4359" s="2" t="s">
        <v>25</v>
      </c>
      <c r="D4359" s="2" t="s">
        <v>5</v>
      </c>
    </row>
    <row r="4360">
      <c r="A4360" s="1">
        <v>43499.41849207176</v>
      </c>
      <c r="B4360" s="2">
        <v>246.0</v>
      </c>
      <c r="C4360" s="2" t="s">
        <v>26</v>
      </c>
    </row>
    <row r="4361">
      <c r="A4361" s="1">
        <v>43499.41866321759</v>
      </c>
      <c r="B4361" s="2">
        <v>165.0</v>
      </c>
      <c r="C4361" s="2" t="s">
        <v>50</v>
      </c>
    </row>
    <row r="4362">
      <c r="A4362" s="1">
        <v>43499.418921226854</v>
      </c>
      <c r="B4362" s="2">
        <v>165.0</v>
      </c>
      <c r="C4362" s="2" t="s">
        <v>50</v>
      </c>
    </row>
    <row r="4363">
      <c r="A4363" s="1">
        <v>43499.41893550926</v>
      </c>
      <c r="B4363" s="2">
        <v>614.0</v>
      </c>
      <c r="C4363" s="2" t="s">
        <v>76</v>
      </c>
    </row>
    <row r="4364">
      <c r="A4364" s="1">
        <v>43499.41896804398</v>
      </c>
      <c r="B4364" s="2">
        <v>165.0</v>
      </c>
      <c r="C4364" s="2" t="s">
        <v>50</v>
      </c>
    </row>
    <row r="4365">
      <c r="A4365" s="1">
        <v>43499.41961729167</v>
      </c>
      <c r="B4365" s="2">
        <v>601.0</v>
      </c>
      <c r="C4365" s="2" t="s">
        <v>125</v>
      </c>
    </row>
    <row r="4366">
      <c r="A4366" s="1">
        <v>43499.42013945602</v>
      </c>
      <c r="B4366" s="2">
        <v>601.0</v>
      </c>
      <c r="C4366" s="2" t="s">
        <v>125</v>
      </c>
    </row>
    <row r="4367">
      <c r="A4367" s="1">
        <v>43499.42014883102</v>
      </c>
      <c r="B4367" s="3" t="s">
        <v>159</v>
      </c>
      <c r="C4367" s="2" t="s">
        <v>160</v>
      </c>
    </row>
    <row r="4368">
      <c r="A4368" s="1">
        <v>43499.4201903588</v>
      </c>
      <c r="B4368" s="2">
        <v>601.0</v>
      </c>
      <c r="C4368" s="2" t="s">
        <v>125</v>
      </c>
    </row>
    <row r="4369">
      <c r="A4369" s="1">
        <v>43499.42036606482</v>
      </c>
      <c r="B4369" s="2">
        <v>643.0</v>
      </c>
      <c r="C4369" s="2" t="s">
        <v>166</v>
      </c>
    </row>
    <row r="4370">
      <c r="A4370" s="1">
        <v>43499.420559791666</v>
      </c>
      <c r="B4370" s="2">
        <v>167.0</v>
      </c>
      <c r="C4370" s="2" t="s">
        <v>39</v>
      </c>
    </row>
    <row r="4371">
      <c r="A4371" s="1">
        <v>43499.420758796296</v>
      </c>
      <c r="B4371" s="2">
        <v>603.0</v>
      </c>
      <c r="C4371" s="2" t="s">
        <v>40</v>
      </c>
    </row>
    <row r="4372">
      <c r="A4372" s="1">
        <v>43499.42177526621</v>
      </c>
      <c r="B4372" s="3" t="s">
        <v>88</v>
      </c>
      <c r="C4372" s="2" t="s">
        <v>89</v>
      </c>
    </row>
    <row r="4373">
      <c r="A4373" s="1">
        <v>43499.42497375</v>
      </c>
      <c r="B4373" s="3" t="s">
        <v>186</v>
      </c>
      <c r="C4373" s="2" t="s">
        <v>187</v>
      </c>
    </row>
    <row r="4374">
      <c r="A4374" s="1">
        <v>43499.42623034722</v>
      </c>
      <c r="B4374" s="2">
        <v>193.0</v>
      </c>
      <c r="C4374" s="2" t="s">
        <v>30</v>
      </c>
    </row>
    <row r="4375">
      <c r="A4375" s="1">
        <v>43499.426397187504</v>
      </c>
      <c r="B4375" s="2">
        <v>632.0</v>
      </c>
      <c r="C4375" s="2" t="s">
        <v>146</v>
      </c>
    </row>
    <row r="4376">
      <c r="A4376" s="1">
        <v>43499.426608379625</v>
      </c>
      <c r="B4376" s="2">
        <v>219.0</v>
      </c>
      <c r="C4376" s="2" t="s">
        <v>31</v>
      </c>
    </row>
    <row r="4377">
      <c r="A4377" s="1">
        <v>43499.42698878472</v>
      </c>
      <c r="B4377" s="2">
        <v>207.0</v>
      </c>
      <c r="C4377" s="2" t="s">
        <v>85</v>
      </c>
    </row>
    <row r="4378">
      <c r="A4378" s="1">
        <v>43499.42730318287</v>
      </c>
      <c r="B4378" s="2">
        <v>193.0</v>
      </c>
      <c r="C4378" s="2" t="s">
        <v>30</v>
      </c>
    </row>
    <row r="4379">
      <c r="A4379" s="1">
        <v>43499.427318194445</v>
      </c>
      <c r="B4379" s="2">
        <v>193.0</v>
      </c>
      <c r="C4379" s="2" t="s">
        <v>30</v>
      </c>
    </row>
    <row r="4380">
      <c r="A4380" s="1">
        <v>43499.42737123843</v>
      </c>
      <c r="B4380" s="2">
        <v>193.0</v>
      </c>
      <c r="C4380" s="2" t="s">
        <v>30</v>
      </c>
    </row>
    <row r="4381">
      <c r="A4381" s="1">
        <v>43499.42833082176</v>
      </c>
      <c r="B4381" s="2">
        <v>611.0</v>
      </c>
      <c r="C4381" s="2" t="s">
        <v>143</v>
      </c>
    </row>
    <row r="4382">
      <c r="A4382" s="1">
        <v>43499.42858395833</v>
      </c>
      <c r="B4382" s="2">
        <v>244.0</v>
      </c>
      <c r="C4382" s="2" t="s">
        <v>38</v>
      </c>
    </row>
    <row r="4383">
      <c r="A4383" s="1">
        <v>43499.42936422453</v>
      </c>
      <c r="B4383" s="3" t="s">
        <v>111</v>
      </c>
      <c r="C4383" s="2" t="s">
        <v>112</v>
      </c>
    </row>
    <row r="4384">
      <c r="A4384" s="1">
        <v>43499.43011568287</v>
      </c>
      <c r="B4384" s="3" t="s">
        <v>22</v>
      </c>
      <c r="C4384" s="2" t="s">
        <v>23</v>
      </c>
    </row>
    <row r="4385">
      <c r="A4385" s="1">
        <v>43499.430305</v>
      </c>
      <c r="B4385" s="2">
        <v>232.0</v>
      </c>
      <c r="C4385" s="2" t="s">
        <v>216</v>
      </c>
    </row>
    <row r="4386">
      <c r="A4386" s="1">
        <v>43499.4304</v>
      </c>
      <c r="B4386" s="2">
        <v>231.0</v>
      </c>
      <c r="C4386" s="2" t="s">
        <v>61</v>
      </c>
    </row>
    <row r="4387">
      <c r="A4387" s="1">
        <v>43499.43091969907</v>
      </c>
      <c r="B4387" s="3" t="s">
        <v>103</v>
      </c>
      <c r="C4387" s="2" t="s">
        <v>104</v>
      </c>
    </row>
    <row r="4388">
      <c r="A4388" s="1">
        <v>43499.43112459491</v>
      </c>
      <c r="B4388" s="2">
        <v>735.0</v>
      </c>
      <c r="C4388" s="2" t="s">
        <v>37</v>
      </c>
      <c r="D4388" s="2" t="s">
        <v>5</v>
      </c>
    </row>
    <row r="4389">
      <c r="A4389" s="1">
        <v>43499.43141592592</v>
      </c>
      <c r="B4389" s="2">
        <v>736.0</v>
      </c>
      <c r="C4389" s="2" t="s">
        <v>175</v>
      </c>
      <c r="D4389" s="2" t="s">
        <v>5</v>
      </c>
    </row>
    <row r="4390">
      <c r="A4390" s="1">
        <v>43499.43152996528</v>
      </c>
      <c r="B4390" s="2">
        <v>737.0</v>
      </c>
      <c r="C4390" s="2" t="s">
        <v>176</v>
      </c>
      <c r="D4390" s="2" t="s">
        <v>5</v>
      </c>
    </row>
    <row r="4391">
      <c r="A4391" s="1">
        <v>43499.43179015046</v>
      </c>
      <c r="B4391" s="2">
        <v>649.0</v>
      </c>
      <c r="C4391" s="2" t="s">
        <v>177</v>
      </c>
    </row>
    <row r="4392">
      <c r="A4392" s="1">
        <v>43499.4319068287</v>
      </c>
      <c r="B4392" s="2">
        <v>648.0</v>
      </c>
      <c r="C4392" s="2" t="s">
        <v>207</v>
      </c>
    </row>
    <row r="4393">
      <c r="A4393" s="1">
        <v>43499.43208666667</v>
      </c>
      <c r="B4393" s="2">
        <v>113.0</v>
      </c>
      <c r="C4393" s="2" t="s">
        <v>29</v>
      </c>
    </row>
    <row r="4394">
      <c r="A4394" s="1">
        <v>43499.43221179398</v>
      </c>
      <c r="B4394" s="3" t="s">
        <v>80</v>
      </c>
      <c r="C4394" s="2" t="s">
        <v>81</v>
      </c>
    </row>
    <row r="4395">
      <c r="A4395" s="1">
        <v>43499.43230712963</v>
      </c>
      <c r="B4395" s="3" t="s">
        <v>51</v>
      </c>
      <c r="C4395" s="2" t="s">
        <v>52</v>
      </c>
    </row>
    <row r="4396">
      <c r="A4396" s="1">
        <v>43499.43382423611</v>
      </c>
      <c r="B4396" s="2">
        <v>618.0</v>
      </c>
      <c r="C4396" s="2" t="s">
        <v>147</v>
      </c>
    </row>
    <row r="4397">
      <c r="A4397" s="1">
        <v>43499.43491699074</v>
      </c>
      <c r="B4397" s="2">
        <v>175.0</v>
      </c>
      <c r="C4397" s="2" t="s">
        <v>69</v>
      </c>
    </row>
    <row r="4398">
      <c r="A4398" s="1">
        <v>43499.43511038194</v>
      </c>
      <c r="B4398" s="2">
        <v>604.0</v>
      </c>
      <c r="C4398" s="2" t="s">
        <v>36</v>
      </c>
    </row>
    <row r="4399">
      <c r="A4399" s="1">
        <v>43499.43532853009</v>
      </c>
      <c r="B4399" s="2">
        <v>158.0</v>
      </c>
      <c r="C4399" s="2" t="s">
        <v>62</v>
      </c>
    </row>
    <row r="4400">
      <c r="A4400" s="1">
        <v>43499.43566282408</v>
      </c>
      <c r="B4400" s="2">
        <v>201.0</v>
      </c>
      <c r="C4400" s="2" t="s">
        <v>70</v>
      </c>
    </row>
    <row r="4401">
      <c r="A4401" s="1">
        <v>43499.43589612268</v>
      </c>
      <c r="B4401" s="2">
        <v>618.0</v>
      </c>
      <c r="C4401" s="2" t="s">
        <v>147</v>
      </c>
    </row>
    <row r="4402">
      <c r="A4402" s="1">
        <v>43499.43596771991</v>
      </c>
      <c r="B4402" s="3" t="s">
        <v>162</v>
      </c>
      <c r="C4402" s="2" t="s">
        <v>163</v>
      </c>
    </row>
    <row r="4403">
      <c r="A4403" s="1">
        <v>43499.436013611106</v>
      </c>
      <c r="B4403" s="2">
        <v>653.0</v>
      </c>
      <c r="C4403" s="2" t="s">
        <v>77</v>
      </c>
    </row>
    <row r="4404">
      <c r="A4404" s="1">
        <v>43499.43601474537</v>
      </c>
      <c r="B4404" s="3" t="s">
        <v>162</v>
      </c>
      <c r="C4404" s="2" t="s">
        <v>163</v>
      </c>
    </row>
    <row r="4405">
      <c r="A4405" s="1">
        <v>43499.43615517361</v>
      </c>
      <c r="B4405" s="2">
        <v>160.0</v>
      </c>
      <c r="C4405" s="2" t="s">
        <v>154</v>
      </c>
    </row>
    <row r="4406">
      <c r="A4406" s="1">
        <v>43499.43617010416</v>
      </c>
      <c r="B4406" s="2">
        <v>160.0</v>
      </c>
      <c r="C4406" s="2" t="s">
        <v>154</v>
      </c>
    </row>
    <row r="4407">
      <c r="A4407" s="1">
        <v>43499.43626011574</v>
      </c>
      <c r="B4407" s="2">
        <v>720.0</v>
      </c>
      <c r="C4407" s="2" t="s">
        <v>155</v>
      </c>
      <c r="D4407" s="2" t="s">
        <v>5</v>
      </c>
    </row>
    <row r="4408">
      <c r="A4408" s="1">
        <v>43499.43632784722</v>
      </c>
      <c r="B4408" s="2">
        <v>720.0</v>
      </c>
      <c r="C4408" s="2" t="s">
        <v>155</v>
      </c>
      <c r="D4408" s="2" t="s">
        <v>5</v>
      </c>
    </row>
    <row r="4409">
      <c r="A4409" s="1">
        <v>43499.43641023149</v>
      </c>
      <c r="B4409" s="2">
        <v>721.0</v>
      </c>
      <c r="C4409" s="2" t="s">
        <v>156</v>
      </c>
      <c r="D4409" s="2" t="s">
        <v>5</v>
      </c>
    </row>
    <row r="4410">
      <c r="A4410" s="1">
        <v>43499.436438414356</v>
      </c>
      <c r="B4410" s="2">
        <v>721.0</v>
      </c>
      <c r="C4410" s="2" t="s">
        <v>156</v>
      </c>
      <c r="D4410" s="2" t="s">
        <v>5</v>
      </c>
    </row>
    <row r="4411">
      <c r="A4411" s="1">
        <v>43499.43645111111</v>
      </c>
      <c r="B4411" s="2">
        <v>667.0</v>
      </c>
      <c r="C4411" s="2" t="s">
        <v>73</v>
      </c>
    </row>
    <row r="4412">
      <c r="A4412" s="1">
        <v>43499.43653924769</v>
      </c>
      <c r="B4412" s="2">
        <v>706.0</v>
      </c>
      <c r="C4412" s="2" t="s">
        <v>149</v>
      </c>
      <c r="D4412" s="2" t="s">
        <v>5</v>
      </c>
    </row>
    <row r="4413">
      <c r="A4413" s="1">
        <v>43499.43662537037</v>
      </c>
      <c r="B4413" s="3" t="s">
        <v>150</v>
      </c>
      <c r="C4413" s="2" t="s">
        <v>151</v>
      </c>
    </row>
    <row r="4414">
      <c r="A4414" s="1">
        <v>43499.43747009259</v>
      </c>
      <c r="B4414" s="2">
        <v>667.0</v>
      </c>
      <c r="C4414" s="2" t="s">
        <v>73</v>
      </c>
    </row>
    <row r="4415">
      <c r="A4415" s="1">
        <v>43499.4375909838</v>
      </c>
      <c r="B4415" s="2">
        <v>706.0</v>
      </c>
      <c r="C4415" s="2" t="s">
        <v>149</v>
      </c>
      <c r="D4415" s="2" t="s">
        <v>5</v>
      </c>
    </row>
    <row r="4416">
      <c r="A4416" s="1">
        <v>43499.437688645834</v>
      </c>
      <c r="B4416" s="3" t="s">
        <v>150</v>
      </c>
      <c r="C4416" s="2" t="s">
        <v>151</v>
      </c>
    </row>
    <row r="4417">
      <c r="A4417" s="1">
        <v>43499.43771938657</v>
      </c>
      <c r="B4417" s="2">
        <v>267.0</v>
      </c>
      <c r="C4417" s="2" t="s">
        <v>115</v>
      </c>
    </row>
    <row r="4418">
      <c r="A4418" s="1">
        <v>43499.43781523148</v>
      </c>
      <c r="B4418" s="3" t="s">
        <v>74</v>
      </c>
      <c r="C4418" s="2" t="s">
        <v>75</v>
      </c>
    </row>
    <row r="4419">
      <c r="A4419" s="1">
        <v>43499.43809328704</v>
      </c>
      <c r="B4419" s="2">
        <v>160.0</v>
      </c>
      <c r="C4419" s="2" t="s">
        <v>154</v>
      </c>
    </row>
    <row r="4420">
      <c r="A4420" s="1">
        <v>43499.43827991898</v>
      </c>
      <c r="B4420" s="2">
        <v>602.0</v>
      </c>
      <c r="C4420" s="2" t="s">
        <v>131</v>
      </c>
    </row>
    <row r="4421">
      <c r="A4421" s="1">
        <v>43499.438621747686</v>
      </c>
      <c r="B4421" s="2">
        <v>52.0</v>
      </c>
      <c r="C4421" s="2" t="s">
        <v>41</v>
      </c>
    </row>
    <row r="4422">
      <c r="A4422" s="1">
        <v>43499.43876097222</v>
      </c>
      <c r="B4422" s="3" t="s">
        <v>44</v>
      </c>
      <c r="C4422" s="2" t="s">
        <v>45</v>
      </c>
    </row>
    <row r="4423">
      <c r="A4423" s="1">
        <v>43499.43934787037</v>
      </c>
      <c r="B4423" s="2">
        <v>208.0</v>
      </c>
      <c r="C4423" s="2" t="s">
        <v>182</v>
      </c>
    </row>
    <row r="4424">
      <c r="A4424" s="1">
        <v>43499.43976704861</v>
      </c>
      <c r="B4424" s="2">
        <v>147.0</v>
      </c>
      <c r="C4424" s="2" t="s">
        <v>100</v>
      </c>
    </row>
    <row r="4425">
      <c r="A4425" s="1">
        <v>43499.439904467596</v>
      </c>
      <c r="B4425" s="3" t="s">
        <v>98</v>
      </c>
      <c r="C4425" s="2" t="s">
        <v>99</v>
      </c>
    </row>
    <row r="4426">
      <c r="A4426" s="1">
        <v>43499.44006168982</v>
      </c>
      <c r="B4426" s="2">
        <v>726.0</v>
      </c>
      <c r="C4426" s="2" t="s">
        <v>101</v>
      </c>
      <c r="D4426" s="2" t="s">
        <v>5</v>
      </c>
    </row>
    <row r="4427">
      <c r="A4427" s="1">
        <v>43499.44017671296</v>
      </c>
      <c r="B4427" s="2">
        <v>732.0</v>
      </c>
      <c r="C4427" s="2" t="s">
        <v>102</v>
      </c>
      <c r="D4427" s="2" t="s">
        <v>5</v>
      </c>
    </row>
    <row r="4428">
      <c r="A4428" s="1">
        <v>43499.441998159724</v>
      </c>
      <c r="B4428" s="2">
        <v>624.0</v>
      </c>
      <c r="C4428" s="2" t="s">
        <v>90</v>
      </c>
    </row>
    <row r="4429">
      <c r="A4429" s="1">
        <v>43499.44474348379</v>
      </c>
      <c r="B4429" s="2">
        <v>260.0</v>
      </c>
      <c r="C4429" s="2" t="s">
        <v>67</v>
      </c>
    </row>
    <row r="4430">
      <c r="A4430" s="1">
        <v>43499.44483208333</v>
      </c>
      <c r="B4430" s="2">
        <v>259.0</v>
      </c>
      <c r="C4430" s="2" t="s">
        <v>66</v>
      </c>
    </row>
    <row r="4431">
      <c r="A4431" s="1">
        <v>43499.445307766204</v>
      </c>
      <c r="B4431" s="2">
        <v>734.0</v>
      </c>
      <c r="C4431" s="2" t="s">
        <v>63</v>
      </c>
      <c r="D4431" s="2" t="s">
        <v>5</v>
      </c>
    </row>
    <row r="4432">
      <c r="A4432" s="1">
        <v>43499.447365706015</v>
      </c>
      <c r="B4432" s="3" t="s">
        <v>42</v>
      </c>
      <c r="C4432" s="2" t="s">
        <v>43</v>
      </c>
    </row>
    <row r="4433">
      <c r="A4433" s="1">
        <v>43499.449620011575</v>
      </c>
      <c r="B4433" s="2">
        <v>124.0</v>
      </c>
      <c r="C4433" s="2" t="s">
        <v>107</v>
      </c>
    </row>
    <row r="4434">
      <c r="A4434" s="1">
        <v>43499.451154849536</v>
      </c>
      <c r="B4434" s="2">
        <v>101.0</v>
      </c>
      <c r="C4434" s="2" t="s">
        <v>108</v>
      </c>
    </row>
    <row r="4435">
      <c r="A4435" s="1">
        <v>43499.45129077546</v>
      </c>
      <c r="B4435" s="3" t="s">
        <v>113</v>
      </c>
      <c r="C4435" s="2" t="s">
        <v>114</v>
      </c>
    </row>
    <row r="4436">
      <c r="A4436" s="1">
        <v>43499.45142111111</v>
      </c>
      <c r="B4436" s="2">
        <v>718.0</v>
      </c>
      <c r="C4436" s="2" t="s">
        <v>105</v>
      </c>
      <c r="D4436" s="2" t="s">
        <v>5</v>
      </c>
    </row>
    <row r="4437">
      <c r="A4437" s="1">
        <v>43499.45149869213</v>
      </c>
      <c r="B4437" s="2">
        <v>719.0</v>
      </c>
      <c r="C4437" s="2" t="s">
        <v>106</v>
      </c>
      <c r="D4437" s="2" t="s">
        <v>5</v>
      </c>
    </row>
    <row r="4438">
      <c r="A4438" s="1">
        <v>43499.45310550926</v>
      </c>
      <c r="B4438" s="2">
        <v>655.0</v>
      </c>
      <c r="C4438" s="2" t="s">
        <v>17</v>
      </c>
    </row>
    <row r="4439">
      <c r="A4439" s="1">
        <v>43499.46065633102</v>
      </c>
      <c r="B4439" s="2">
        <v>254.0</v>
      </c>
      <c r="C4439" s="2" t="s">
        <v>132</v>
      </c>
    </row>
    <row r="4440">
      <c r="A4440" s="1">
        <v>43499.46082616899</v>
      </c>
      <c r="B4440" s="2">
        <v>238.0</v>
      </c>
      <c r="C4440" s="2" t="s">
        <v>35</v>
      </c>
    </row>
    <row r="4441">
      <c r="A4441" s="1">
        <v>43499.46812892361</v>
      </c>
      <c r="B4441" s="2">
        <v>114.0</v>
      </c>
      <c r="C4441" s="2" t="s">
        <v>15</v>
      </c>
    </row>
    <row r="4442">
      <c r="A4442" s="1">
        <v>43499.46858508102</v>
      </c>
      <c r="B4442" s="3" t="s">
        <v>9</v>
      </c>
      <c r="C4442" s="2" t="s">
        <v>10</v>
      </c>
    </row>
    <row r="4443">
      <c r="A4443" s="1">
        <v>43499.46883359954</v>
      </c>
      <c r="B4443" s="2">
        <v>708.0</v>
      </c>
      <c r="C4443" s="2" t="s">
        <v>4</v>
      </c>
      <c r="D4443" s="2" t="s">
        <v>5</v>
      </c>
    </row>
    <row r="4444">
      <c r="A4444" s="1">
        <v>43499.46891623843</v>
      </c>
      <c r="B4444" s="2">
        <v>709.0</v>
      </c>
      <c r="C4444" s="2" t="s">
        <v>20</v>
      </c>
      <c r="D4444" s="2" t="s">
        <v>5</v>
      </c>
    </row>
    <row r="4445">
      <c r="A4445" s="1">
        <v>43499.469006342595</v>
      </c>
      <c r="B4445" s="2">
        <v>710.0</v>
      </c>
      <c r="C4445" s="2" t="s">
        <v>21</v>
      </c>
      <c r="D4445" s="2" t="s">
        <v>5</v>
      </c>
    </row>
    <row r="4446">
      <c r="A4446" s="1">
        <v>43503.133589756944</v>
      </c>
      <c r="B4446" s="2">
        <v>672.0</v>
      </c>
      <c r="C4446" s="2" t="s">
        <v>6</v>
      </c>
    </row>
    <row r="4447">
      <c r="A4447" s="1">
        <v>43503.13626798611</v>
      </c>
      <c r="B4447" s="3" t="s">
        <v>32</v>
      </c>
      <c r="C4447" s="2" t="s">
        <v>33</v>
      </c>
    </row>
    <row r="4448">
      <c r="A4448" s="1">
        <v>43503.13778775463</v>
      </c>
      <c r="B4448" s="2">
        <v>654.0</v>
      </c>
      <c r="C4448" s="2" t="s">
        <v>115</v>
      </c>
    </row>
    <row r="4449">
      <c r="A4449" s="1">
        <v>43503.139066539356</v>
      </c>
      <c r="B4449" s="2">
        <v>219.0</v>
      </c>
      <c r="C4449" s="2" t="s">
        <v>31</v>
      </c>
    </row>
    <row r="4450">
      <c r="A4450" s="1">
        <v>43506.41303127314</v>
      </c>
      <c r="B4450" s="2">
        <v>157.0</v>
      </c>
      <c r="C4450" s="2" t="s">
        <v>141</v>
      </c>
    </row>
    <row r="4451">
      <c r="A4451" s="1">
        <v>43506.41338745371</v>
      </c>
      <c r="B4451" s="2">
        <v>244.0</v>
      </c>
      <c r="C4451" s="2" t="s">
        <v>38</v>
      </c>
    </row>
    <row r="4452">
      <c r="A4452" s="1">
        <v>43506.414690543985</v>
      </c>
      <c r="B4452" s="2">
        <v>735.0</v>
      </c>
      <c r="C4452" s="2" t="s">
        <v>37</v>
      </c>
      <c r="D4452" s="2" t="s">
        <v>5</v>
      </c>
    </row>
    <row r="4453">
      <c r="A4453" s="1">
        <v>43506.414917118054</v>
      </c>
      <c r="B4453" s="2">
        <v>735.0</v>
      </c>
      <c r="C4453" s="2" t="s">
        <v>37</v>
      </c>
      <c r="D4453" s="2" t="s">
        <v>5</v>
      </c>
    </row>
    <row r="4454">
      <c r="A4454" s="1">
        <v>43506.416570208334</v>
      </c>
      <c r="B4454" s="2">
        <v>602.0</v>
      </c>
      <c r="C4454" s="2" t="s">
        <v>131</v>
      </c>
    </row>
    <row r="4455">
      <c r="A4455" s="1">
        <v>43506.417708611116</v>
      </c>
      <c r="B4455" s="2">
        <v>655.0</v>
      </c>
      <c r="C4455" s="2" t="s">
        <v>17</v>
      </c>
    </row>
    <row r="4456">
      <c r="A4456" s="1">
        <v>43506.421210960645</v>
      </c>
      <c r="B4456" s="3" t="s">
        <v>103</v>
      </c>
      <c r="C4456" s="2" t="s">
        <v>104</v>
      </c>
    </row>
    <row r="4457">
      <c r="A4457" s="1">
        <v>43506.426074143514</v>
      </c>
      <c r="B4457" s="3" t="s">
        <v>111</v>
      </c>
      <c r="C4457" s="2" t="s">
        <v>112</v>
      </c>
    </row>
    <row r="4458">
      <c r="A4458" s="1">
        <v>43506.426534432874</v>
      </c>
      <c r="B4458" s="2">
        <v>229.0</v>
      </c>
      <c r="C4458" s="2" t="s">
        <v>86</v>
      </c>
    </row>
    <row r="4459">
      <c r="A4459" s="1">
        <v>43506.42694127315</v>
      </c>
      <c r="B4459" s="3" t="s">
        <v>111</v>
      </c>
      <c r="C4459" s="2" t="s">
        <v>112</v>
      </c>
    </row>
    <row r="4460">
      <c r="A4460" s="1">
        <v>43506.42882909722</v>
      </c>
      <c r="B4460" s="3" t="s">
        <v>159</v>
      </c>
      <c r="C4460" s="2" t="s">
        <v>160</v>
      </c>
    </row>
    <row r="4461">
      <c r="A4461" s="1">
        <v>43506.42929878472</v>
      </c>
      <c r="B4461" s="2">
        <v>707.0</v>
      </c>
      <c r="C4461" s="2" t="s">
        <v>57</v>
      </c>
      <c r="D4461" s="2" t="s">
        <v>5</v>
      </c>
    </row>
    <row r="4462">
      <c r="A4462" s="1">
        <v>43506.4296155787</v>
      </c>
      <c r="B4462" s="3" t="s">
        <v>55</v>
      </c>
      <c r="C4462" s="2" t="s">
        <v>57</v>
      </c>
      <c r="D4462" s="2" t="s">
        <v>5</v>
      </c>
    </row>
    <row r="4463">
      <c r="A4463" s="1">
        <v>43506.429664814816</v>
      </c>
      <c r="B4463" s="2">
        <v>214.0</v>
      </c>
      <c r="C4463" s="2" t="s">
        <v>47</v>
      </c>
    </row>
    <row r="4464">
      <c r="A4464" s="1">
        <v>43506.42988836806</v>
      </c>
      <c r="B4464" s="3" t="s">
        <v>32</v>
      </c>
      <c r="C4464" s="2" t="s">
        <v>33</v>
      </c>
    </row>
    <row r="4465">
      <c r="A4465" s="1">
        <v>43506.42991228009</v>
      </c>
      <c r="B4465" s="2">
        <v>141.0</v>
      </c>
    </row>
    <row r="4466">
      <c r="A4466" s="1">
        <v>43506.430203194446</v>
      </c>
      <c r="B4466" s="2">
        <v>729.0</v>
      </c>
    </row>
    <row r="4467">
      <c r="A4467" s="1">
        <v>43506.43144204861</v>
      </c>
      <c r="B4467" s="2">
        <v>113.0</v>
      </c>
      <c r="C4467" s="2" t="s">
        <v>29</v>
      </c>
    </row>
    <row r="4468">
      <c r="A4468" s="1">
        <v>43506.431624652774</v>
      </c>
      <c r="B4468" s="2">
        <v>219.0</v>
      </c>
      <c r="C4468" s="2" t="s">
        <v>31</v>
      </c>
    </row>
    <row r="4469">
      <c r="A4469" s="1">
        <v>43506.43182987269</v>
      </c>
      <c r="B4469" s="2">
        <v>736.0</v>
      </c>
      <c r="C4469" s="2" t="s">
        <v>175</v>
      </c>
      <c r="D4469" s="2" t="s">
        <v>5</v>
      </c>
    </row>
    <row r="4470">
      <c r="A4470" s="1">
        <v>43506.43198284722</v>
      </c>
      <c r="B4470" s="2">
        <v>737.0</v>
      </c>
      <c r="C4470" s="2" t="s">
        <v>176</v>
      </c>
      <c r="D4470" s="2" t="s">
        <v>5</v>
      </c>
    </row>
    <row r="4471">
      <c r="A4471" s="1">
        <v>43506.43229423611</v>
      </c>
      <c r="B4471" s="3" t="s">
        <v>22</v>
      </c>
      <c r="C4471" s="2" t="s">
        <v>23</v>
      </c>
    </row>
    <row r="4472">
      <c r="A4472" s="1">
        <v>43506.43278274305</v>
      </c>
      <c r="B4472" s="2">
        <v>193.0</v>
      </c>
      <c r="C4472" s="2" t="s">
        <v>30</v>
      </c>
    </row>
    <row r="4473">
      <c r="A4473" s="1">
        <v>43506.43305824074</v>
      </c>
      <c r="B4473" s="2">
        <v>643.0</v>
      </c>
      <c r="C4473" s="2" t="s">
        <v>166</v>
      </c>
    </row>
    <row r="4474">
      <c r="A4474" s="1">
        <v>43506.433469317126</v>
      </c>
      <c r="B4474" s="2">
        <v>631.0</v>
      </c>
      <c r="C4474" s="2" t="s">
        <v>178</v>
      </c>
    </row>
    <row r="4475">
      <c r="A4475" s="1">
        <v>43506.433725787036</v>
      </c>
      <c r="B4475" s="2">
        <v>158.0</v>
      </c>
      <c r="C4475" s="2" t="s">
        <v>62</v>
      </c>
    </row>
    <row r="4476">
      <c r="A4476" s="1">
        <v>43506.43393460648</v>
      </c>
      <c r="B4476" s="2">
        <v>175.0</v>
      </c>
      <c r="C4476" s="2" t="s">
        <v>69</v>
      </c>
    </row>
    <row r="4477">
      <c r="A4477" s="1">
        <v>43506.434068194445</v>
      </c>
      <c r="B4477" s="3" t="s">
        <v>44</v>
      </c>
      <c r="C4477" s="2" t="s">
        <v>45</v>
      </c>
    </row>
    <row r="4478">
      <c r="A4478" s="1">
        <v>43506.434389745365</v>
      </c>
      <c r="B4478" s="2">
        <v>201.0</v>
      </c>
      <c r="C4478" s="2" t="s">
        <v>70</v>
      </c>
    </row>
    <row r="4479">
      <c r="A4479" s="1">
        <v>43506.43485658565</v>
      </c>
      <c r="B4479" s="2">
        <v>650.0</v>
      </c>
      <c r="C4479" s="2" t="s">
        <v>213</v>
      </c>
    </row>
    <row r="4480">
      <c r="A4480" s="1">
        <v>43506.43629715277</v>
      </c>
      <c r="B4480" s="2">
        <v>267.0</v>
      </c>
      <c r="C4480" s="2" t="s">
        <v>115</v>
      </c>
    </row>
    <row r="4481">
      <c r="A4481" s="1">
        <v>43506.43723805556</v>
      </c>
      <c r="B4481" s="2">
        <v>238.0</v>
      </c>
      <c r="C4481" s="2" t="s">
        <v>35</v>
      </c>
    </row>
    <row r="4482">
      <c r="A4482" s="1">
        <v>43506.43784675926</v>
      </c>
      <c r="B4482" s="2">
        <v>667.0</v>
      </c>
      <c r="C4482" s="2" t="s">
        <v>73</v>
      </c>
    </row>
    <row r="4483">
      <c r="A4483" s="1">
        <v>43506.437983634256</v>
      </c>
      <c r="B4483" s="2">
        <v>706.0</v>
      </c>
      <c r="C4483" s="2" t="s">
        <v>149</v>
      </c>
      <c r="D4483" s="2" t="s">
        <v>5</v>
      </c>
    </row>
    <row r="4484">
      <c r="A4484" s="1">
        <v>43506.438096134254</v>
      </c>
      <c r="B4484" s="3" t="s">
        <v>150</v>
      </c>
      <c r="C4484" s="2" t="s">
        <v>151</v>
      </c>
    </row>
    <row r="4485">
      <c r="A4485" s="1">
        <v>43506.43819158565</v>
      </c>
      <c r="B4485" s="3" t="s">
        <v>74</v>
      </c>
      <c r="C4485" s="2" t="s">
        <v>75</v>
      </c>
    </row>
    <row r="4486">
      <c r="A4486" s="1">
        <v>43506.4387450463</v>
      </c>
      <c r="B4486" s="2">
        <v>611.0</v>
      </c>
      <c r="C4486" s="2" t="s">
        <v>143</v>
      </c>
    </row>
    <row r="4487">
      <c r="A4487" s="1">
        <v>43506.43916835648</v>
      </c>
      <c r="B4487" s="3" t="s">
        <v>11</v>
      </c>
      <c r="C4487" s="2" t="s">
        <v>12</v>
      </c>
    </row>
    <row r="4488">
      <c r="A4488" s="1">
        <v>43506.439320509264</v>
      </c>
      <c r="B4488" s="2">
        <v>716.0</v>
      </c>
      <c r="C4488" s="2" t="s">
        <v>123</v>
      </c>
      <c r="D4488" s="2" t="s">
        <v>5</v>
      </c>
    </row>
    <row r="4489">
      <c r="A4489" s="1">
        <v>43506.43932564815</v>
      </c>
      <c r="B4489" s="2">
        <v>649.0</v>
      </c>
      <c r="C4489" s="2" t="s">
        <v>177</v>
      </c>
    </row>
    <row r="4490">
      <c r="A4490" s="1">
        <v>43506.43951621528</v>
      </c>
      <c r="B4490" s="3" t="s">
        <v>126</v>
      </c>
      <c r="C4490" s="2" t="s">
        <v>127</v>
      </c>
    </row>
    <row r="4491">
      <c r="A4491" s="1">
        <v>43506.440557766204</v>
      </c>
      <c r="B4491" s="2">
        <v>667.0</v>
      </c>
      <c r="C4491" s="2" t="s">
        <v>73</v>
      </c>
    </row>
    <row r="4492">
      <c r="A4492" s="1">
        <v>43506.440673668985</v>
      </c>
      <c r="B4492" s="2">
        <v>52.0</v>
      </c>
      <c r="C4492" s="2" t="s">
        <v>41</v>
      </c>
    </row>
    <row r="4493">
      <c r="A4493" s="1">
        <v>43506.440809699074</v>
      </c>
      <c r="B4493" s="2">
        <v>706.0</v>
      </c>
      <c r="C4493" s="2" t="s">
        <v>149</v>
      </c>
      <c r="D4493" s="2" t="s">
        <v>5</v>
      </c>
    </row>
    <row r="4494">
      <c r="A4494" s="1">
        <v>43506.44091042824</v>
      </c>
      <c r="B4494" s="3" t="s">
        <v>150</v>
      </c>
      <c r="C4494" s="2" t="s">
        <v>151</v>
      </c>
    </row>
    <row r="4495">
      <c r="A4495" s="1">
        <v>43506.44153159722</v>
      </c>
      <c r="B4495" s="2">
        <v>653.0</v>
      </c>
      <c r="C4495" s="2" t="s">
        <v>77</v>
      </c>
    </row>
    <row r="4496">
      <c r="A4496" s="1">
        <v>43506.44163526621</v>
      </c>
      <c r="B4496" s="2">
        <v>653.0</v>
      </c>
      <c r="C4496" s="2" t="s">
        <v>77</v>
      </c>
    </row>
    <row r="4497">
      <c r="A4497" s="1">
        <v>43506.44229126157</v>
      </c>
      <c r="B4497" s="3" t="s">
        <v>98</v>
      </c>
      <c r="C4497" s="2" t="s">
        <v>99</v>
      </c>
    </row>
    <row r="4498">
      <c r="A4498" s="1">
        <v>43506.44246118056</v>
      </c>
      <c r="B4498" s="2">
        <v>147.0</v>
      </c>
      <c r="C4498" s="2" t="s">
        <v>100</v>
      </c>
    </row>
    <row r="4499">
      <c r="A4499" s="1">
        <v>43506.44265394676</v>
      </c>
      <c r="B4499" s="2">
        <v>726.0</v>
      </c>
      <c r="C4499" s="2" t="s">
        <v>101</v>
      </c>
      <c r="D4499" s="2" t="s">
        <v>5</v>
      </c>
    </row>
    <row r="4500">
      <c r="A4500" s="1">
        <v>43506.442830416665</v>
      </c>
      <c r="B4500" s="2">
        <v>732.0</v>
      </c>
      <c r="C4500" s="2" t="s">
        <v>102</v>
      </c>
      <c r="D4500" s="2" t="s">
        <v>5</v>
      </c>
    </row>
    <row r="4501">
      <c r="A4501" s="1">
        <v>43506.44307005787</v>
      </c>
      <c r="B4501" s="3" t="s">
        <v>9</v>
      </c>
      <c r="C4501" s="2" t="s">
        <v>10</v>
      </c>
    </row>
    <row r="4502">
      <c r="A4502" s="1">
        <v>43506.44339569444</v>
      </c>
      <c r="B4502" s="2">
        <v>208.0</v>
      </c>
      <c r="C4502" s="2" t="s">
        <v>182</v>
      </c>
    </row>
    <row r="4503">
      <c r="A4503" s="1">
        <v>43506.443538657404</v>
      </c>
      <c r="B4503" s="2">
        <v>114.0</v>
      </c>
      <c r="C4503" s="2" t="s">
        <v>15</v>
      </c>
    </row>
    <row r="4504">
      <c r="A4504" s="1">
        <v>43506.44371398148</v>
      </c>
      <c r="B4504" s="2">
        <v>723.0</v>
      </c>
      <c r="C4504" s="2" t="s">
        <v>84</v>
      </c>
      <c r="D4504" s="2" t="s">
        <v>5</v>
      </c>
    </row>
    <row r="4505">
      <c r="A4505" s="1">
        <v>43506.445213969906</v>
      </c>
      <c r="B4505" s="2">
        <v>641.0</v>
      </c>
      <c r="C4505" s="2" t="s">
        <v>210</v>
      </c>
    </row>
    <row r="4506">
      <c r="A4506" s="1">
        <v>43506.445395891205</v>
      </c>
      <c r="B4506" s="3" t="s">
        <v>51</v>
      </c>
      <c r="C4506" s="2" t="s">
        <v>52</v>
      </c>
    </row>
    <row r="4507">
      <c r="A4507" s="1">
        <v>43506.45034027778</v>
      </c>
      <c r="B4507" s="2">
        <v>124.0</v>
      </c>
      <c r="C4507" s="2" t="s">
        <v>107</v>
      </c>
    </row>
    <row r="4508">
      <c r="A4508" s="1">
        <v>43506.45044814815</v>
      </c>
      <c r="B4508" s="3" t="s">
        <v>113</v>
      </c>
      <c r="C4508" s="2" t="s">
        <v>114</v>
      </c>
    </row>
    <row r="4509">
      <c r="A4509" s="1">
        <v>43506.45060577546</v>
      </c>
      <c r="B4509" s="2">
        <v>237.0</v>
      </c>
      <c r="C4509" s="2" t="s">
        <v>140</v>
      </c>
    </row>
    <row r="4510">
      <c r="A4510" s="1">
        <v>43506.45075716435</v>
      </c>
      <c r="B4510" s="2">
        <v>101.0</v>
      </c>
      <c r="C4510" s="2" t="s">
        <v>108</v>
      </c>
    </row>
    <row r="4511">
      <c r="A4511" s="1">
        <v>43506.450959027774</v>
      </c>
      <c r="B4511" s="2">
        <v>705.0</v>
      </c>
      <c r="C4511" s="2" t="s">
        <v>168</v>
      </c>
      <c r="D4511" s="2" t="s">
        <v>5</v>
      </c>
    </row>
    <row r="4512">
      <c r="A4512" s="1">
        <v>43506.45111045139</v>
      </c>
      <c r="B4512" s="2">
        <v>718.0</v>
      </c>
      <c r="C4512" s="2" t="s">
        <v>105</v>
      </c>
      <c r="D4512" s="2" t="s">
        <v>5</v>
      </c>
    </row>
    <row r="4513">
      <c r="A4513" s="1">
        <v>43506.4512216088</v>
      </c>
      <c r="B4513" s="2">
        <v>719.0</v>
      </c>
      <c r="C4513" s="2" t="s">
        <v>106</v>
      </c>
      <c r="D4513" s="2" t="s">
        <v>5</v>
      </c>
    </row>
    <row r="4514">
      <c r="A4514" s="1">
        <v>43506.456664178244</v>
      </c>
      <c r="B4514" s="2">
        <v>535.0</v>
      </c>
      <c r="C4514" s="2" t="s">
        <v>208</v>
      </c>
    </row>
    <row r="4515">
      <c r="A4515" s="1">
        <v>43506.459361817135</v>
      </c>
      <c r="B4515" s="3" t="s">
        <v>13</v>
      </c>
      <c r="C4515" s="2" t="s">
        <v>14</v>
      </c>
    </row>
    <row r="4516">
      <c r="A4516" s="1">
        <v>43506.459854166664</v>
      </c>
      <c r="B4516" s="2">
        <v>612.0</v>
      </c>
      <c r="C4516" s="2" t="s">
        <v>214</v>
      </c>
    </row>
    <row r="4517">
      <c r="A4517" s="1">
        <v>43506.46085728009</v>
      </c>
      <c r="B4517" s="2">
        <v>703.0</v>
      </c>
      <c r="C4517" s="2" t="s">
        <v>157</v>
      </c>
      <c r="D4517" s="2" t="s">
        <v>5</v>
      </c>
    </row>
    <row r="4518">
      <c r="A4518" s="1">
        <v>43506.46097716435</v>
      </c>
      <c r="B4518" s="2">
        <v>708.0</v>
      </c>
      <c r="C4518" s="2" t="s">
        <v>4</v>
      </c>
      <c r="D4518" s="2" t="s">
        <v>5</v>
      </c>
    </row>
    <row r="4519">
      <c r="A4519" s="1">
        <v>43506.46106721065</v>
      </c>
      <c r="B4519" s="2">
        <v>709.0</v>
      </c>
      <c r="C4519" s="2" t="s">
        <v>20</v>
      </c>
      <c r="D4519" s="2" t="s">
        <v>5</v>
      </c>
    </row>
    <row r="4520">
      <c r="A4520" s="1">
        <v>43506.461169988426</v>
      </c>
      <c r="B4520" s="2">
        <v>710.0</v>
      </c>
      <c r="C4520" s="2" t="s">
        <v>21</v>
      </c>
      <c r="D4520" s="2" t="s">
        <v>5</v>
      </c>
    </row>
    <row r="4521">
      <c r="A4521" s="1">
        <v>43506.46123700231</v>
      </c>
      <c r="B4521" s="2">
        <v>708.0</v>
      </c>
      <c r="C4521" s="2" t="s">
        <v>4</v>
      </c>
      <c r="D4521" s="2" t="s">
        <v>5</v>
      </c>
    </row>
    <row r="4522">
      <c r="A4522" s="1">
        <v>43506.46150533565</v>
      </c>
      <c r="B4522" s="3" t="s">
        <v>78</v>
      </c>
      <c r="C4522" s="2" t="s">
        <v>79</v>
      </c>
    </row>
    <row r="4523">
      <c r="A4523" s="1">
        <v>43506.46222743056</v>
      </c>
      <c r="B4523" s="2">
        <v>648.0</v>
      </c>
      <c r="C4523" s="2" t="s">
        <v>207</v>
      </c>
    </row>
    <row r="4524">
      <c r="A4524" s="1">
        <v>43506.4624210301</v>
      </c>
      <c r="B4524" s="2">
        <v>649.0</v>
      </c>
      <c r="C4524" s="2" t="s">
        <v>177</v>
      </c>
    </row>
    <row r="4525">
      <c r="A4525" s="1">
        <v>43506.46966509259</v>
      </c>
      <c r="B4525" s="2">
        <v>253.0</v>
      </c>
      <c r="C4525" s="2" t="s">
        <v>138</v>
      </c>
    </row>
    <row r="4526">
      <c r="A4526" s="1">
        <v>43506.66881820602</v>
      </c>
      <c r="B4526" s="2">
        <v>611.0</v>
      </c>
      <c r="C4526" s="2" t="s">
        <v>143</v>
      </c>
    </row>
    <row r="4527">
      <c r="A4527" s="1">
        <v>43506.85980265046</v>
      </c>
      <c r="B4527" s="2">
        <v>219.0</v>
      </c>
      <c r="C4527" s="2" t="s">
        <v>31</v>
      </c>
    </row>
    <row r="4528">
      <c r="A4528" s="1">
        <v>43507.18613538194</v>
      </c>
      <c r="B4528" s="2">
        <v>611.0</v>
      </c>
      <c r="C4528" s="2" t="s">
        <v>143</v>
      </c>
    </row>
    <row r="4529">
      <c r="A4529" s="1">
        <v>43507.18721138889</v>
      </c>
      <c r="B4529" s="2">
        <v>611.0</v>
      </c>
      <c r="C4529" s="2" t="s">
        <v>143</v>
      </c>
    </row>
    <row r="4530">
      <c r="A4530" s="1">
        <v>43508.41763761574</v>
      </c>
      <c r="B4530" s="2">
        <v>609.0</v>
      </c>
      <c r="C4530" s="2" t="s">
        <v>179</v>
      </c>
    </row>
    <row r="4531">
      <c r="A4531" s="1">
        <v>43508.41768134259</v>
      </c>
      <c r="B4531" s="3" t="s">
        <v>78</v>
      </c>
      <c r="C4531" s="2" t="s">
        <v>79</v>
      </c>
    </row>
    <row r="4532">
      <c r="A4532" s="1">
        <v>43508.417827094905</v>
      </c>
      <c r="B4532" s="2">
        <v>609.0</v>
      </c>
      <c r="C4532" s="2" t="s">
        <v>179</v>
      </c>
    </row>
    <row r="4533">
      <c r="A4533" s="1">
        <v>43508.640865312496</v>
      </c>
      <c r="B4533" s="2">
        <v>231.0</v>
      </c>
      <c r="C4533" s="2" t="s">
        <v>61</v>
      </c>
    </row>
    <row r="4534">
      <c r="A4534" s="1">
        <v>43509.65878167824</v>
      </c>
      <c r="B4534" s="2">
        <v>219.0</v>
      </c>
      <c r="C4534" s="2" t="s">
        <v>31</v>
      </c>
    </row>
    <row r="4535">
      <c r="A4535" s="1">
        <v>43513.423611412036</v>
      </c>
      <c r="B4535" s="3" t="s">
        <v>103</v>
      </c>
      <c r="C4535" s="2" t="s">
        <v>104</v>
      </c>
    </row>
    <row r="4536">
      <c r="A4536" s="1">
        <v>43513.425270810185</v>
      </c>
      <c r="B4536" s="2">
        <v>158.0</v>
      </c>
      <c r="C4536" s="2" t="s">
        <v>62</v>
      </c>
    </row>
    <row r="4537">
      <c r="A4537" s="1">
        <v>43513.4256921412</v>
      </c>
      <c r="B4537" s="2">
        <v>262.0</v>
      </c>
      <c r="C4537" s="2" t="s">
        <v>28</v>
      </c>
    </row>
    <row r="4538">
      <c r="A4538" s="1">
        <v>43513.42856568287</v>
      </c>
      <c r="B4538" s="3" t="s">
        <v>159</v>
      </c>
      <c r="C4538" s="2" t="s">
        <v>160</v>
      </c>
    </row>
    <row r="4539">
      <c r="A4539" s="1">
        <v>43513.42887607639</v>
      </c>
      <c r="B4539" s="2">
        <v>201.0</v>
      </c>
      <c r="C4539" s="2" t="s">
        <v>70</v>
      </c>
    </row>
    <row r="4540">
      <c r="A4540" s="1">
        <v>43513.42932938658</v>
      </c>
      <c r="B4540" s="2">
        <v>721.0</v>
      </c>
      <c r="C4540" s="2" t="s">
        <v>156</v>
      </c>
      <c r="D4540" s="2" t="s">
        <v>5</v>
      </c>
    </row>
    <row r="4541">
      <c r="A4541" s="1">
        <v>43513.429448055555</v>
      </c>
      <c r="B4541" s="2">
        <v>721.0</v>
      </c>
      <c r="C4541" s="2" t="s">
        <v>156</v>
      </c>
      <c r="D4541" s="2" t="s">
        <v>5</v>
      </c>
    </row>
    <row r="4542">
      <c r="A4542" s="1">
        <v>43513.42963435185</v>
      </c>
      <c r="B4542" s="2">
        <v>720.0</v>
      </c>
    </row>
    <row r="4543">
      <c r="A4543" s="1">
        <v>43513.42976633101</v>
      </c>
      <c r="B4543" s="3" t="s">
        <v>162</v>
      </c>
    </row>
    <row r="4544">
      <c r="A4544" s="1">
        <v>43513.429820405094</v>
      </c>
      <c r="B4544" s="2">
        <v>201.0</v>
      </c>
      <c r="C4544" s="2" t="s">
        <v>70</v>
      </c>
    </row>
    <row r="4545">
      <c r="A4545" s="1">
        <v>43513.42993626157</v>
      </c>
      <c r="B4545" s="2">
        <v>160.0</v>
      </c>
    </row>
    <row r="4546">
      <c r="A4546" s="1">
        <v>43513.42999896991</v>
      </c>
      <c r="B4546" s="2">
        <v>201.0</v>
      </c>
      <c r="C4546" s="2" t="s">
        <v>70</v>
      </c>
    </row>
    <row r="4547">
      <c r="A4547" s="1">
        <v>43513.430262511574</v>
      </c>
      <c r="B4547" s="3" t="s">
        <v>162</v>
      </c>
      <c r="C4547" s="2" t="s">
        <v>163</v>
      </c>
    </row>
    <row r="4548">
      <c r="A4548" s="1">
        <v>43513.43032579861</v>
      </c>
      <c r="B4548" s="3" t="s">
        <v>82</v>
      </c>
      <c r="C4548" s="2" t="s">
        <v>83</v>
      </c>
    </row>
    <row r="4549">
      <c r="A4549" s="1">
        <v>43513.430358206024</v>
      </c>
      <c r="B4549" s="3" t="s">
        <v>162</v>
      </c>
      <c r="C4549" s="2" t="s">
        <v>163</v>
      </c>
    </row>
    <row r="4550">
      <c r="A4550" s="1">
        <v>43513.43052465278</v>
      </c>
      <c r="B4550" s="2">
        <v>160.0</v>
      </c>
      <c r="C4550" s="2" t="s">
        <v>154</v>
      </c>
    </row>
    <row r="4551">
      <c r="A4551" s="1">
        <v>43513.43054179398</v>
      </c>
      <c r="B4551" s="3" t="s">
        <v>78</v>
      </c>
      <c r="C4551" s="2" t="s">
        <v>79</v>
      </c>
    </row>
    <row r="4552">
      <c r="A4552" s="1">
        <v>43513.43076403935</v>
      </c>
      <c r="B4552" s="3" t="s">
        <v>32</v>
      </c>
      <c r="C4552" s="2" t="s">
        <v>33</v>
      </c>
    </row>
    <row r="4553">
      <c r="A4553" s="1">
        <v>43513.43079172454</v>
      </c>
      <c r="B4553" s="2">
        <v>720.0</v>
      </c>
      <c r="C4553" s="2" t="s">
        <v>155</v>
      </c>
      <c r="D4553" s="2" t="s">
        <v>5</v>
      </c>
    </row>
    <row r="4554">
      <c r="A4554" s="1">
        <v>43513.43103789352</v>
      </c>
      <c r="B4554" s="2">
        <v>193.0</v>
      </c>
      <c r="C4554" s="2" t="s">
        <v>30</v>
      </c>
    </row>
    <row r="4555">
      <c r="A4555" s="1">
        <v>43513.43137543982</v>
      </c>
      <c r="B4555" s="2">
        <v>167.0</v>
      </c>
      <c r="C4555" s="2" t="s">
        <v>39</v>
      </c>
    </row>
    <row r="4556">
      <c r="A4556" s="1">
        <v>43513.43175962963</v>
      </c>
      <c r="B4556" s="2">
        <v>214.0</v>
      </c>
      <c r="C4556" s="2" t="s">
        <v>47</v>
      </c>
    </row>
    <row r="4557">
      <c r="A4557" s="1">
        <v>43513.431806238426</v>
      </c>
      <c r="B4557" s="2">
        <v>270.0</v>
      </c>
      <c r="C4557" s="2" t="s">
        <v>153</v>
      </c>
    </row>
    <row r="4558">
      <c r="A4558" s="1">
        <v>43513.4319287963</v>
      </c>
      <c r="B4558" s="2">
        <v>229.0</v>
      </c>
      <c r="C4558" s="2" t="s">
        <v>86</v>
      </c>
    </row>
    <row r="4559">
      <c r="A4559" s="1">
        <v>43513.43207357639</v>
      </c>
      <c r="B4559" s="2">
        <v>717.0</v>
      </c>
      <c r="C4559" s="2" t="s">
        <v>152</v>
      </c>
      <c r="D4559" s="2" t="s">
        <v>5</v>
      </c>
    </row>
    <row r="4560">
      <c r="A4560" s="1">
        <v>43513.43216196759</v>
      </c>
      <c r="B4560" s="2">
        <v>723.0</v>
      </c>
      <c r="C4560" s="2" t="s">
        <v>84</v>
      </c>
      <c r="D4560" s="2" t="s">
        <v>5</v>
      </c>
    </row>
    <row r="4561">
      <c r="A4561" s="1">
        <v>43513.432441956014</v>
      </c>
      <c r="B4561" s="2">
        <v>735.0</v>
      </c>
      <c r="C4561" s="2" t="s">
        <v>37</v>
      </c>
      <c r="D4561" s="2" t="s">
        <v>5</v>
      </c>
    </row>
    <row r="4562">
      <c r="A4562" s="1">
        <v>43513.43271451389</v>
      </c>
      <c r="B4562" s="2">
        <v>618.0</v>
      </c>
      <c r="C4562" s="2" t="s">
        <v>147</v>
      </c>
    </row>
    <row r="4563">
      <c r="A4563" s="1">
        <v>43513.43303263889</v>
      </c>
      <c r="B4563" s="2">
        <v>673.0</v>
      </c>
      <c r="C4563" s="2" t="s">
        <v>189</v>
      </c>
    </row>
    <row r="4564">
      <c r="A4564" s="1">
        <v>43513.43349292824</v>
      </c>
      <c r="B4564" s="2">
        <v>611.0</v>
      </c>
      <c r="C4564" s="2" t="s">
        <v>143</v>
      </c>
    </row>
    <row r="4565">
      <c r="A4565" s="1">
        <v>43513.43364912037</v>
      </c>
      <c r="B4565" s="2">
        <v>614.0</v>
      </c>
      <c r="C4565" s="2" t="s">
        <v>76</v>
      </c>
    </row>
    <row r="4566">
      <c r="A4566" s="1">
        <v>43513.43394840277</v>
      </c>
      <c r="B4566" s="2">
        <v>165.0</v>
      </c>
      <c r="C4566" s="2" t="s">
        <v>50</v>
      </c>
    </row>
    <row r="4567">
      <c r="A4567" s="1">
        <v>43513.43431997685</v>
      </c>
      <c r="B4567" s="2">
        <v>173.0</v>
      </c>
      <c r="C4567" s="2" t="s">
        <v>24</v>
      </c>
    </row>
    <row r="4568">
      <c r="A4568" s="1">
        <v>43513.43468821759</v>
      </c>
      <c r="B4568" s="2">
        <v>172.0</v>
      </c>
      <c r="C4568" s="2" t="s">
        <v>65</v>
      </c>
    </row>
    <row r="4569">
      <c r="A4569" s="1">
        <v>43513.43498881944</v>
      </c>
      <c r="B4569" s="2">
        <v>219.0</v>
      </c>
      <c r="C4569" s="2" t="s">
        <v>31</v>
      </c>
    </row>
    <row r="4570">
      <c r="A4570" s="1">
        <v>43513.43522798611</v>
      </c>
      <c r="B4570" s="3" t="s">
        <v>22</v>
      </c>
      <c r="C4570" s="2" t="s">
        <v>23</v>
      </c>
    </row>
    <row r="4571">
      <c r="A4571" s="1">
        <v>43513.43541792824</v>
      </c>
      <c r="B4571" s="3" t="s">
        <v>88</v>
      </c>
      <c r="C4571" s="2" t="s">
        <v>89</v>
      </c>
    </row>
    <row r="4572">
      <c r="A4572" s="1">
        <v>43513.435966226854</v>
      </c>
      <c r="B4572" s="2">
        <v>647.0</v>
      </c>
      <c r="C4572" s="2" t="s">
        <v>217</v>
      </c>
    </row>
    <row r="4573">
      <c r="A4573" s="1">
        <v>43513.4360818287</v>
      </c>
      <c r="B4573" s="2">
        <v>648.0</v>
      </c>
      <c r="C4573" s="2" t="s">
        <v>207</v>
      </c>
    </row>
    <row r="4574">
      <c r="A4574" s="1">
        <v>43513.43743533565</v>
      </c>
      <c r="B4574" s="2">
        <v>172.0</v>
      </c>
      <c r="C4574" s="2" t="s">
        <v>65</v>
      </c>
    </row>
    <row r="4575">
      <c r="A4575" s="1">
        <v>43513.437600115736</v>
      </c>
      <c r="B4575" s="2">
        <v>113.0</v>
      </c>
      <c r="C4575" s="2" t="s">
        <v>29</v>
      </c>
    </row>
    <row r="4576">
      <c r="A4576" s="1">
        <v>43513.438150138885</v>
      </c>
      <c r="B4576" s="2">
        <v>113.0</v>
      </c>
      <c r="C4576" s="2" t="s">
        <v>29</v>
      </c>
    </row>
    <row r="4577">
      <c r="A4577" s="1">
        <v>43513.43815802083</v>
      </c>
      <c r="B4577" s="2">
        <v>210.0</v>
      </c>
      <c r="C4577" s="2" t="s">
        <v>64</v>
      </c>
    </row>
    <row r="4578">
      <c r="A4578" s="1">
        <v>43513.438456759264</v>
      </c>
      <c r="B4578" s="2">
        <v>113.0</v>
      </c>
      <c r="C4578" s="2" t="s">
        <v>29</v>
      </c>
    </row>
    <row r="4579">
      <c r="A4579" s="1">
        <v>43513.43853063657</v>
      </c>
      <c r="B4579" s="2">
        <v>113.0</v>
      </c>
      <c r="C4579" s="2" t="s">
        <v>29</v>
      </c>
    </row>
    <row r="4580">
      <c r="A4580" s="1">
        <v>43513.43888685185</v>
      </c>
      <c r="B4580" s="2">
        <v>124.0</v>
      </c>
      <c r="C4580" s="2" t="s">
        <v>107</v>
      </c>
    </row>
    <row r="4581">
      <c r="A4581" s="1">
        <v>43513.43937137732</v>
      </c>
      <c r="B4581" s="2">
        <v>52.0</v>
      </c>
      <c r="C4581" s="2" t="s">
        <v>41</v>
      </c>
    </row>
    <row r="4582">
      <c r="A4582" s="1">
        <v>43513.4395784375</v>
      </c>
      <c r="B4582" s="3" t="s">
        <v>111</v>
      </c>
      <c r="C4582" s="2" t="s">
        <v>112</v>
      </c>
    </row>
    <row r="4583">
      <c r="A4583" s="1">
        <v>43513.440029722224</v>
      </c>
      <c r="B4583" s="3" t="s">
        <v>94</v>
      </c>
      <c r="C4583" s="2" t="s">
        <v>95</v>
      </c>
    </row>
    <row r="4584">
      <c r="A4584" s="1">
        <v>43513.440620243055</v>
      </c>
      <c r="B4584" s="2">
        <v>201.0</v>
      </c>
      <c r="C4584" s="2" t="s">
        <v>70</v>
      </c>
    </row>
    <row r="4585">
      <c r="A4585" s="1">
        <v>43513.440809293985</v>
      </c>
      <c r="B4585" s="2">
        <v>198.0</v>
      </c>
      <c r="C4585" s="2" t="s">
        <v>97</v>
      </c>
    </row>
    <row r="4586">
      <c r="A4586" s="1">
        <v>43513.441036296295</v>
      </c>
      <c r="B4586" s="2">
        <v>655.0</v>
      </c>
      <c r="C4586" s="2" t="s">
        <v>17</v>
      </c>
    </row>
    <row r="4587">
      <c r="A4587" s="1">
        <v>43513.441229027776</v>
      </c>
      <c r="B4587" s="2">
        <v>702.0</v>
      </c>
      <c r="C4587" s="2" t="s">
        <v>96</v>
      </c>
      <c r="D4587" s="2" t="s">
        <v>5</v>
      </c>
    </row>
    <row r="4588">
      <c r="A4588" s="1">
        <v>43513.44165770833</v>
      </c>
      <c r="B4588" s="2">
        <v>607.0</v>
      </c>
      <c r="C4588" s="2" t="s">
        <v>68</v>
      </c>
    </row>
    <row r="4589">
      <c r="A4589" s="1">
        <v>43513.4419428588</v>
      </c>
      <c r="B4589" s="2">
        <v>267.0</v>
      </c>
      <c r="C4589" s="2" t="s">
        <v>115</v>
      </c>
    </row>
    <row r="4590">
      <c r="A4590" s="1">
        <v>43513.442300497685</v>
      </c>
      <c r="B4590" s="2">
        <v>641.0</v>
      </c>
      <c r="C4590" s="2" t="s">
        <v>210</v>
      </c>
    </row>
    <row r="4591">
      <c r="A4591" s="1">
        <v>43513.44327280093</v>
      </c>
      <c r="B4591" s="2">
        <v>736.0</v>
      </c>
      <c r="C4591" s="2" t="s">
        <v>175</v>
      </c>
      <c r="D4591" s="2" t="s">
        <v>5</v>
      </c>
    </row>
    <row r="4592">
      <c r="A4592" s="1">
        <v>43513.443396030096</v>
      </c>
      <c r="B4592" s="2">
        <v>737.0</v>
      </c>
      <c r="C4592" s="2" t="s">
        <v>176</v>
      </c>
      <c r="D4592" s="2" t="s">
        <v>5</v>
      </c>
    </row>
    <row r="4593">
      <c r="A4593" s="1">
        <v>43513.44380422454</v>
      </c>
      <c r="B4593" s="2">
        <v>716.0</v>
      </c>
      <c r="C4593" s="2" t="s">
        <v>123</v>
      </c>
      <c r="D4593" s="2" t="s">
        <v>5</v>
      </c>
    </row>
    <row r="4594">
      <c r="A4594" s="1">
        <v>43513.44406912037</v>
      </c>
      <c r="B4594" s="2">
        <v>114.0</v>
      </c>
      <c r="C4594" s="2" t="s">
        <v>15</v>
      </c>
    </row>
    <row r="4595">
      <c r="A4595" s="1">
        <v>43513.44426480324</v>
      </c>
      <c r="B4595" s="3" t="s">
        <v>11</v>
      </c>
      <c r="C4595" s="2" t="s">
        <v>12</v>
      </c>
    </row>
    <row r="4596">
      <c r="A4596" s="1">
        <v>43513.4444455787</v>
      </c>
      <c r="B4596" s="3" t="s">
        <v>51</v>
      </c>
      <c r="C4596" s="2" t="s">
        <v>52</v>
      </c>
    </row>
    <row r="4597">
      <c r="A4597" s="1">
        <v>43513.44522042824</v>
      </c>
      <c r="B4597" s="2">
        <v>650.0</v>
      </c>
      <c r="C4597" s="2" t="s">
        <v>213</v>
      </c>
    </row>
    <row r="4598">
      <c r="A4598" s="1">
        <v>43513.4458262963</v>
      </c>
      <c r="B4598" s="2">
        <v>238.0</v>
      </c>
      <c r="C4598" s="2" t="s">
        <v>35</v>
      </c>
    </row>
    <row r="4599">
      <c r="A4599" s="1">
        <v>43513.446120092594</v>
      </c>
      <c r="B4599" s="2">
        <v>607.0</v>
      </c>
      <c r="C4599" s="2" t="s">
        <v>68</v>
      </c>
    </row>
    <row r="4600">
      <c r="A4600" s="1">
        <v>43513.4465905324</v>
      </c>
      <c r="B4600" s="2">
        <v>708.0</v>
      </c>
      <c r="C4600" s="2" t="s">
        <v>4</v>
      </c>
      <c r="D4600" s="2" t="s">
        <v>5</v>
      </c>
    </row>
    <row r="4601">
      <c r="A4601" s="1">
        <v>43513.446716886574</v>
      </c>
      <c r="B4601" s="2">
        <v>709.0</v>
      </c>
      <c r="C4601" s="2" t="s">
        <v>20</v>
      </c>
      <c r="D4601" s="2" t="s">
        <v>5</v>
      </c>
    </row>
    <row r="4602">
      <c r="A4602" s="1">
        <v>43513.446934189815</v>
      </c>
      <c r="B4602" s="2">
        <v>710.0</v>
      </c>
      <c r="C4602" s="2" t="s">
        <v>21</v>
      </c>
      <c r="D4602" s="2" t="s">
        <v>5</v>
      </c>
    </row>
    <row r="4603">
      <c r="A4603" s="1">
        <v>43513.4471028125</v>
      </c>
      <c r="B4603" s="2">
        <v>667.0</v>
      </c>
      <c r="C4603" s="2" t="s">
        <v>73</v>
      </c>
    </row>
    <row r="4604">
      <c r="A4604" s="1">
        <v>43513.44746372685</v>
      </c>
      <c r="B4604" s="2">
        <v>635.0</v>
      </c>
      <c r="C4604" s="2" t="s">
        <v>165</v>
      </c>
    </row>
    <row r="4605">
      <c r="A4605" s="1">
        <v>43513.448400625</v>
      </c>
      <c r="B4605" s="2">
        <v>656.0</v>
      </c>
      <c r="C4605" s="2" t="s">
        <v>144</v>
      </c>
    </row>
    <row r="4606">
      <c r="A4606" s="1">
        <v>43513.44935517361</v>
      </c>
      <c r="B4606" s="2">
        <v>701.0</v>
      </c>
      <c r="C4606" s="2" t="s">
        <v>93</v>
      </c>
      <c r="D4606" s="2" t="s">
        <v>5</v>
      </c>
    </row>
    <row r="4607">
      <c r="A4607" s="1">
        <v>43513.4503046412</v>
      </c>
      <c r="B4607" s="2">
        <v>663.0</v>
      </c>
      <c r="C4607" s="2" t="s">
        <v>109</v>
      </c>
    </row>
    <row r="4608">
      <c r="A4608" s="1">
        <v>43513.45050518519</v>
      </c>
      <c r="B4608" s="2">
        <v>701.0</v>
      </c>
      <c r="C4608" s="2" t="s">
        <v>93</v>
      </c>
      <c r="D4608" s="2" t="s">
        <v>5</v>
      </c>
    </row>
    <row r="4609">
      <c r="A4609" s="1">
        <v>43513.45075533565</v>
      </c>
      <c r="B4609" s="3" t="s">
        <v>44</v>
      </c>
      <c r="C4609" s="2" t="s">
        <v>45</v>
      </c>
    </row>
    <row r="4610">
      <c r="A4610" s="1">
        <v>43513.451458564814</v>
      </c>
      <c r="B4610" s="2">
        <v>632.0</v>
      </c>
      <c r="C4610" s="2" t="s">
        <v>146</v>
      </c>
    </row>
    <row r="4611">
      <c r="A4611" s="1">
        <v>43513.45396164352</v>
      </c>
      <c r="B4611" s="2">
        <v>707.0</v>
      </c>
      <c r="C4611" s="2" t="s">
        <v>57</v>
      </c>
      <c r="D4611" s="2" t="s">
        <v>5</v>
      </c>
    </row>
    <row r="4612">
      <c r="A4612" s="1">
        <v>43513.45433435185</v>
      </c>
      <c r="B4612" s="2">
        <v>729.0</v>
      </c>
      <c r="C4612" s="2" t="s">
        <v>54</v>
      </c>
      <c r="D4612" s="2" t="s">
        <v>5</v>
      </c>
    </row>
    <row r="4613">
      <c r="A4613" s="1">
        <v>43513.455037465275</v>
      </c>
      <c r="B4613" s="2">
        <v>141.0</v>
      </c>
      <c r="C4613" s="2" t="s">
        <v>53</v>
      </c>
    </row>
    <row r="4614">
      <c r="A4614" s="1">
        <v>43513.45530059028</v>
      </c>
      <c r="B4614" s="2">
        <v>720.0</v>
      </c>
      <c r="C4614" s="2" t="s">
        <v>155</v>
      </c>
      <c r="D4614" s="2" t="s">
        <v>5</v>
      </c>
    </row>
    <row r="4615">
      <c r="A4615" s="1">
        <v>43513.456341006946</v>
      </c>
      <c r="B4615" s="2">
        <v>175.0</v>
      </c>
      <c r="C4615" s="2" t="s">
        <v>69</v>
      </c>
    </row>
    <row r="4616">
      <c r="A4616" s="1">
        <v>43513.456538391205</v>
      </c>
      <c r="B4616" s="2">
        <v>535.0</v>
      </c>
      <c r="C4616" s="2" t="s">
        <v>208</v>
      </c>
    </row>
    <row r="4617">
      <c r="A4617" s="1">
        <v>43513.45747944445</v>
      </c>
      <c r="B4617" s="3" t="s">
        <v>42</v>
      </c>
      <c r="C4617" s="2" t="s">
        <v>43</v>
      </c>
    </row>
    <row r="4618">
      <c r="A4618" s="1">
        <v>43513.45825196759</v>
      </c>
      <c r="B4618" s="3" t="s">
        <v>80</v>
      </c>
      <c r="C4618" s="2" t="s">
        <v>81</v>
      </c>
    </row>
    <row r="4619">
      <c r="A4619" s="1">
        <v>43513.4585515162</v>
      </c>
      <c r="B4619" s="2">
        <v>208.0</v>
      </c>
      <c r="C4619" s="2" t="s">
        <v>182</v>
      </c>
    </row>
    <row r="4620">
      <c r="A4620" s="1">
        <v>43513.45873918981</v>
      </c>
      <c r="B4620" s="3" t="s">
        <v>80</v>
      </c>
      <c r="C4620" s="2" t="s">
        <v>81</v>
      </c>
    </row>
    <row r="4621">
      <c r="A4621" s="1">
        <v>43513.460221898145</v>
      </c>
      <c r="B4621" s="2">
        <v>648.0</v>
      </c>
      <c r="C4621" s="2" t="s">
        <v>207</v>
      </c>
    </row>
    <row r="4622">
      <c r="A4622" s="1">
        <v>43513.460400173615</v>
      </c>
      <c r="B4622" s="2">
        <v>649.0</v>
      </c>
      <c r="C4622" s="2" t="s">
        <v>177</v>
      </c>
    </row>
    <row r="4623">
      <c r="A4623" s="1">
        <v>43513.46053163194</v>
      </c>
      <c r="B4623" s="2">
        <v>643.0</v>
      </c>
      <c r="C4623" s="2" t="s">
        <v>166</v>
      </c>
    </row>
    <row r="4624">
      <c r="A4624" s="1">
        <v>43513.46243252315</v>
      </c>
      <c r="B4624" s="2">
        <v>259.0</v>
      </c>
      <c r="C4624" s="2" t="s">
        <v>66</v>
      </c>
    </row>
    <row r="4625">
      <c r="A4625" s="1">
        <v>43513.463926956014</v>
      </c>
      <c r="B4625" s="2">
        <v>602.0</v>
      </c>
      <c r="C4625" s="2" t="s">
        <v>131</v>
      </c>
    </row>
    <row r="4626">
      <c r="A4626" s="1">
        <v>43513.464923645835</v>
      </c>
      <c r="B4626" s="2">
        <v>270.0</v>
      </c>
      <c r="C4626" s="2" t="s">
        <v>153</v>
      </c>
    </row>
    <row r="4627">
      <c r="A4627" s="1">
        <v>43513.4655858912</v>
      </c>
      <c r="B4627" s="2">
        <v>717.0</v>
      </c>
      <c r="C4627" s="2" t="s">
        <v>152</v>
      </c>
      <c r="D4627" s="2" t="s">
        <v>5</v>
      </c>
    </row>
    <row r="4628">
      <c r="A4628" s="1">
        <v>43513.466396724536</v>
      </c>
      <c r="B4628" s="3" t="s">
        <v>126</v>
      </c>
      <c r="C4628" s="2" t="s">
        <v>127</v>
      </c>
    </row>
    <row r="4629">
      <c r="A4629" s="1">
        <v>43513.47334048611</v>
      </c>
      <c r="B4629" s="2">
        <v>604.0</v>
      </c>
      <c r="C4629" s="2" t="s">
        <v>36</v>
      </c>
    </row>
    <row r="4630">
      <c r="A4630" s="1">
        <v>43514.66631606482</v>
      </c>
      <c r="B4630" s="2">
        <v>603.0</v>
      </c>
      <c r="C4630" s="2" t="s">
        <v>40</v>
      </c>
    </row>
    <row r="4631">
      <c r="A4631" s="1">
        <v>43514.66797556713</v>
      </c>
      <c r="B4631" s="2">
        <v>253.0</v>
      </c>
      <c r="C4631" s="2" t="s">
        <v>138</v>
      </c>
    </row>
    <row r="4632">
      <c r="A4632" s="1">
        <v>43520.418137071756</v>
      </c>
      <c r="B4632" s="2">
        <v>167.0</v>
      </c>
      <c r="C4632" s="2" t="s">
        <v>39</v>
      </c>
    </row>
    <row r="4633">
      <c r="A4633" s="1">
        <v>43520.42115487269</v>
      </c>
      <c r="B4633" s="2">
        <v>238.0</v>
      </c>
      <c r="C4633" s="2" t="s">
        <v>35</v>
      </c>
    </row>
    <row r="4634">
      <c r="A4634" s="1">
        <v>43520.42142396991</v>
      </c>
      <c r="B4634" s="2">
        <v>607.0</v>
      </c>
      <c r="C4634" s="2" t="s">
        <v>68</v>
      </c>
    </row>
    <row r="4635">
      <c r="A4635" s="1">
        <v>43520.4215884838</v>
      </c>
      <c r="B4635" s="2">
        <v>231.0</v>
      </c>
      <c r="C4635" s="2" t="s">
        <v>61</v>
      </c>
    </row>
    <row r="4636">
      <c r="A4636" s="1">
        <v>43520.42174024305</v>
      </c>
      <c r="B4636" s="2">
        <v>157.0</v>
      </c>
      <c r="C4636" s="2" t="s">
        <v>141</v>
      </c>
    </row>
    <row r="4637">
      <c r="A4637" s="1">
        <v>43520.42647770833</v>
      </c>
      <c r="B4637" s="2">
        <v>158.0</v>
      </c>
      <c r="C4637" s="2" t="s">
        <v>62</v>
      </c>
    </row>
    <row r="4638">
      <c r="A4638" s="1">
        <v>43520.42718777778</v>
      </c>
      <c r="B4638" s="3" t="s">
        <v>80</v>
      </c>
      <c r="C4638" s="2" t="s">
        <v>81</v>
      </c>
    </row>
    <row r="4639">
      <c r="A4639" s="1">
        <v>43520.42825524305</v>
      </c>
      <c r="B4639" s="2">
        <v>618.0</v>
      </c>
      <c r="C4639" s="2" t="s">
        <v>147</v>
      </c>
    </row>
    <row r="4640">
      <c r="A4640" s="1">
        <v>43520.42843494213</v>
      </c>
      <c r="B4640" s="2">
        <v>165.0</v>
      </c>
      <c r="C4640" s="2" t="s">
        <v>50</v>
      </c>
    </row>
    <row r="4641">
      <c r="A4641" s="1">
        <v>43520.42865844908</v>
      </c>
      <c r="B4641" s="2">
        <v>173.0</v>
      </c>
      <c r="C4641" s="2" t="s">
        <v>24</v>
      </c>
    </row>
    <row r="4642">
      <c r="A4642" s="1">
        <v>43520.42885813657</v>
      </c>
      <c r="B4642" s="2">
        <v>214.0</v>
      </c>
      <c r="C4642" s="2" t="s">
        <v>47</v>
      </c>
    </row>
    <row r="4643">
      <c r="A4643" s="1">
        <v>43520.42938253473</v>
      </c>
      <c r="B4643" s="3" t="s">
        <v>159</v>
      </c>
      <c r="C4643" s="2" t="s">
        <v>160</v>
      </c>
    </row>
    <row r="4644">
      <c r="A4644" s="1">
        <v>43520.43044790509</v>
      </c>
      <c r="B4644" s="3" t="s">
        <v>32</v>
      </c>
      <c r="C4644" s="2" t="s">
        <v>33</v>
      </c>
    </row>
    <row r="4645">
      <c r="A4645" s="1">
        <v>43520.430743414356</v>
      </c>
      <c r="B4645" s="2">
        <v>113.0</v>
      </c>
      <c r="C4645" s="2" t="s">
        <v>29</v>
      </c>
    </row>
    <row r="4646">
      <c r="A4646" s="1">
        <v>43520.430949421294</v>
      </c>
      <c r="B4646" s="2">
        <v>193.0</v>
      </c>
      <c r="C4646" s="2" t="s">
        <v>30</v>
      </c>
    </row>
    <row r="4647">
      <c r="A4647" s="1">
        <v>43520.431126180556</v>
      </c>
      <c r="B4647" s="2">
        <v>210.0</v>
      </c>
      <c r="C4647" s="2" t="s">
        <v>64</v>
      </c>
    </row>
    <row r="4648">
      <c r="A4648" s="1">
        <v>43520.43139810185</v>
      </c>
      <c r="B4648" s="3" t="s">
        <v>22</v>
      </c>
      <c r="C4648" s="2" t="s">
        <v>23</v>
      </c>
    </row>
    <row r="4649">
      <c r="A4649" s="1">
        <v>43520.43157170139</v>
      </c>
      <c r="B4649" s="2">
        <v>14.0</v>
      </c>
      <c r="C4649" s="2" t="s">
        <v>218</v>
      </c>
    </row>
    <row r="4650">
      <c r="A4650" s="1">
        <v>43520.43204747685</v>
      </c>
      <c r="B4650" s="2">
        <v>604.0</v>
      </c>
      <c r="C4650" s="2" t="s">
        <v>36</v>
      </c>
    </row>
    <row r="4651">
      <c r="A4651" s="1">
        <v>43520.43232890047</v>
      </c>
      <c r="B4651" s="2">
        <v>605.0</v>
      </c>
      <c r="C4651" s="2" t="s">
        <v>206</v>
      </c>
    </row>
    <row r="4652">
      <c r="A4652" s="1">
        <v>43520.43291177083</v>
      </c>
      <c r="B4652" s="3" t="s">
        <v>44</v>
      </c>
      <c r="C4652" s="2" t="s">
        <v>45</v>
      </c>
    </row>
    <row r="4653">
      <c r="A4653" s="1">
        <v>43520.43358715277</v>
      </c>
      <c r="B4653" s="2">
        <v>257.0</v>
      </c>
      <c r="C4653" s="2" t="s">
        <v>27</v>
      </c>
    </row>
    <row r="4654">
      <c r="A4654" s="1">
        <v>43520.434579039356</v>
      </c>
      <c r="B4654" s="2">
        <v>259.0</v>
      </c>
      <c r="C4654" s="2" t="s">
        <v>66</v>
      </c>
    </row>
    <row r="4655">
      <c r="A4655" s="1">
        <v>43520.4346734375</v>
      </c>
      <c r="B4655" s="2">
        <v>260.0</v>
      </c>
      <c r="C4655" s="2" t="s">
        <v>67</v>
      </c>
    </row>
    <row r="4656">
      <c r="A4656" s="1">
        <v>43520.43489246527</v>
      </c>
      <c r="B4656" s="2">
        <v>625.0</v>
      </c>
      <c r="C4656" s="2" t="s">
        <v>136</v>
      </c>
    </row>
    <row r="4657">
      <c r="A4657" s="1">
        <v>43520.43520496528</v>
      </c>
      <c r="B4657" s="2">
        <v>734.0</v>
      </c>
      <c r="C4657" s="2" t="s">
        <v>63</v>
      </c>
      <c r="D4657" s="2" t="s">
        <v>5</v>
      </c>
    </row>
    <row r="4658">
      <c r="A4658" s="1">
        <v>43520.43552777778</v>
      </c>
      <c r="B4658" s="2">
        <v>611.0</v>
      </c>
      <c r="C4658" s="2" t="s">
        <v>143</v>
      </c>
    </row>
    <row r="4659">
      <c r="A4659" s="1">
        <v>43520.43668615741</v>
      </c>
      <c r="B4659" s="2">
        <v>722.0</v>
      </c>
      <c r="C4659" s="2" t="s">
        <v>25</v>
      </c>
      <c r="D4659" s="2" t="s">
        <v>5</v>
      </c>
    </row>
    <row r="4660">
      <c r="A4660" s="1">
        <v>43520.43679114583</v>
      </c>
      <c r="B4660" s="2">
        <v>246.0</v>
      </c>
      <c r="C4660" s="2" t="s">
        <v>26</v>
      </c>
    </row>
    <row r="4661">
      <c r="A4661" s="1">
        <v>43520.43688076389</v>
      </c>
      <c r="B4661" s="2">
        <v>707.0</v>
      </c>
      <c r="C4661" s="2" t="s">
        <v>57</v>
      </c>
      <c r="D4661" s="2" t="s">
        <v>5</v>
      </c>
    </row>
    <row r="4662">
      <c r="A4662" s="1">
        <v>43520.437075497684</v>
      </c>
      <c r="B4662" s="2">
        <v>141.0</v>
      </c>
      <c r="C4662" s="2" t="s">
        <v>53</v>
      </c>
    </row>
    <row r="4663">
      <c r="A4663" s="1">
        <v>43520.43716836805</v>
      </c>
      <c r="B4663" s="3" t="s">
        <v>55</v>
      </c>
      <c r="C4663" s="2" t="s">
        <v>56</v>
      </c>
    </row>
    <row r="4664">
      <c r="A4664" s="1">
        <v>43520.437278530095</v>
      </c>
      <c r="B4664" s="2">
        <v>729.0</v>
      </c>
      <c r="C4664" s="2" t="s">
        <v>54</v>
      </c>
      <c r="D4664" s="2" t="s">
        <v>5</v>
      </c>
    </row>
    <row r="4665">
      <c r="A4665" s="1">
        <v>43520.43730856481</v>
      </c>
      <c r="B4665" s="2">
        <v>736.0</v>
      </c>
      <c r="C4665" s="2" t="s">
        <v>175</v>
      </c>
      <c r="D4665" s="2" t="s">
        <v>5</v>
      </c>
    </row>
    <row r="4666">
      <c r="A4666" s="1">
        <v>43520.43744314815</v>
      </c>
      <c r="B4666" s="2">
        <v>737.0</v>
      </c>
      <c r="C4666" s="2" t="s">
        <v>176</v>
      </c>
      <c r="D4666" s="2" t="s">
        <v>5</v>
      </c>
    </row>
    <row r="4667">
      <c r="A4667" s="1">
        <v>43520.437577951394</v>
      </c>
      <c r="B4667" s="2">
        <v>738.0</v>
      </c>
      <c r="C4667" s="2" t="s">
        <v>161</v>
      </c>
    </row>
    <row r="4668">
      <c r="A4668" s="1">
        <v>43520.43790340278</v>
      </c>
      <c r="B4668" s="3" t="s">
        <v>51</v>
      </c>
      <c r="C4668" s="2" t="s">
        <v>52</v>
      </c>
    </row>
    <row r="4669">
      <c r="A4669" s="1">
        <v>43520.43810798611</v>
      </c>
      <c r="B4669" s="3" t="s">
        <v>82</v>
      </c>
      <c r="C4669" s="2" t="s">
        <v>83</v>
      </c>
    </row>
    <row r="4670">
      <c r="A4670" s="1">
        <v>43520.4382447338</v>
      </c>
      <c r="B4670" s="3" t="s">
        <v>78</v>
      </c>
      <c r="C4670" s="2" t="s">
        <v>79</v>
      </c>
    </row>
    <row r="4671">
      <c r="A4671" s="1">
        <v>43520.438408437505</v>
      </c>
      <c r="B4671" s="3" t="s">
        <v>126</v>
      </c>
      <c r="C4671" s="2" t="s">
        <v>127</v>
      </c>
    </row>
    <row r="4672">
      <c r="A4672" s="1">
        <v>43520.43856171296</v>
      </c>
      <c r="B4672" s="3" t="s">
        <v>11</v>
      </c>
      <c r="C4672" s="2" t="s">
        <v>12</v>
      </c>
    </row>
    <row r="4673">
      <c r="A4673" s="1">
        <v>43520.439025879634</v>
      </c>
      <c r="B4673" s="2">
        <v>621.0</v>
      </c>
      <c r="C4673" s="2" t="s">
        <v>215</v>
      </c>
    </row>
    <row r="4674">
      <c r="A4674" s="1">
        <v>43520.43931986111</v>
      </c>
      <c r="B4674" s="3" t="s">
        <v>13</v>
      </c>
      <c r="C4674" s="2" t="s">
        <v>14</v>
      </c>
    </row>
    <row r="4675">
      <c r="A4675" s="1">
        <v>43520.43970349537</v>
      </c>
      <c r="B4675" s="2">
        <v>723.0</v>
      </c>
      <c r="C4675" s="2" t="s">
        <v>84</v>
      </c>
      <c r="D4675" s="2" t="s">
        <v>5</v>
      </c>
    </row>
    <row r="4676">
      <c r="A4676" s="1">
        <v>43520.44068663195</v>
      </c>
      <c r="B4676" s="2">
        <v>701.0</v>
      </c>
      <c r="C4676" s="2" t="s">
        <v>93</v>
      </c>
      <c r="D4676" s="2" t="s">
        <v>5</v>
      </c>
    </row>
    <row r="4677">
      <c r="A4677" s="1">
        <v>43520.44104907407</v>
      </c>
      <c r="B4677" s="2">
        <v>172.0</v>
      </c>
      <c r="C4677" s="2" t="s">
        <v>65</v>
      </c>
    </row>
    <row r="4678">
      <c r="A4678" s="1">
        <v>43520.44137381944</v>
      </c>
      <c r="B4678" s="2">
        <v>262.0</v>
      </c>
      <c r="C4678" s="2" t="s">
        <v>28</v>
      </c>
    </row>
    <row r="4679">
      <c r="A4679" s="1">
        <v>43520.44291759259</v>
      </c>
      <c r="B4679" s="2">
        <v>114.0</v>
      </c>
      <c r="C4679" s="2" t="s">
        <v>15</v>
      </c>
    </row>
    <row r="4680">
      <c r="A4680" s="1">
        <v>43520.44330920139</v>
      </c>
      <c r="B4680" s="2">
        <v>208.0</v>
      </c>
      <c r="C4680" s="2" t="s">
        <v>182</v>
      </c>
    </row>
    <row r="4681">
      <c r="A4681" s="1">
        <v>43520.44404675926</v>
      </c>
      <c r="B4681" s="2">
        <v>52.0</v>
      </c>
      <c r="C4681" s="2" t="s">
        <v>41</v>
      </c>
    </row>
    <row r="4682">
      <c r="A4682" s="1">
        <v>43520.44456399306</v>
      </c>
      <c r="B4682" s="3" t="s">
        <v>98</v>
      </c>
      <c r="C4682" s="2" t="s">
        <v>99</v>
      </c>
    </row>
    <row r="4683">
      <c r="A4683" s="1">
        <v>43520.44490195602</v>
      </c>
      <c r="B4683" s="2">
        <v>624.0</v>
      </c>
      <c r="C4683" s="2" t="s">
        <v>90</v>
      </c>
    </row>
    <row r="4684">
      <c r="A4684" s="1">
        <v>43520.44519373843</v>
      </c>
      <c r="B4684" s="2">
        <v>724.0</v>
      </c>
      <c r="C4684" s="2" t="s">
        <v>91</v>
      </c>
      <c r="D4684" s="2" t="s">
        <v>5</v>
      </c>
    </row>
    <row r="4685">
      <c r="A4685" s="1">
        <v>43520.44568050926</v>
      </c>
      <c r="B4685" s="2">
        <v>725.0</v>
      </c>
      <c r="C4685" s="2" t="s">
        <v>92</v>
      </c>
      <c r="D4685" s="2" t="s">
        <v>5</v>
      </c>
    </row>
    <row r="4686">
      <c r="A4686" s="1">
        <v>43520.4458834838</v>
      </c>
      <c r="B4686" s="2">
        <v>229.0</v>
      </c>
      <c r="C4686" s="2" t="s">
        <v>86</v>
      </c>
    </row>
    <row r="4687">
      <c r="A4687" s="1">
        <v>43520.446385034724</v>
      </c>
      <c r="B4687" s="2">
        <v>726.0</v>
      </c>
      <c r="C4687" s="2" t="s">
        <v>101</v>
      </c>
      <c r="D4687" s="2" t="s">
        <v>5</v>
      </c>
    </row>
    <row r="4688">
      <c r="A4688" s="1">
        <v>43520.44717194444</v>
      </c>
      <c r="B4688" s="2">
        <v>732.0</v>
      </c>
      <c r="C4688" s="2" t="s">
        <v>102</v>
      </c>
      <c r="D4688" s="2" t="s">
        <v>5</v>
      </c>
    </row>
    <row r="4689">
      <c r="A4689" s="1">
        <v>43520.44758238426</v>
      </c>
      <c r="B4689" s="2">
        <v>641.0</v>
      </c>
      <c r="C4689" s="2" t="s">
        <v>210</v>
      </c>
    </row>
    <row r="4690">
      <c r="A4690" s="1">
        <v>43520.44814584491</v>
      </c>
      <c r="B4690" s="2">
        <v>655.0</v>
      </c>
      <c r="C4690" s="2" t="s">
        <v>17</v>
      </c>
    </row>
    <row r="4691">
      <c r="A4691" s="1">
        <v>43520.448341261574</v>
      </c>
      <c r="B4691" s="2">
        <v>614.0</v>
      </c>
      <c r="C4691" s="2" t="s">
        <v>76</v>
      </c>
    </row>
    <row r="4692">
      <c r="A4692" s="1">
        <v>43520.44852984954</v>
      </c>
      <c r="B4692" s="2">
        <v>124.0</v>
      </c>
      <c r="C4692" s="2" t="s">
        <v>107</v>
      </c>
    </row>
    <row r="4693">
      <c r="A4693" s="1">
        <v>43520.448755879625</v>
      </c>
      <c r="B4693" s="2">
        <v>267.0</v>
      </c>
      <c r="C4693" s="2" t="s">
        <v>115</v>
      </c>
    </row>
    <row r="4694">
      <c r="A4694" s="1">
        <v>43520.44905289352</v>
      </c>
      <c r="B4694" s="2">
        <v>602.0</v>
      </c>
      <c r="C4694" s="2" t="s">
        <v>131</v>
      </c>
    </row>
    <row r="4695">
      <c r="A4695" s="1">
        <v>43520.44964627315</v>
      </c>
      <c r="B4695" s="2">
        <v>602.0</v>
      </c>
      <c r="C4695" s="2" t="s">
        <v>131</v>
      </c>
    </row>
    <row r="4696">
      <c r="A4696" s="1">
        <v>43520.45022853009</v>
      </c>
      <c r="B4696" s="2">
        <v>198.0</v>
      </c>
      <c r="C4696" s="2" t="s">
        <v>97</v>
      </c>
    </row>
    <row r="4697">
      <c r="A4697" s="1">
        <v>43520.450722187496</v>
      </c>
      <c r="B4697" s="2">
        <v>702.0</v>
      </c>
      <c r="C4697" s="2" t="s">
        <v>96</v>
      </c>
      <c r="D4697" s="2" t="s">
        <v>5</v>
      </c>
    </row>
    <row r="4698">
      <c r="A4698" s="1">
        <v>43520.45092994213</v>
      </c>
      <c r="B4698" s="3" t="s">
        <v>94</v>
      </c>
      <c r="C4698" s="2" t="s">
        <v>95</v>
      </c>
    </row>
    <row r="4699">
      <c r="A4699" s="1">
        <v>43520.451254618056</v>
      </c>
      <c r="B4699" s="3" t="s">
        <v>111</v>
      </c>
      <c r="C4699" s="2" t="s">
        <v>112</v>
      </c>
    </row>
    <row r="4700">
      <c r="A4700" s="1">
        <v>43520.451709270834</v>
      </c>
      <c r="B4700" s="3" t="s">
        <v>113</v>
      </c>
      <c r="C4700" s="2" t="s">
        <v>114</v>
      </c>
    </row>
    <row r="4701">
      <c r="A4701" s="1">
        <v>43520.45248060185</v>
      </c>
      <c r="B4701" s="2">
        <v>708.0</v>
      </c>
      <c r="C4701" s="2" t="s">
        <v>4</v>
      </c>
      <c r="D4701" s="2" t="s">
        <v>5</v>
      </c>
    </row>
    <row r="4702">
      <c r="A4702" s="1">
        <v>43520.452571030095</v>
      </c>
      <c r="B4702" s="2">
        <v>709.0</v>
      </c>
      <c r="C4702" s="2" t="s">
        <v>20</v>
      </c>
      <c r="D4702" s="2" t="s">
        <v>5</v>
      </c>
    </row>
    <row r="4703">
      <c r="A4703" s="1">
        <v>43520.45267333333</v>
      </c>
      <c r="B4703" s="2">
        <v>710.0</v>
      </c>
      <c r="C4703" s="2" t="s">
        <v>21</v>
      </c>
      <c r="D4703" s="2" t="s">
        <v>5</v>
      </c>
    </row>
    <row r="4704">
      <c r="A4704" s="1">
        <v>43520.452869733796</v>
      </c>
      <c r="B4704" s="2">
        <v>719.0</v>
      </c>
      <c r="C4704" s="2" t="s">
        <v>106</v>
      </c>
      <c r="D4704" s="2" t="s">
        <v>5</v>
      </c>
    </row>
    <row r="4705">
      <c r="A4705" s="1">
        <v>43520.452977256944</v>
      </c>
      <c r="B4705" s="2">
        <v>718.0</v>
      </c>
      <c r="C4705" s="2" t="s">
        <v>105</v>
      </c>
      <c r="D4705" s="2" t="s">
        <v>5</v>
      </c>
    </row>
    <row r="4706">
      <c r="A4706" s="1">
        <v>43520.453148113425</v>
      </c>
      <c r="B4706" s="2">
        <v>101.0</v>
      </c>
      <c r="C4706" s="2" t="s">
        <v>108</v>
      </c>
    </row>
    <row r="4707">
      <c r="A4707" s="1">
        <v>43520.45400670139</v>
      </c>
      <c r="B4707" s="2">
        <v>268.0</v>
      </c>
      <c r="C4707" s="2" t="s">
        <v>205</v>
      </c>
    </row>
    <row r="4708">
      <c r="A4708" s="1">
        <v>43520.45471342593</v>
      </c>
      <c r="B4708" s="2">
        <v>126.0</v>
      </c>
      <c r="C4708" s="2" t="s">
        <v>87</v>
      </c>
    </row>
    <row r="4709">
      <c r="A4709" s="1">
        <v>43520.45501695602</v>
      </c>
      <c r="B4709" s="2">
        <v>667.0</v>
      </c>
      <c r="C4709" s="2" t="s">
        <v>73</v>
      </c>
    </row>
    <row r="4710">
      <c r="A4710" s="1">
        <v>43520.45646636574</v>
      </c>
      <c r="B4710" s="3" t="s">
        <v>9</v>
      </c>
      <c r="C4710" s="2" t="s">
        <v>10</v>
      </c>
    </row>
    <row r="4711">
      <c r="A4711" s="1">
        <v>43520.45781890047</v>
      </c>
      <c r="B4711" s="2">
        <v>663.0</v>
      </c>
      <c r="C4711" s="2" t="s">
        <v>109</v>
      </c>
    </row>
    <row r="4712">
      <c r="A4712" s="1">
        <v>43520.45816401621</v>
      </c>
      <c r="B4712" s="2">
        <v>733.0</v>
      </c>
      <c r="C4712" s="2" t="s">
        <v>110</v>
      </c>
      <c r="D4712" s="2" t="s">
        <v>5</v>
      </c>
    </row>
    <row r="4713">
      <c r="A4713" s="1">
        <v>43520.45867127315</v>
      </c>
      <c r="B4713" s="2">
        <v>738.0</v>
      </c>
      <c r="C4713" s="2" t="s">
        <v>161</v>
      </c>
    </row>
    <row r="4714">
      <c r="A4714" s="1">
        <v>43520.45979170139</v>
      </c>
      <c r="B4714" s="2">
        <v>735.0</v>
      </c>
      <c r="C4714" s="2" t="s">
        <v>37</v>
      </c>
      <c r="D4714" s="2" t="s">
        <v>5</v>
      </c>
    </row>
    <row r="4715">
      <c r="A4715" s="1">
        <v>43520.46027265047</v>
      </c>
      <c r="B4715" s="2">
        <v>612.0</v>
      </c>
      <c r="C4715" s="2" t="s">
        <v>214</v>
      </c>
    </row>
    <row r="4716">
      <c r="A4716" s="1">
        <v>43520.46078162037</v>
      </c>
      <c r="B4716" s="2">
        <v>666.0</v>
      </c>
      <c r="C4716" s="2" t="s">
        <v>192</v>
      </c>
    </row>
    <row r="4717">
      <c r="A4717" s="1">
        <v>43520.46594650463</v>
      </c>
      <c r="B4717" s="2">
        <v>712.0</v>
      </c>
      <c r="C4717" s="2" t="s">
        <v>116</v>
      </c>
      <c r="D4717" s="2" t="s">
        <v>5</v>
      </c>
    </row>
    <row r="4718">
      <c r="A4718" s="1">
        <v>43520.46918458333</v>
      </c>
      <c r="B4718" s="2">
        <v>649.0</v>
      </c>
      <c r="C4718" s="2" t="s">
        <v>177</v>
      </c>
    </row>
    <row r="4719">
      <c r="A4719" s="1">
        <v>43520.46935341435</v>
      </c>
      <c r="B4719" s="2">
        <v>648.0</v>
      </c>
      <c r="C4719" s="2" t="s">
        <v>207</v>
      </c>
    </row>
    <row r="4720">
      <c r="A4720" s="1">
        <v>43520.469560011574</v>
      </c>
      <c r="B4720" s="3" t="s">
        <v>88</v>
      </c>
      <c r="C4720" s="2" t="s">
        <v>89</v>
      </c>
    </row>
    <row r="4721">
      <c r="A4721" s="1">
        <v>43520.47570912037</v>
      </c>
      <c r="B4721" s="3" t="s">
        <v>117</v>
      </c>
      <c r="C4721" s="2" t="s">
        <v>118</v>
      </c>
    </row>
    <row r="4722">
      <c r="A4722" s="1">
        <v>43520.47622864583</v>
      </c>
      <c r="B4722" s="3" t="s">
        <v>119</v>
      </c>
      <c r="C4722" s="2" t="s">
        <v>120</v>
      </c>
    </row>
    <row r="4723">
      <c r="A4723" s="1">
        <v>43520.48317222222</v>
      </c>
      <c r="B4723" s="2">
        <v>237.0</v>
      </c>
      <c r="C4723" s="2" t="s">
        <v>140</v>
      </c>
    </row>
    <row r="4724">
      <c r="A4724" s="1">
        <v>43520.48357836806</v>
      </c>
      <c r="B4724" s="2">
        <v>705.0</v>
      </c>
      <c r="C4724" s="2" t="s">
        <v>168</v>
      </c>
      <c r="D4724" s="2" t="s">
        <v>5</v>
      </c>
    </row>
    <row r="4725">
      <c r="A4725" s="1">
        <v>43521.070455196765</v>
      </c>
      <c r="B4725" s="2">
        <v>703.0</v>
      </c>
      <c r="C4725" s="2" t="s">
        <v>157</v>
      </c>
      <c r="D4725" s="2" t="s">
        <v>5</v>
      </c>
    </row>
    <row r="4726">
      <c r="A4726" s="1">
        <v>43521.07117815972</v>
      </c>
      <c r="B4726" s="2">
        <v>653.0</v>
      </c>
      <c r="C4726" s="2" t="s">
        <v>77</v>
      </c>
    </row>
    <row r="4727">
      <c r="A4727" s="1">
        <v>43521.074191817126</v>
      </c>
      <c r="B4727" s="2">
        <v>270.0</v>
      </c>
      <c r="C4727" s="2" t="s">
        <v>153</v>
      </c>
    </row>
    <row r="4728">
      <c r="A4728" s="1">
        <v>43521.50634692129</v>
      </c>
      <c r="B4728" s="2">
        <v>713.0</v>
      </c>
      <c r="C4728" s="2" t="s">
        <v>121</v>
      </c>
      <c r="D4728" s="2" t="s">
        <v>5</v>
      </c>
    </row>
    <row r="4729">
      <c r="A4729" s="1">
        <v>43521.506482303244</v>
      </c>
      <c r="B4729" s="2">
        <v>717.0</v>
      </c>
      <c r="C4729" s="2" t="s">
        <v>152</v>
      </c>
      <c r="D4729" s="2" t="s">
        <v>5</v>
      </c>
    </row>
    <row r="4730">
      <c r="A4730" s="1">
        <v>43521.50668978009</v>
      </c>
      <c r="B4730" s="2">
        <v>714.0</v>
      </c>
      <c r="C4730" s="2" t="s">
        <v>122</v>
      </c>
      <c r="D4730" s="2" t="s">
        <v>5</v>
      </c>
    </row>
    <row r="4731">
      <c r="A4731" s="1">
        <v>43522.42907888889</v>
      </c>
      <c r="B4731" s="2">
        <v>259.0</v>
      </c>
      <c r="C4731" s="2" t="s">
        <v>66</v>
      </c>
    </row>
    <row r="4732">
      <c r="A4732" s="1">
        <v>43525.40068855324</v>
      </c>
      <c r="B4732" s="2">
        <v>609.0</v>
      </c>
      <c r="C4732" s="2" t="s">
        <v>179</v>
      </c>
    </row>
    <row r="4733">
      <c r="A4733" s="1">
        <v>43525.402555775465</v>
      </c>
      <c r="B4733" s="2">
        <v>609.0</v>
      </c>
      <c r="C4733" s="2" t="s">
        <v>179</v>
      </c>
    </row>
    <row r="4734">
      <c r="A4734" s="1">
        <v>43527.40197615741</v>
      </c>
      <c r="B4734" s="2">
        <v>141.0</v>
      </c>
      <c r="C4734" s="2" t="s">
        <v>53</v>
      </c>
    </row>
    <row r="4735">
      <c r="A4735" s="1">
        <v>43527.40216815972</v>
      </c>
      <c r="B4735" s="2">
        <v>141.0</v>
      </c>
      <c r="C4735" s="2" t="s">
        <v>53</v>
      </c>
    </row>
    <row r="4736">
      <c r="A4736" s="1">
        <v>43527.402394247685</v>
      </c>
      <c r="B4736" s="2">
        <v>707.0</v>
      </c>
      <c r="C4736" s="2" t="s">
        <v>57</v>
      </c>
      <c r="D4736" s="2" t="s">
        <v>5</v>
      </c>
    </row>
    <row r="4737">
      <c r="A4737" s="1">
        <v>43527.402704988424</v>
      </c>
      <c r="B4737" s="2">
        <v>729.0</v>
      </c>
      <c r="C4737" s="2" t="s">
        <v>57</v>
      </c>
      <c r="D4737" s="2" t="s">
        <v>5</v>
      </c>
    </row>
    <row r="4738">
      <c r="A4738" s="1">
        <v>43527.41445818287</v>
      </c>
      <c r="B4738" s="2">
        <v>246.0</v>
      </c>
      <c r="C4738" s="2" t="s">
        <v>26</v>
      </c>
    </row>
    <row r="4739">
      <c r="A4739" s="1">
        <v>43527.418705902775</v>
      </c>
      <c r="B4739" s="2">
        <v>158.0</v>
      </c>
      <c r="C4739" s="2" t="s">
        <v>62</v>
      </c>
    </row>
    <row r="4740">
      <c r="A4740" s="1">
        <v>43527.418829155096</v>
      </c>
      <c r="B4740" s="2">
        <v>172.0</v>
      </c>
      <c r="C4740" s="2" t="s">
        <v>65</v>
      </c>
    </row>
    <row r="4741">
      <c r="A4741" s="1">
        <v>43527.41897142361</v>
      </c>
      <c r="B4741" s="2">
        <v>238.0</v>
      </c>
      <c r="C4741" s="2" t="s">
        <v>35</v>
      </c>
    </row>
    <row r="4742">
      <c r="A4742" s="1">
        <v>43527.41930173611</v>
      </c>
      <c r="B4742" s="2">
        <v>238.0</v>
      </c>
      <c r="C4742" s="2" t="s">
        <v>35</v>
      </c>
    </row>
    <row r="4743">
      <c r="A4743" s="1">
        <v>43527.41989446759</v>
      </c>
      <c r="B4743" s="2">
        <v>614.0</v>
      </c>
      <c r="C4743" s="2" t="s">
        <v>76</v>
      </c>
    </row>
    <row r="4744">
      <c r="A4744" s="1">
        <v>43527.421221620374</v>
      </c>
      <c r="B4744" s="2">
        <v>214.0</v>
      </c>
      <c r="C4744" s="2" t="s">
        <v>47</v>
      </c>
    </row>
    <row r="4745">
      <c r="A4745" s="1">
        <v>43527.421490451394</v>
      </c>
      <c r="B4745" s="2">
        <v>735.0</v>
      </c>
      <c r="C4745" s="2" t="s">
        <v>37</v>
      </c>
      <c r="D4745" s="2" t="s">
        <v>5</v>
      </c>
    </row>
    <row r="4746">
      <c r="A4746" s="1">
        <v>43527.42308783565</v>
      </c>
      <c r="B4746" s="2">
        <v>605.0</v>
      </c>
      <c r="C4746" s="2" t="s">
        <v>206</v>
      </c>
    </row>
    <row r="4747">
      <c r="A4747" s="1">
        <v>43527.42371703703</v>
      </c>
      <c r="B4747" s="2">
        <v>215.0</v>
      </c>
      <c r="C4747" s="2" t="s">
        <v>137</v>
      </c>
    </row>
    <row r="4748">
      <c r="A4748" s="1">
        <v>43527.424235</v>
      </c>
      <c r="B4748" s="3" t="s">
        <v>159</v>
      </c>
      <c r="C4748" s="2" t="s">
        <v>160</v>
      </c>
    </row>
    <row r="4749">
      <c r="A4749" s="1">
        <v>43527.4247750463</v>
      </c>
      <c r="B4749" s="2">
        <v>207.0</v>
      </c>
      <c r="C4749" s="2" t="s">
        <v>85</v>
      </c>
    </row>
    <row r="4750">
      <c r="A4750" s="1">
        <v>43527.42507601852</v>
      </c>
      <c r="B4750" s="2">
        <v>219.0</v>
      </c>
      <c r="C4750" s="2" t="s">
        <v>31</v>
      </c>
    </row>
    <row r="4751">
      <c r="A4751" s="1">
        <v>43527.42549569445</v>
      </c>
      <c r="B4751" s="3" t="s">
        <v>126</v>
      </c>
      <c r="C4751" s="2" t="s">
        <v>127</v>
      </c>
    </row>
    <row r="4752">
      <c r="A4752" s="1">
        <v>43527.425757777775</v>
      </c>
      <c r="B4752" s="2">
        <v>52.0</v>
      </c>
      <c r="C4752" s="2" t="s">
        <v>41</v>
      </c>
    </row>
    <row r="4753">
      <c r="A4753" s="1">
        <v>43527.42660461806</v>
      </c>
      <c r="B4753" s="3" t="s">
        <v>82</v>
      </c>
      <c r="C4753" s="2" t="s">
        <v>83</v>
      </c>
    </row>
    <row r="4754">
      <c r="A4754" s="1">
        <v>43527.42800008102</v>
      </c>
      <c r="B4754" s="2">
        <v>262.0</v>
      </c>
      <c r="C4754" s="2" t="s">
        <v>28</v>
      </c>
    </row>
    <row r="4755">
      <c r="A4755" s="1">
        <v>43527.42808846065</v>
      </c>
      <c r="B4755" s="2">
        <v>207.0</v>
      </c>
      <c r="C4755" s="2" t="s">
        <v>85</v>
      </c>
    </row>
    <row r="4756">
      <c r="A4756" s="1">
        <v>43527.428169363426</v>
      </c>
      <c r="B4756" s="2">
        <v>607.0</v>
      </c>
      <c r="C4756" s="2" t="s">
        <v>68</v>
      </c>
    </row>
    <row r="4757">
      <c r="A4757" s="1">
        <v>43527.42818313657</v>
      </c>
      <c r="B4757" s="2">
        <v>618.0</v>
      </c>
      <c r="C4757" s="2" t="s">
        <v>147</v>
      </c>
    </row>
    <row r="4758">
      <c r="A4758" s="1">
        <v>43527.428339861115</v>
      </c>
      <c r="B4758" s="2">
        <v>165.0</v>
      </c>
      <c r="C4758" s="2" t="s">
        <v>50</v>
      </c>
    </row>
    <row r="4759">
      <c r="A4759" s="1">
        <v>43527.42874440972</v>
      </c>
      <c r="B4759" s="3" t="s">
        <v>32</v>
      </c>
      <c r="C4759" s="2" t="s">
        <v>33</v>
      </c>
    </row>
    <row r="4760">
      <c r="A4760" s="1">
        <v>43527.4291915162</v>
      </c>
      <c r="B4760" s="3" t="s">
        <v>32</v>
      </c>
      <c r="C4760" s="2" t="s">
        <v>33</v>
      </c>
    </row>
    <row r="4761">
      <c r="A4761" s="1">
        <v>43527.42962879629</v>
      </c>
      <c r="B4761" s="2">
        <v>621.0</v>
      </c>
      <c r="C4761" s="2" t="s">
        <v>215</v>
      </c>
    </row>
    <row r="4762">
      <c r="A4762" s="1">
        <v>43527.42973752315</v>
      </c>
      <c r="B4762" s="2">
        <v>621.0</v>
      </c>
      <c r="C4762" s="2" t="s">
        <v>215</v>
      </c>
    </row>
    <row r="4763">
      <c r="A4763" s="1">
        <v>43527.43013055556</v>
      </c>
      <c r="B4763" s="2">
        <v>231.0</v>
      </c>
      <c r="C4763" s="2" t="s">
        <v>61</v>
      </c>
    </row>
    <row r="4764">
      <c r="A4764" s="1">
        <v>43527.430308738425</v>
      </c>
      <c r="B4764" s="2">
        <v>126.0</v>
      </c>
      <c r="C4764" s="2" t="s">
        <v>87</v>
      </c>
    </row>
    <row r="4765">
      <c r="A4765" s="1">
        <v>43527.43035289352</v>
      </c>
      <c r="B4765" s="3" t="s">
        <v>74</v>
      </c>
      <c r="C4765" s="2" t="s">
        <v>75</v>
      </c>
    </row>
    <row r="4766">
      <c r="A4766" s="1">
        <v>43527.43043962963</v>
      </c>
      <c r="B4766" s="2">
        <v>173.0</v>
      </c>
      <c r="C4766" s="2" t="s">
        <v>24</v>
      </c>
    </row>
    <row r="4767">
      <c r="A4767" s="1">
        <v>43527.43066372685</v>
      </c>
      <c r="B4767" s="3" t="s">
        <v>111</v>
      </c>
      <c r="C4767" s="2" t="s">
        <v>112</v>
      </c>
    </row>
    <row r="4768">
      <c r="A4768" s="1">
        <v>43527.43088428241</v>
      </c>
      <c r="B4768" s="2">
        <v>229.0</v>
      </c>
      <c r="C4768" s="2" t="s">
        <v>86</v>
      </c>
    </row>
    <row r="4769">
      <c r="A4769" s="1">
        <v>43527.43104023148</v>
      </c>
      <c r="B4769" s="2">
        <v>113.0</v>
      </c>
      <c r="C4769" s="2" t="s">
        <v>29</v>
      </c>
    </row>
    <row r="4770">
      <c r="A4770" s="1">
        <v>43527.431291712965</v>
      </c>
      <c r="B4770" s="2">
        <v>193.0</v>
      </c>
      <c r="C4770" s="2" t="s">
        <v>30</v>
      </c>
    </row>
    <row r="4771">
      <c r="A4771" s="1">
        <v>43527.43148277778</v>
      </c>
      <c r="B4771" s="2">
        <v>257.0</v>
      </c>
      <c r="C4771" s="2" t="s">
        <v>27</v>
      </c>
    </row>
    <row r="4772">
      <c r="A4772" s="1">
        <v>43527.43179112268</v>
      </c>
      <c r="B4772" s="2">
        <v>643.0</v>
      </c>
      <c r="C4772" s="2" t="s">
        <v>166</v>
      </c>
    </row>
    <row r="4773">
      <c r="A4773" s="1">
        <v>43527.43192887731</v>
      </c>
      <c r="B4773" s="3" t="s">
        <v>22</v>
      </c>
      <c r="C4773" s="2" t="s">
        <v>23</v>
      </c>
    </row>
    <row r="4774">
      <c r="A4774" s="1">
        <v>43527.432172685185</v>
      </c>
      <c r="B4774" s="3" t="s">
        <v>82</v>
      </c>
      <c r="C4774" s="2" t="s">
        <v>83</v>
      </c>
    </row>
    <row r="4775">
      <c r="A4775" s="1">
        <v>43527.432504131946</v>
      </c>
      <c r="B4775" s="3" t="s">
        <v>78</v>
      </c>
      <c r="C4775" s="2" t="s">
        <v>79</v>
      </c>
    </row>
    <row r="4776">
      <c r="A4776" s="1">
        <v>43527.43311657407</v>
      </c>
      <c r="B4776" s="3" t="s">
        <v>184</v>
      </c>
      <c r="C4776" s="2" t="s">
        <v>185</v>
      </c>
    </row>
    <row r="4777">
      <c r="A4777" s="1">
        <v>43527.43320371528</v>
      </c>
      <c r="B4777" s="3" t="s">
        <v>186</v>
      </c>
      <c r="C4777" s="2" t="s">
        <v>187</v>
      </c>
    </row>
    <row r="4778">
      <c r="A4778" s="1">
        <v>43527.433536331024</v>
      </c>
      <c r="B4778" s="2">
        <v>244.0</v>
      </c>
      <c r="C4778" s="2" t="s">
        <v>38</v>
      </c>
    </row>
    <row r="4779">
      <c r="A4779" s="1">
        <v>43527.43370471065</v>
      </c>
      <c r="B4779" s="2">
        <v>167.0</v>
      </c>
      <c r="C4779" s="2" t="s">
        <v>39</v>
      </c>
    </row>
    <row r="4780">
      <c r="A4780" s="1">
        <v>43527.43371537037</v>
      </c>
      <c r="B4780" s="3" t="s">
        <v>88</v>
      </c>
      <c r="C4780" s="2" t="s">
        <v>89</v>
      </c>
    </row>
    <row r="4781">
      <c r="A4781" s="1">
        <v>43527.43418725695</v>
      </c>
      <c r="B4781" s="3" t="s">
        <v>88</v>
      </c>
      <c r="C4781" s="2" t="s">
        <v>89</v>
      </c>
    </row>
    <row r="4782">
      <c r="A4782" s="1">
        <v>43527.43437582176</v>
      </c>
      <c r="B4782" s="2">
        <v>259.0</v>
      </c>
      <c r="C4782" s="2" t="s">
        <v>66</v>
      </c>
    </row>
    <row r="4783">
      <c r="A4783" s="1">
        <v>43527.434483784724</v>
      </c>
      <c r="B4783" s="2">
        <v>260.0</v>
      </c>
      <c r="C4783" s="2" t="s">
        <v>67</v>
      </c>
    </row>
    <row r="4784">
      <c r="A4784" s="1">
        <v>43527.4347527662</v>
      </c>
      <c r="B4784" s="2">
        <v>210.0</v>
      </c>
      <c r="C4784" s="2" t="s">
        <v>64</v>
      </c>
    </row>
    <row r="4785">
      <c r="A4785" s="1">
        <v>43527.43498974537</v>
      </c>
      <c r="B4785" s="2">
        <v>673.0</v>
      </c>
      <c r="C4785" s="2" t="s">
        <v>189</v>
      </c>
    </row>
    <row r="4786">
      <c r="A4786" s="1">
        <v>43527.435370590276</v>
      </c>
      <c r="B4786" s="2">
        <v>734.0</v>
      </c>
      <c r="C4786" s="2" t="s">
        <v>63</v>
      </c>
      <c r="D4786" s="2" t="s">
        <v>5</v>
      </c>
    </row>
    <row r="4787">
      <c r="A4787" s="1">
        <v>43527.43545420139</v>
      </c>
      <c r="B4787" s="2">
        <v>611.0</v>
      </c>
      <c r="C4787" s="2" t="s">
        <v>143</v>
      </c>
    </row>
    <row r="4788">
      <c r="A4788" s="1">
        <v>43527.43566265046</v>
      </c>
      <c r="B4788" s="2">
        <v>722.0</v>
      </c>
      <c r="C4788" s="2" t="s">
        <v>25</v>
      </c>
      <c r="D4788" s="2" t="s">
        <v>5</v>
      </c>
    </row>
    <row r="4789">
      <c r="A4789" s="1">
        <v>43527.43586658565</v>
      </c>
      <c r="B4789" s="2">
        <v>631.0</v>
      </c>
      <c r="C4789" s="2" t="s">
        <v>178</v>
      </c>
    </row>
    <row r="4790">
      <c r="A4790" s="1">
        <v>43527.43602533565</v>
      </c>
      <c r="B4790" s="2">
        <v>738.0</v>
      </c>
      <c r="C4790" s="2" t="s">
        <v>161</v>
      </c>
    </row>
    <row r="4791">
      <c r="A4791" s="1">
        <v>43527.4368553588</v>
      </c>
      <c r="B4791" s="2">
        <v>267.0</v>
      </c>
      <c r="C4791" s="2" t="s">
        <v>115</v>
      </c>
    </row>
    <row r="4792">
      <c r="A4792" s="1">
        <v>43527.43731807871</v>
      </c>
      <c r="B4792" s="3" t="s">
        <v>44</v>
      </c>
      <c r="C4792" s="2" t="s">
        <v>45</v>
      </c>
    </row>
    <row r="4793">
      <c r="A4793" s="1">
        <v>43527.4377702662</v>
      </c>
      <c r="B4793" s="3" t="s">
        <v>51</v>
      </c>
      <c r="C4793" s="2" t="s">
        <v>52</v>
      </c>
    </row>
    <row r="4794">
      <c r="A4794" s="1">
        <v>43527.43818981481</v>
      </c>
      <c r="B4794" s="3" t="s">
        <v>42</v>
      </c>
      <c r="C4794" s="2" t="s">
        <v>43</v>
      </c>
    </row>
    <row r="4795">
      <c r="A4795" s="1">
        <v>43527.438459930556</v>
      </c>
      <c r="B4795" s="2">
        <v>253.0</v>
      </c>
      <c r="C4795" s="2" t="s">
        <v>138</v>
      </c>
    </row>
    <row r="4796">
      <c r="A4796" s="1">
        <v>43527.4386609375</v>
      </c>
      <c r="B4796" s="2">
        <v>631.0</v>
      </c>
      <c r="C4796" s="2" t="s">
        <v>178</v>
      </c>
    </row>
    <row r="4797">
      <c r="A4797" s="1">
        <v>43527.43878150463</v>
      </c>
      <c r="B4797" s="2">
        <v>624.0</v>
      </c>
      <c r="C4797" s="2" t="s">
        <v>90</v>
      </c>
    </row>
    <row r="4798">
      <c r="A4798" s="1">
        <v>43527.43891282407</v>
      </c>
      <c r="B4798" s="2">
        <v>647.0</v>
      </c>
      <c r="C4798" s="2" t="s">
        <v>217</v>
      </c>
    </row>
    <row r="4799">
      <c r="A4799" s="1">
        <v>43527.43898607639</v>
      </c>
      <c r="B4799" s="2">
        <v>648.0</v>
      </c>
      <c r="C4799" s="2" t="s">
        <v>207</v>
      </c>
    </row>
    <row r="4800">
      <c r="A4800" s="1">
        <v>43527.43922983797</v>
      </c>
      <c r="B4800" s="2">
        <v>724.0</v>
      </c>
      <c r="C4800" s="2" t="s">
        <v>91</v>
      </c>
      <c r="D4800" s="2" t="s">
        <v>5</v>
      </c>
    </row>
    <row r="4801">
      <c r="A4801" s="1">
        <v>43527.43944178241</v>
      </c>
      <c r="B4801" s="2">
        <v>653.0</v>
      </c>
      <c r="C4801" s="2" t="s">
        <v>77</v>
      </c>
    </row>
    <row r="4802">
      <c r="A4802" s="1">
        <v>43527.43957055555</v>
      </c>
      <c r="B4802" s="3" t="s">
        <v>80</v>
      </c>
      <c r="C4802" s="2" t="s">
        <v>81</v>
      </c>
    </row>
    <row r="4803">
      <c r="A4803" s="1">
        <v>43527.44276232639</v>
      </c>
      <c r="B4803" s="3" t="s">
        <v>98</v>
      </c>
      <c r="C4803" s="2" t="s">
        <v>99</v>
      </c>
    </row>
    <row r="4804">
      <c r="A4804" s="1">
        <v>43527.44294538195</v>
      </c>
      <c r="B4804" s="2">
        <v>726.0</v>
      </c>
      <c r="C4804" s="2" t="s">
        <v>101</v>
      </c>
      <c r="D4804" s="2" t="s">
        <v>5</v>
      </c>
    </row>
    <row r="4805">
      <c r="A4805" s="1">
        <v>43527.44307479166</v>
      </c>
      <c r="B4805" s="2">
        <v>732.0</v>
      </c>
      <c r="C4805" s="2" t="s">
        <v>102</v>
      </c>
      <c r="D4805" s="2" t="s">
        <v>5</v>
      </c>
    </row>
    <row r="4806">
      <c r="A4806" s="1">
        <v>43527.44375265046</v>
      </c>
      <c r="B4806" s="2">
        <v>723.0</v>
      </c>
      <c r="C4806" s="2" t="s">
        <v>84</v>
      </c>
      <c r="D4806" s="2" t="s">
        <v>5</v>
      </c>
    </row>
    <row r="4807">
      <c r="A4807" s="1">
        <v>43527.446338657406</v>
      </c>
      <c r="B4807" s="3" t="s">
        <v>113</v>
      </c>
      <c r="C4807" s="2" t="s">
        <v>114</v>
      </c>
    </row>
    <row r="4808">
      <c r="A4808" s="1">
        <v>43527.44647582176</v>
      </c>
      <c r="B4808" s="2">
        <v>124.0</v>
      </c>
      <c r="C4808" s="2" t="s">
        <v>107</v>
      </c>
    </row>
    <row r="4809">
      <c r="A4809" s="1">
        <v>43527.44663371528</v>
      </c>
      <c r="B4809" s="2">
        <v>101.0</v>
      </c>
      <c r="C4809" s="2" t="s">
        <v>108</v>
      </c>
    </row>
    <row r="4810">
      <c r="A4810" s="1">
        <v>43527.44686818287</v>
      </c>
      <c r="B4810" s="2">
        <v>718.0</v>
      </c>
      <c r="C4810" s="2" t="s">
        <v>105</v>
      </c>
      <c r="D4810" s="2" t="s">
        <v>5</v>
      </c>
    </row>
    <row r="4811">
      <c r="A4811" s="1">
        <v>43527.44694875</v>
      </c>
      <c r="B4811" s="2">
        <v>719.0</v>
      </c>
      <c r="C4811" s="2" t="s">
        <v>106</v>
      </c>
      <c r="D4811" s="2" t="s">
        <v>5</v>
      </c>
    </row>
    <row r="4812">
      <c r="A4812" s="1">
        <v>43527.44906800926</v>
      </c>
      <c r="B4812" s="2">
        <v>601.0</v>
      </c>
      <c r="C4812" s="2" t="s">
        <v>125</v>
      </c>
    </row>
    <row r="4813">
      <c r="A4813" s="1">
        <v>43527.44998329861</v>
      </c>
      <c r="B4813" s="2">
        <v>665.0</v>
      </c>
      <c r="C4813" s="2" t="s">
        <v>145</v>
      </c>
    </row>
    <row r="4814">
      <c r="A4814" s="1">
        <v>43527.45079609954</v>
      </c>
      <c r="B4814" s="2">
        <v>602.0</v>
      </c>
      <c r="C4814" s="2" t="s">
        <v>131</v>
      </c>
    </row>
    <row r="4815">
      <c r="A4815" s="1">
        <v>43527.45115826389</v>
      </c>
      <c r="B4815" s="2">
        <v>663.0</v>
      </c>
      <c r="C4815" s="2" t="s">
        <v>109</v>
      </c>
    </row>
    <row r="4816">
      <c r="A4816" s="1">
        <v>43527.451419247685</v>
      </c>
      <c r="B4816" s="2">
        <v>733.0</v>
      </c>
      <c r="C4816" s="2" t="s">
        <v>110</v>
      </c>
      <c r="D4816" s="2" t="s">
        <v>5</v>
      </c>
    </row>
    <row r="4817">
      <c r="A4817" s="1">
        <v>43527.46014476852</v>
      </c>
      <c r="B4817" s="2">
        <v>655.0</v>
      </c>
      <c r="C4817" s="2" t="s">
        <v>17</v>
      </c>
    </row>
    <row r="4818">
      <c r="A4818" s="1">
        <v>43527.46099663194</v>
      </c>
      <c r="B4818" s="3" t="s">
        <v>103</v>
      </c>
      <c r="C4818" s="2" t="s">
        <v>104</v>
      </c>
    </row>
    <row r="4819">
      <c r="A4819" s="1">
        <v>43527.462927071756</v>
      </c>
      <c r="B4819" s="3" t="s">
        <v>103</v>
      </c>
      <c r="C4819" s="2" t="s">
        <v>104</v>
      </c>
    </row>
    <row r="4820">
      <c r="A4820" s="1">
        <v>43529.03928561343</v>
      </c>
      <c r="B4820" s="2">
        <v>649.0</v>
      </c>
      <c r="C4820" s="2" t="s">
        <v>177</v>
      </c>
    </row>
    <row r="4821">
      <c r="A4821" s="1">
        <v>43529.39422930556</v>
      </c>
      <c r="B4821" s="2">
        <v>649.0</v>
      </c>
      <c r="C4821" s="2" t="s">
        <v>177</v>
      </c>
    </row>
    <row r="4822">
      <c r="A4822" s="1">
        <v>43529.395296331015</v>
      </c>
      <c r="B4822" s="2">
        <v>207.0</v>
      </c>
      <c r="C4822" s="2" t="s">
        <v>85</v>
      </c>
    </row>
    <row r="4823">
      <c r="A4823" s="1">
        <v>43529.39626927083</v>
      </c>
      <c r="B4823" s="2">
        <v>604.0</v>
      </c>
      <c r="C4823" s="2" t="s">
        <v>36</v>
      </c>
    </row>
    <row r="4824">
      <c r="A4824" s="1">
        <v>43529.57568633102</v>
      </c>
      <c r="B4824" s="2">
        <v>609.0</v>
      </c>
      <c r="C4824" s="2" t="s">
        <v>179</v>
      </c>
    </row>
    <row r="4825">
      <c r="A4825" s="1">
        <v>43529.5782016088</v>
      </c>
      <c r="B4825" s="2">
        <v>656.0</v>
      </c>
      <c r="C4825" s="2" t="s">
        <v>144</v>
      </c>
    </row>
    <row r="4826">
      <c r="A4826" s="1">
        <v>43529.578674675926</v>
      </c>
      <c r="B4826" s="2">
        <v>656.0</v>
      </c>
      <c r="C4826" s="2" t="s">
        <v>144</v>
      </c>
    </row>
    <row r="4827">
      <c r="A4827" s="1">
        <v>43529.57883633102</v>
      </c>
      <c r="B4827" s="2">
        <v>609.0</v>
      </c>
      <c r="C4827" s="2" t="s">
        <v>179</v>
      </c>
    </row>
    <row r="4828">
      <c r="A4828" s="1">
        <v>43529.72800181713</v>
      </c>
      <c r="B4828" s="2">
        <v>609.0</v>
      </c>
      <c r="C4828" s="2" t="s">
        <v>179</v>
      </c>
    </row>
    <row r="4829">
      <c r="A4829" s="1">
        <v>43534.42587907407</v>
      </c>
      <c r="B4829" s="2">
        <v>113.0</v>
      </c>
      <c r="C4829" s="2" t="s">
        <v>29</v>
      </c>
    </row>
    <row r="4830">
      <c r="A4830" s="1">
        <v>43534.4261596412</v>
      </c>
      <c r="B4830" s="2">
        <v>618.0</v>
      </c>
      <c r="C4830" s="2" t="s">
        <v>147</v>
      </c>
    </row>
    <row r="4831">
      <c r="A4831" s="1">
        <v>43534.426390451394</v>
      </c>
      <c r="B4831" s="2">
        <v>165.0</v>
      </c>
      <c r="C4831" s="2" t="s">
        <v>50</v>
      </c>
    </row>
    <row r="4832">
      <c r="A4832" s="1">
        <v>43534.42823348379</v>
      </c>
      <c r="B4832" s="2">
        <v>210.0</v>
      </c>
      <c r="C4832" s="2" t="s">
        <v>64</v>
      </c>
    </row>
    <row r="4833">
      <c r="A4833" s="1">
        <v>43534.4291716088</v>
      </c>
      <c r="B4833" s="2">
        <v>219.0</v>
      </c>
      <c r="C4833" s="2" t="s">
        <v>31</v>
      </c>
    </row>
    <row r="4834">
      <c r="A4834" s="1">
        <v>43534.43019077546</v>
      </c>
      <c r="B4834" s="2">
        <v>167.0</v>
      </c>
      <c r="C4834" s="2" t="s">
        <v>39</v>
      </c>
    </row>
    <row r="4835">
      <c r="A4835" s="1">
        <v>43534.43347222223</v>
      </c>
      <c r="B4835" s="2">
        <v>189.0</v>
      </c>
      <c r="C4835" s="2" t="s">
        <v>128</v>
      </c>
    </row>
    <row r="4836">
      <c r="A4836" s="1">
        <v>43534.43385386574</v>
      </c>
      <c r="B4836" s="2">
        <v>215.0</v>
      </c>
      <c r="C4836" s="2" t="s">
        <v>137</v>
      </c>
    </row>
    <row r="4837">
      <c r="A4837" s="1">
        <v>43534.4339828125</v>
      </c>
      <c r="B4837" s="2">
        <v>158.0</v>
      </c>
      <c r="C4837" s="2" t="s">
        <v>62</v>
      </c>
    </row>
    <row r="4838">
      <c r="A4838" s="1">
        <v>43534.43422737268</v>
      </c>
      <c r="B4838" s="2">
        <v>624.0</v>
      </c>
      <c r="C4838" s="2" t="s">
        <v>90</v>
      </c>
    </row>
    <row r="4839">
      <c r="A4839" s="1">
        <v>43534.43444915509</v>
      </c>
      <c r="B4839" s="2">
        <v>724.0</v>
      </c>
      <c r="C4839" s="2" t="s">
        <v>91</v>
      </c>
      <c r="D4839" s="2" t="s">
        <v>5</v>
      </c>
    </row>
    <row r="4840">
      <c r="A4840" s="1">
        <v>43534.43517193287</v>
      </c>
      <c r="B4840" s="2">
        <v>707.0</v>
      </c>
      <c r="C4840" s="2" t="s">
        <v>57</v>
      </c>
      <c r="D4840" s="2" t="s">
        <v>5</v>
      </c>
    </row>
    <row r="4841">
      <c r="A4841" s="1">
        <v>43534.43523974537</v>
      </c>
      <c r="B4841" s="2">
        <v>707.0</v>
      </c>
      <c r="C4841" s="2" t="s">
        <v>57</v>
      </c>
      <c r="D4841" s="2" t="s">
        <v>5</v>
      </c>
    </row>
    <row r="4842">
      <c r="A4842" s="1">
        <v>43534.435399305556</v>
      </c>
      <c r="B4842" s="2">
        <v>141.0</v>
      </c>
      <c r="C4842" s="2" t="s">
        <v>53</v>
      </c>
    </row>
    <row r="4843">
      <c r="A4843" s="1">
        <v>43534.435437858796</v>
      </c>
      <c r="B4843" s="2">
        <v>643.0</v>
      </c>
      <c r="C4843" s="2" t="s">
        <v>166</v>
      </c>
    </row>
    <row r="4844">
      <c r="A4844" s="1">
        <v>43534.43545283565</v>
      </c>
      <c r="B4844" s="2">
        <v>141.0</v>
      </c>
      <c r="C4844" s="2" t="s">
        <v>53</v>
      </c>
    </row>
    <row r="4845">
      <c r="A4845" s="1">
        <v>43534.4356569213</v>
      </c>
      <c r="B4845" s="2">
        <v>214.0</v>
      </c>
      <c r="C4845" s="2" t="s">
        <v>47</v>
      </c>
    </row>
    <row r="4846">
      <c r="A4846" s="1">
        <v>43534.43588542824</v>
      </c>
      <c r="B4846" s="2">
        <v>729.0</v>
      </c>
      <c r="C4846" s="2" t="s">
        <v>54</v>
      </c>
      <c r="D4846" s="2" t="s">
        <v>5</v>
      </c>
    </row>
    <row r="4847">
      <c r="A4847" s="1">
        <v>43534.435960636576</v>
      </c>
      <c r="B4847" s="2">
        <v>605.0</v>
      </c>
      <c r="C4847" s="2" t="s">
        <v>206</v>
      </c>
    </row>
    <row r="4848">
      <c r="A4848" s="1">
        <v>43534.435978587964</v>
      </c>
      <c r="B4848" s="3" t="s">
        <v>55</v>
      </c>
      <c r="C4848" s="2" t="s">
        <v>56</v>
      </c>
    </row>
    <row r="4849">
      <c r="A4849" s="1">
        <v>43534.43609695602</v>
      </c>
      <c r="B4849" s="3" t="s">
        <v>32</v>
      </c>
      <c r="C4849" s="2" t="s">
        <v>33</v>
      </c>
    </row>
    <row r="4850">
      <c r="A4850" s="1">
        <v>43534.43628592593</v>
      </c>
      <c r="B4850" s="3" t="s">
        <v>44</v>
      </c>
      <c r="C4850" s="2" t="s">
        <v>45</v>
      </c>
    </row>
    <row r="4851">
      <c r="A4851" s="1">
        <v>43534.436474131944</v>
      </c>
      <c r="B4851" s="2">
        <v>707.0</v>
      </c>
      <c r="C4851" s="2" t="s">
        <v>57</v>
      </c>
      <c r="D4851" s="2" t="s">
        <v>5</v>
      </c>
    </row>
    <row r="4852">
      <c r="A4852" s="1">
        <v>43534.43647552084</v>
      </c>
      <c r="B4852" s="2">
        <v>673.0</v>
      </c>
      <c r="C4852" s="2" t="s">
        <v>189</v>
      </c>
    </row>
    <row r="4853">
      <c r="A4853" s="1">
        <v>43534.4365684838</v>
      </c>
      <c r="B4853" s="2">
        <v>141.0</v>
      </c>
      <c r="C4853" s="2" t="s">
        <v>53</v>
      </c>
    </row>
    <row r="4854">
      <c r="A4854" s="1">
        <v>43534.436646041664</v>
      </c>
      <c r="B4854" s="3" t="s">
        <v>55</v>
      </c>
      <c r="C4854" s="2" t="s">
        <v>56</v>
      </c>
    </row>
    <row r="4855">
      <c r="A4855" s="1">
        <v>43534.43673104167</v>
      </c>
      <c r="B4855" s="2">
        <v>729.0</v>
      </c>
      <c r="C4855" s="2" t="s">
        <v>54</v>
      </c>
      <c r="D4855" s="2" t="s">
        <v>5</v>
      </c>
    </row>
    <row r="4856">
      <c r="A4856" s="1">
        <v>43534.43680195602</v>
      </c>
      <c r="B4856" s="2">
        <v>607.0</v>
      </c>
      <c r="C4856" s="2" t="s">
        <v>68</v>
      </c>
    </row>
    <row r="4857">
      <c r="A4857" s="1">
        <v>43534.43697811343</v>
      </c>
      <c r="B4857" s="2">
        <v>173.0</v>
      </c>
      <c r="C4857" s="2" t="s">
        <v>24</v>
      </c>
    </row>
    <row r="4858">
      <c r="A4858" s="1">
        <v>43534.43707101852</v>
      </c>
      <c r="B4858" s="2">
        <v>175.0</v>
      </c>
      <c r="C4858" s="2" t="s">
        <v>69</v>
      </c>
    </row>
    <row r="4859">
      <c r="A4859" s="1">
        <v>43534.4372224074</v>
      </c>
      <c r="B4859" s="2">
        <v>229.0</v>
      </c>
      <c r="C4859" s="2" t="s">
        <v>86</v>
      </c>
    </row>
    <row r="4860">
      <c r="A4860" s="1">
        <v>43534.437439710644</v>
      </c>
      <c r="B4860" s="2">
        <v>172.0</v>
      </c>
      <c r="C4860" s="2" t="s">
        <v>65</v>
      </c>
    </row>
    <row r="4861">
      <c r="A4861" s="1">
        <v>43534.437573877316</v>
      </c>
      <c r="B4861" s="2">
        <v>201.0</v>
      </c>
      <c r="C4861" s="2" t="s">
        <v>70</v>
      </c>
    </row>
    <row r="4862">
      <c r="A4862" s="1">
        <v>43534.437766550924</v>
      </c>
      <c r="B4862" s="3" t="s">
        <v>159</v>
      </c>
      <c r="C4862" s="2" t="s">
        <v>160</v>
      </c>
    </row>
    <row r="4863">
      <c r="A4863" s="1">
        <v>43534.437882708335</v>
      </c>
      <c r="B4863" s="3" t="s">
        <v>51</v>
      </c>
      <c r="C4863" s="2" t="s">
        <v>52</v>
      </c>
    </row>
    <row r="4864">
      <c r="A4864" s="1">
        <v>43534.43801016203</v>
      </c>
      <c r="B4864" s="3" t="s">
        <v>88</v>
      </c>
      <c r="C4864" s="2" t="s">
        <v>89</v>
      </c>
    </row>
    <row r="4865">
      <c r="A4865" s="1">
        <v>43534.43817771991</v>
      </c>
      <c r="B4865" s="2">
        <v>238.0</v>
      </c>
      <c r="C4865" s="2" t="s">
        <v>35</v>
      </c>
    </row>
    <row r="4866">
      <c r="A4866" s="1">
        <v>43534.438287268524</v>
      </c>
      <c r="B4866" s="2">
        <v>244.0</v>
      </c>
      <c r="C4866" s="2" t="s">
        <v>38</v>
      </c>
    </row>
    <row r="4867">
      <c r="A4867" s="1">
        <v>43534.43838649306</v>
      </c>
      <c r="B4867" s="2">
        <v>246.0</v>
      </c>
      <c r="C4867" s="2" t="s">
        <v>26</v>
      </c>
    </row>
    <row r="4868">
      <c r="A4868" s="1">
        <v>43534.438546087964</v>
      </c>
      <c r="B4868" s="2">
        <v>722.0</v>
      </c>
      <c r="C4868" s="2" t="s">
        <v>25</v>
      </c>
      <c r="D4868" s="2" t="s">
        <v>5</v>
      </c>
    </row>
    <row r="4869">
      <c r="A4869" s="1">
        <v>43534.438712222225</v>
      </c>
      <c r="B4869" s="3" t="s">
        <v>111</v>
      </c>
      <c r="C4869" s="2" t="s">
        <v>112</v>
      </c>
    </row>
    <row r="4870">
      <c r="A4870" s="1">
        <v>43534.43887449074</v>
      </c>
      <c r="B4870" s="3" t="s">
        <v>80</v>
      </c>
      <c r="C4870" s="2" t="s">
        <v>81</v>
      </c>
    </row>
    <row r="4871">
      <c r="A4871" s="1">
        <v>43534.439019363424</v>
      </c>
      <c r="B4871" s="2">
        <v>246.0</v>
      </c>
      <c r="C4871" s="2" t="s">
        <v>26</v>
      </c>
    </row>
    <row r="4872">
      <c r="A4872" s="1">
        <v>43534.43917841435</v>
      </c>
      <c r="B4872" s="2">
        <v>114.0</v>
      </c>
      <c r="C4872" s="2" t="s">
        <v>15</v>
      </c>
    </row>
    <row r="4873">
      <c r="A4873" s="1">
        <v>43534.43934505787</v>
      </c>
      <c r="B4873" s="2">
        <v>738.0</v>
      </c>
      <c r="C4873" s="2" t="s">
        <v>161</v>
      </c>
    </row>
    <row r="4874">
      <c r="A4874" s="1">
        <v>43534.43953012732</v>
      </c>
      <c r="B4874" s="2">
        <v>716.0</v>
      </c>
      <c r="C4874" s="2" t="s">
        <v>123</v>
      </c>
      <c r="D4874" s="2" t="s">
        <v>5</v>
      </c>
    </row>
    <row r="4875">
      <c r="A4875" s="1">
        <v>43534.43969459491</v>
      </c>
      <c r="B4875" s="3" t="s">
        <v>11</v>
      </c>
      <c r="C4875" s="2" t="s">
        <v>12</v>
      </c>
    </row>
    <row r="4876">
      <c r="A4876" s="1">
        <v>43534.43981951389</v>
      </c>
      <c r="B4876" s="3" t="s">
        <v>126</v>
      </c>
      <c r="C4876" s="2" t="s">
        <v>127</v>
      </c>
    </row>
    <row r="4877">
      <c r="A4877" s="1">
        <v>43534.43998765046</v>
      </c>
      <c r="B4877" s="2">
        <v>208.0</v>
      </c>
      <c r="C4877" s="2" t="s">
        <v>182</v>
      </c>
    </row>
    <row r="4878">
      <c r="A4878" s="1">
        <v>43534.4401780787</v>
      </c>
      <c r="B4878" s="2">
        <v>257.0</v>
      </c>
      <c r="C4878" s="2" t="s">
        <v>27</v>
      </c>
    </row>
    <row r="4879">
      <c r="A4879" s="1">
        <v>43534.44027630787</v>
      </c>
      <c r="B4879" s="2">
        <v>267.0</v>
      </c>
      <c r="C4879" s="2" t="s">
        <v>115</v>
      </c>
    </row>
    <row r="4880">
      <c r="A4880" s="1">
        <v>43534.44044898148</v>
      </c>
      <c r="B4880" s="2">
        <v>653.0</v>
      </c>
      <c r="C4880" s="2" t="s">
        <v>77</v>
      </c>
    </row>
    <row r="4881">
      <c r="A4881" s="1">
        <v>43534.44077202547</v>
      </c>
      <c r="B4881" s="2">
        <v>611.0</v>
      </c>
      <c r="C4881" s="2" t="s">
        <v>143</v>
      </c>
    </row>
    <row r="4882">
      <c r="A4882" s="1">
        <v>43534.44099662037</v>
      </c>
      <c r="B4882" s="2">
        <v>126.0</v>
      </c>
      <c r="C4882" s="2" t="s">
        <v>87</v>
      </c>
    </row>
    <row r="4883">
      <c r="A4883" s="1">
        <v>43534.4411596412</v>
      </c>
      <c r="B4883" s="3" t="s">
        <v>82</v>
      </c>
      <c r="C4883" s="2" t="s">
        <v>83</v>
      </c>
    </row>
    <row r="4884">
      <c r="A4884" s="1">
        <v>43534.44127789352</v>
      </c>
      <c r="B4884" s="3" t="s">
        <v>78</v>
      </c>
      <c r="C4884" s="2" t="s">
        <v>79</v>
      </c>
    </row>
    <row r="4885">
      <c r="A4885" s="1">
        <v>43534.441442372685</v>
      </c>
      <c r="B4885" s="2">
        <v>723.0</v>
      </c>
      <c r="C4885" s="2" t="s">
        <v>84</v>
      </c>
      <c r="D4885" s="2" t="s">
        <v>5</v>
      </c>
    </row>
    <row r="4886">
      <c r="A4886" s="1">
        <v>43534.44158284723</v>
      </c>
      <c r="B4886" s="2">
        <v>254.0</v>
      </c>
      <c r="C4886" s="2" t="s">
        <v>132</v>
      </c>
    </row>
    <row r="4887">
      <c r="A4887" s="1">
        <v>43534.441878020836</v>
      </c>
      <c r="B4887" s="2">
        <v>712.0</v>
      </c>
      <c r="C4887" s="2" t="s">
        <v>116</v>
      </c>
      <c r="D4887" s="2" t="s">
        <v>5</v>
      </c>
    </row>
    <row r="4888">
      <c r="A4888" s="1">
        <v>43534.44213258102</v>
      </c>
      <c r="B4888" s="2">
        <v>701.0</v>
      </c>
      <c r="C4888" s="2" t="s">
        <v>93</v>
      </c>
      <c r="D4888" s="2" t="s">
        <v>5</v>
      </c>
    </row>
    <row r="4889">
      <c r="A4889" s="1">
        <v>43534.44319209491</v>
      </c>
      <c r="B4889" s="2">
        <v>655.0</v>
      </c>
      <c r="C4889" s="2" t="s">
        <v>17</v>
      </c>
    </row>
    <row r="4890">
      <c r="A4890" s="1">
        <v>43534.44367792824</v>
      </c>
      <c r="B4890" s="2">
        <v>734.0</v>
      </c>
      <c r="C4890" s="2" t="s">
        <v>63</v>
      </c>
      <c r="D4890" s="2" t="s">
        <v>5</v>
      </c>
    </row>
    <row r="4891">
      <c r="A4891" s="1">
        <v>43534.44379583333</v>
      </c>
      <c r="B4891" s="2">
        <v>259.0</v>
      </c>
      <c r="C4891" s="2" t="s">
        <v>66</v>
      </c>
    </row>
    <row r="4892">
      <c r="A4892" s="1">
        <v>43534.44391113426</v>
      </c>
      <c r="B4892" s="2">
        <v>260.0</v>
      </c>
      <c r="C4892" s="2" t="s">
        <v>67</v>
      </c>
    </row>
    <row r="4893">
      <c r="A4893" s="1">
        <v>43534.44405032408</v>
      </c>
      <c r="B4893" s="2">
        <v>198.0</v>
      </c>
      <c r="C4893" s="2" t="s">
        <v>97</v>
      </c>
    </row>
    <row r="4894">
      <c r="A4894" s="1">
        <v>43534.44420696759</v>
      </c>
      <c r="B4894" s="2">
        <v>702.0</v>
      </c>
      <c r="C4894" s="2" t="s">
        <v>96</v>
      </c>
      <c r="D4894" s="2" t="s">
        <v>5</v>
      </c>
    </row>
    <row r="4895">
      <c r="A4895" s="1">
        <v>43534.44436141204</v>
      </c>
      <c r="B4895" s="3" t="s">
        <v>94</v>
      </c>
      <c r="C4895" s="2" t="s">
        <v>95</v>
      </c>
    </row>
    <row r="4896">
      <c r="A4896" s="1">
        <v>43534.44514940972</v>
      </c>
      <c r="B4896" s="2">
        <v>52.0</v>
      </c>
      <c r="C4896" s="2" t="s">
        <v>41</v>
      </c>
    </row>
    <row r="4897">
      <c r="A4897" s="1">
        <v>43534.4459430787</v>
      </c>
      <c r="B4897" s="2">
        <v>602.0</v>
      </c>
      <c r="C4897" s="2" t="s">
        <v>131</v>
      </c>
    </row>
    <row r="4898">
      <c r="A4898" s="1">
        <v>43534.447059375</v>
      </c>
      <c r="B4898" s="2">
        <v>604.0</v>
      </c>
      <c r="C4898" s="2" t="s">
        <v>36</v>
      </c>
    </row>
    <row r="4899">
      <c r="A4899" s="1">
        <v>43534.44764175926</v>
      </c>
      <c r="B4899" s="2">
        <v>647.0</v>
      </c>
      <c r="C4899" s="2" t="s">
        <v>217</v>
      </c>
    </row>
    <row r="4900">
      <c r="A4900" s="1">
        <v>43534.4478891551</v>
      </c>
      <c r="B4900" s="2">
        <v>193.0</v>
      </c>
      <c r="C4900" s="2" t="s">
        <v>30</v>
      </c>
    </row>
    <row r="4901">
      <c r="A4901" s="1">
        <v>43534.447994155096</v>
      </c>
      <c r="B4901" s="2">
        <v>124.0</v>
      </c>
      <c r="C4901" s="2" t="s">
        <v>107</v>
      </c>
    </row>
    <row r="4902">
      <c r="A4902" s="1">
        <v>43534.44855296296</v>
      </c>
      <c r="B4902" s="3" t="s">
        <v>98</v>
      </c>
      <c r="C4902" s="2" t="s">
        <v>99</v>
      </c>
    </row>
    <row r="4903">
      <c r="A4903" s="1">
        <v>43534.44868290509</v>
      </c>
      <c r="B4903" s="2">
        <v>147.0</v>
      </c>
      <c r="C4903" s="2" t="s">
        <v>100</v>
      </c>
    </row>
    <row r="4904">
      <c r="A4904" s="1">
        <v>43534.448895891204</v>
      </c>
      <c r="B4904" s="2">
        <v>726.0</v>
      </c>
      <c r="C4904" s="2" t="s">
        <v>101</v>
      </c>
      <c r="D4904" s="2" t="s">
        <v>5</v>
      </c>
    </row>
    <row r="4905">
      <c r="A4905" s="1">
        <v>43534.44903042824</v>
      </c>
      <c r="B4905" s="2">
        <v>732.0</v>
      </c>
      <c r="C4905" s="2" t="s">
        <v>102</v>
      </c>
      <c r="D4905" s="2" t="s">
        <v>5</v>
      </c>
    </row>
    <row r="4906">
      <c r="A4906" s="1">
        <v>43534.45429913195</v>
      </c>
      <c r="B4906" s="2">
        <v>733.0</v>
      </c>
      <c r="C4906" s="2" t="s">
        <v>110</v>
      </c>
      <c r="D4906" s="2" t="s">
        <v>5</v>
      </c>
    </row>
    <row r="4907">
      <c r="A4907" s="1">
        <v>43534.45507805556</v>
      </c>
      <c r="B4907" s="2">
        <v>663.0</v>
      </c>
      <c r="C4907" s="2" t="s">
        <v>109</v>
      </c>
    </row>
    <row r="4908">
      <c r="A4908" s="1">
        <v>43534.455530011575</v>
      </c>
      <c r="B4908" s="2">
        <v>663.0</v>
      </c>
      <c r="C4908" s="2" t="s">
        <v>109</v>
      </c>
    </row>
    <row r="4909">
      <c r="A4909" s="1">
        <v>43534.469419120374</v>
      </c>
      <c r="B4909" s="2">
        <v>236.0</v>
      </c>
      <c r="C4909" s="2" t="s">
        <v>142</v>
      </c>
    </row>
    <row r="4910">
      <c r="A4910" s="1">
        <v>43534.46972650463</v>
      </c>
      <c r="B4910" s="2">
        <v>663.0</v>
      </c>
      <c r="C4910" s="2" t="s">
        <v>109</v>
      </c>
    </row>
    <row r="4911">
      <c r="A4911" s="1">
        <v>43534.47098164352</v>
      </c>
      <c r="B4911" s="2">
        <v>236.0</v>
      </c>
      <c r="C4911" s="2" t="s">
        <v>142</v>
      </c>
    </row>
    <row r="4912">
      <c r="A4912" s="1">
        <v>43535.49380891204</v>
      </c>
      <c r="B4912" s="2">
        <v>614.0</v>
      </c>
      <c r="C4912" s="2" t="s">
        <v>76</v>
      </c>
    </row>
    <row r="4913">
      <c r="A4913" s="1">
        <v>43535.49430181713</v>
      </c>
      <c r="B4913" s="2">
        <v>735.0</v>
      </c>
      <c r="C4913" s="2" t="s">
        <v>37</v>
      </c>
      <c r="D4913" s="2" t="s">
        <v>5</v>
      </c>
    </row>
    <row r="4914">
      <c r="A4914" s="1">
        <v>43535.49450461805</v>
      </c>
      <c r="B4914" s="2">
        <v>649.0</v>
      </c>
      <c r="C4914" s="2" t="s">
        <v>177</v>
      </c>
    </row>
    <row r="4915">
      <c r="A4915" s="1">
        <v>43535.494775162035</v>
      </c>
      <c r="B4915" s="3" t="s">
        <v>42</v>
      </c>
      <c r="C4915" s="2" t="s">
        <v>43</v>
      </c>
    </row>
    <row r="4916">
      <c r="A4916" s="1">
        <v>43535.49640234954</v>
      </c>
      <c r="B4916" s="2">
        <v>632.0</v>
      </c>
      <c r="C4916" s="2" t="s">
        <v>146</v>
      </c>
    </row>
    <row r="4917">
      <c r="A4917" s="1">
        <v>43535.49712179398</v>
      </c>
      <c r="B4917" s="2">
        <v>262.0</v>
      </c>
      <c r="C4917" s="2" t="s">
        <v>28</v>
      </c>
    </row>
    <row r="4918">
      <c r="A4918" s="1">
        <v>43535.49777722222</v>
      </c>
      <c r="B4918" s="3" t="s">
        <v>9</v>
      </c>
      <c r="C4918" s="2" t="s">
        <v>10</v>
      </c>
    </row>
    <row r="4919">
      <c r="A4919" s="1">
        <v>43535.49790045139</v>
      </c>
      <c r="B4919" s="3" t="s">
        <v>150</v>
      </c>
      <c r="C4919" s="2" t="s">
        <v>151</v>
      </c>
    </row>
    <row r="4920">
      <c r="A4920" s="1">
        <v>43535.49804185185</v>
      </c>
      <c r="B4920" s="2">
        <v>736.0</v>
      </c>
      <c r="C4920" s="2" t="s">
        <v>175</v>
      </c>
      <c r="D4920" s="2" t="s">
        <v>5</v>
      </c>
    </row>
    <row r="4921">
      <c r="A4921" s="1">
        <v>43535.49819236111</v>
      </c>
      <c r="B4921" s="2">
        <v>708.0</v>
      </c>
      <c r="C4921" s="2" t="s">
        <v>4</v>
      </c>
      <c r="D4921" s="2" t="s">
        <v>5</v>
      </c>
    </row>
    <row r="4922">
      <c r="A4922" s="1">
        <v>43535.49822736111</v>
      </c>
      <c r="B4922" s="2">
        <v>709.0</v>
      </c>
      <c r="C4922" s="2" t="s">
        <v>20</v>
      </c>
      <c r="D4922" s="2" t="s">
        <v>5</v>
      </c>
    </row>
    <row r="4923">
      <c r="A4923" s="1">
        <v>43535.49827038194</v>
      </c>
      <c r="B4923" s="2">
        <v>710.0</v>
      </c>
      <c r="C4923" s="2" t="s">
        <v>21</v>
      </c>
      <c r="D4923" s="2" t="s">
        <v>5</v>
      </c>
    </row>
    <row r="4924">
      <c r="A4924" s="1">
        <v>43535.498666203704</v>
      </c>
      <c r="B4924" s="2">
        <v>703.0</v>
      </c>
      <c r="C4924" s="2" t="s">
        <v>157</v>
      </c>
      <c r="D4924" s="2" t="s">
        <v>5</v>
      </c>
    </row>
    <row r="4925">
      <c r="A4925" s="1">
        <v>43535.49903315972</v>
      </c>
      <c r="B4925" s="2">
        <v>713.0</v>
      </c>
      <c r="C4925" s="2" t="s">
        <v>121</v>
      </c>
      <c r="D4925" s="2" t="s">
        <v>5</v>
      </c>
    </row>
    <row r="4926">
      <c r="A4926" s="1">
        <v>43535.499064814816</v>
      </c>
      <c r="B4926" s="2">
        <v>714.0</v>
      </c>
      <c r="C4926" s="2" t="s">
        <v>122</v>
      </c>
      <c r="D4926" s="2" t="s">
        <v>5</v>
      </c>
    </row>
    <row r="4927">
      <c r="A4927" s="1">
        <v>43535.49922532408</v>
      </c>
      <c r="B4927" s="3" t="s">
        <v>119</v>
      </c>
      <c r="C4927" s="2" t="s">
        <v>120</v>
      </c>
    </row>
    <row r="4928">
      <c r="A4928" s="1">
        <v>43535.49940880787</v>
      </c>
      <c r="B4928" s="3" t="s">
        <v>117</v>
      </c>
      <c r="C4928" s="2" t="s">
        <v>118</v>
      </c>
    </row>
    <row r="4929">
      <c r="A4929" s="1">
        <v>43535.500472175925</v>
      </c>
      <c r="B4929" s="2">
        <v>231.0</v>
      </c>
      <c r="C4929" s="2" t="s">
        <v>61</v>
      </c>
    </row>
    <row r="4930">
      <c r="A4930" s="1">
        <v>43535.50187042824</v>
      </c>
      <c r="B4930" s="2">
        <v>738.0</v>
      </c>
      <c r="C4930" s="2" t="s">
        <v>161</v>
      </c>
    </row>
    <row r="4931">
      <c r="A4931" s="1">
        <v>43535.50284351852</v>
      </c>
      <c r="B4931" s="2">
        <v>738.0</v>
      </c>
      <c r="C4931" s="2" t="s">
        <v>161</v>
      </c>
    </row>
    <row r="4932">
      <c r="A4932" s="1">
        <v>43536.71754881945</v>
      </c>
      <c r="B4932" s="2">
        <v>632.0</v>
      </c>
      <c r="C4932" s="2" t="s">
        <v>146</v>
      </c>
    </row>
    <row r="4933">
      <c r="A4933" s="1">
        <v>43536.72064976852</v>
      </c>
      <c r="B4933" s="2">
        <v>209.0</v>
      </c>
      <c r="C4933" s="2" t="s">
        <v>219</v>
      </c>
    </row>
    <row r="4934">
      <c r="A4934" s="1">
        <v>43536.7264375463</v>
      </c>
      <c r="B4934" s="2">
        <v>209.0</v>
      </c>
      <c r="C4934" s="2" t="s">
        <v>219</v>
      </c>
    </row>
    <row r="4935">
      <c r="A4935" s="1">
        <v>43536.726505</v>
      </c>
      <c r="B4935" s="2">
        <v>209.0</v>
      </c>
      <c r="C4935" s="2" t="s">
        <v>219</v>
      </c>
    </row>
    <row r="4936">
      <c r="A4936" s="1">
        <v>43536.72653866898</v>
      </c>
      <c r="B4936" s="2">
        <v>209.0</v>
      </c>
      <c r="C4936" s="2" t="s">
        <v>219</v>
      </c>
    </row>
    <row r="4937">
      <c r="A4937" s="1">
        <v>43536.726829837964</v>
      </c>
      <c r="B4937" s="2">
        <v>209.0</v>
      </c>
      <c r="C4937" s="2" t="s">
        <v>219</v>
      </c>
    </row>
    <row r="4938">
      <c r="A4938" s="1">
        <v>43536.72686861111</v>
      </c>
      <c r="B4938" s="2">
        <v>209.0</v>
      </c>
      <c r="C4938" s="2" t="s">
        <v>219</v>
      </c>
    </row>
    <row r="4939">
      <c r="A4939" s="1">
        <v>43536.74377538194</v>
      </c>
      <c r="B4939" s="2">
        <v>609.0</v>
      </c>
      <c r="C4939" s="2" t="s">
        <v>179</v>
      </c>
    </row>
    <row r="4940">
      <c r="A4940" s="1">
        <v>43536.749143946756</v>
      </c>
      <c r="B4940" s="2">
        <v>632.0</v>
      </c>
      <c r="C4940" s="2" t="s">
        <v>146</v>
      </c>
    </row>
    <row r="4941">
      <c r="A4941" s="1">
        <v>43536.74929394676</v>
      </c>
      <c r="B4941" s="2">
        <v>209.0</v>
      </c>
      <c r="C4941" s="2" t="s">
        <v>219</v>
      </c>
    </row>
    <row r="4942">
      <c r="A4942" s="1">
        <v>43538.89907118055</v>
      </c>
      <c r="B4942" s="2">
        <v>246.0</v>
      </c>
      <c r="C4942" s="2" t="s">
        <v>26</v>
      </c>
    </row>
    <row r="4943">
      <c r="A4943" s="1">
        <v>43539.52450526621</v>
      </c>
      <c r="B4943" s="2">
        <v>246.0</v>
      </c>
      <c r="C4943" s="2" t="s">
        <v>26</v>
      </c>
    </row>
    <row r="4944">
      <c r="A4944" s="1">
        <v>43539.62880535879</v>
      </c>
      <c r="B4944" s="2">
        <v>246.0</v>
      </c>
      <c r="C4944" s="2" t="s">
        <v>26</v>
      </c>
    </row>
    <row r="4945">
      <c r="A4945" s="1">
        <v>43541.40361793981</v>
      </c>
      <c r="B4945" s="2">
        <v>165.0</v>
      </c>
      <c r="C4945" s="2" t="s">
        <v>50</v>
      </c>
    </row>
    <row r="4946">
      <c r="A4946" s="1">
        <v>43541.40432528935</v>
      </c>
      <c r="B4946" s="2">
        <v>238.0</v>
      </c>
      <c r="C4946" s="2" t="s">
        <v>35</v>
      </c>
    </row>
    <row r="4947">
      <c r="A4947" s="1">
        <v>43541.404490625</v>
      </c>
      <c r="B4947" s="2">
        <v>238.0</v>
      </c>
      <c r="C4947" s="2" t="s">
        <v>35</v>
      </c>
    </row>
    <row r="4948">
      <c r="A4948" s="1">
        <v>43541.404563206015</v>
      </c>
      <c r="B4948" s="2">
        <v>238.0</v>
      </c>
      <c r="C4948" s="2" t="s">
        <v>35</v>
      </c>
    </row>
    <row r="4949">
      <c r="A4949" s="1">
        <v>43541.4054184375</v>
      </c>
      <c r="B4949" s="3" t="s">
        <v>51</v>
      </c>
      <c r="C4949" s="2" t="s">
        <v>52</v>
      </c>
    </row>
    <row r="4950">
      <c r="A4950" s="1">
        <v>43541.4117616088</v>
      </c>
      <c r="B4950" s="2">
        <v>141.0</v>
      </c>
      <c r="C4950" s="2" t="s">
        <v>53</v>
      </c>
    </row>
    <row r="4951">
      <c r="A4951" s="1">
        <v>43541.412185740744</v>
      </c>
      <c r="B4951" s="2">
        <v>729.0</v>
      </c>
      <c r="C4951" s="2" t="s">
        <v>54</v>
      </c>
      <c r="D4951" s="2" t="s">
        <v>5</v>
      </c>
    </row>
    <row r="4952">
      <c r="A4952" s="1">
        <v>43541.412503263884</v>
      </c>
      <c r="B4952" s="2">
        <v>707.0</v>
      </c>
      <c r="C4952" s="2" t="s">
        <v>57</v>
      </c>
      <c r="D4952" s="2" t="s">
        <v>5</v>
      </c>
    </row>
    <row r="4953">
      <c r="A4953" s="1">
        <v>43541.41647163194</v>
      </c>
      <c r="B4953" s="2">
        <v>604.0</v>
      </c>
      <c r="C4953" s="2" t="s">
        <v>36</v>
      </c>
    </row>
    <row r="4954">
      <c r="A4954" s="1">
        <v>43541.41773221065</v>
      </c>
      <c r="B4954" s="2">
        <v>214.0</v>
      </c>
      <c r="C4954" s="2" t="s">
        <v>47</v>
      </c>
    </row>
    <row r="4955">
      <c r="A4955" s="1">
        <v>43541.41886880787</v>
      </c>
      <c r="B4955" s="2">
        <v>607.0</v>
      </c>
      <c r="C4955" s="2" t="s">
        <v>68</v>
      </c>
    </row>
    <row r="4956">
      <c r="A4956" s="1">
        <v>43541.41903938657</v>
      </c>
      <c r="B4956" s="2">
        <v>262.0</v>
      </c>
      <c r="C4956" s="2" t="s">
        <v>28</v>
      </c>
    </row>
    <row r="4957">
      <c r="A4957" s="1">
        <v>43541.41917649306</v>
      </c>
      <c r="B4957" s="2">
        <v>244.0</v>
      </c>
      <c r="C4957" s="2" t="s">
        <v>38</v>
      </c>
    </row>
    <row r="4958">
      <c r="A4958" s="1">
        <v>43541.419332777776</v>
      </c>
      <c r="B4958" s="2">
        <v>215.0</v>
      </c>
      <c r="C4958" s="2" t="s">
        <v>137</v>
      </c>
    </row>
    <row r="4959">
      <c r="A4959" s="1">
        <v>43541.41952429398</v>
      </c>
      <c r="B4959" s="2">
        <v>611.0</v>
      </c>
      <c r="C4959" s="2" t="s">
        <v>143</v>
      </c>
    </row>
    <row r="4960">
      <c r="A4960" s="1">
        <v>43541.42104311343</v>
      </c>
      <c r="B4960" s="3" t="s">
        <v>159</v>
      </c>
      <c r="C4960" s="2" t="s">
        <v>160</v>
      </c>
    </row>
    <row r="4961">
      <c r="A4961" s="1">
        <v>43541.4241425</v>
      </c>
      <c r="B4961" s="3" t="s">
        <v>22</v>
      </c>
      <c r="C4961" s="2" t="s">
        <v>23</v>
      </c>
    </row>
    <row r="4962">
      <c r="A4962" s="1">
        <v>43541.42512018519</v>
      </c>
      <c r="B4962" s="2">
        <v>614.0</v>
      </c>
      <c r="C4962" s="2" t="s">
        <v>76</v>
      </c>
    </row>
    <row r="4963">
      <c r="A4963" s="1">
        <v>43541.42518439815</v>
      </c>
      <c r="B4963" s="2">
        <v>721.0</v>
      </c>
      <c r="C4963" s="2" t="s">
        <v>156</v>
      </c>
      <c r="D4963" s="2" t="s">
        <v>5</v>
      </c>
    </row>
    <row r="4964">
      <c r="A4964" s="1">
        <v>43541.42541486111</v>
      </c>
      <c r="B4964" s="3" t="s">
        <v>162</v>
      </c>
      <c r="C4964" s="2" t="s">
        <v>163</v>
      </c>
    </row>
    <row r="4965">
      <c r="A4965" s="1">
        <v>43541.42554199074</v>
      </c>
      <c r="B4965" s="2">
        <v>735.0</v>
      </c>
      <c r="C4965" s="2" t="s">
        <v>37</v>
      </c>
      <c r="D4965" s="2" t="s">
        <v>5</v>
      </c>
    </row>
    <row r="4966">
      <c r="A4966" s="1">
        <v>43541.42613363426</v>
      </c>
      <c r="B4966" s="2">
        <v>52.0</v>
      </c>
      <c r="C4966" s="2" t="s">
        <v>41</v>
      </c>
    </row>
    <row r="4967">
      <c r="A4967" s="1">
        <v>43541.426295613426</v>
      </c>
      <c r="B4967" s="2">
        <v>602.0</v>
      </c>
      <c r="C4967" s="2" t="s">
        <v>131</v>
      </c>
    </row>
    <row r="4968">
      <c r="A4968" s="1">
        <v>43541.42698975695</v>
      </c>
      <c r="B4968" s="3" t="s">
        <v>51</v>
      </c>
      <c r="C4968" s="2" t="s">
        <v>52</v>
      </c>
    </row>
    <row r="4969">
      <c r="A4969" s="1">
        <v>43541.427694768514</v>
      </c>
      <c r="B4969" s="2">
        <v>246.0</v>
      </c>
      <c r="C4969" s="2" t="s">
        <v>26</v>
      </c>
    </row>
    <row r="4970">
      <c r="A4970" s="1">
        <v>43541.42773542824</v>
      </c>
      <c r="B4970" s="2">
        <v>246.0</v>
      </c>
      <c r="C4970" s="2" t="s">
        <v>26</v>
      </c>
    </row>
    <row r="4971">
      <c r="A4971" s="1">
        <v>43541.42935784722</v>
      </c>
      <c r="B4971" s="2">
        <v>193.0</v>
      </c>
      <c r="C4971" s="2" t="s">
        <v>30</v>
      </c>
    </row>
    <row r="4972">
      <c r="A4972" s="1">
        <v>43541.42957923611</v>
      </c>
      <c r="B4972" s="2">
        <v>173.0</v>
      </c>
      <c r="C4972" s="2" t="s">
        <v>24</v>
      </c>
    </row>
    <row r="4973">
      <c r="A4973" s="1">
        <v>43541.429579247684</v>
      </c>
      <c r="B4973" s="2">
        <v>722.0</v>
      </c>
      <c r="C4973" s="2" t="s">
        <v>25</v>
      </c>
      <c r="D4973" s="2" t="s">
        <v>5</v>
      </c>
    </row>
    <row r="4974">
      <c r="A4974" s="1">
        <v>43541.42968920139</v>
      </c>
      <c r="B4974" s="3" t="s">
        <v>32</v>
      </c>
      <c r="C4974" s="2" t="s">
        <v>33</v>
      </c>
    </row>
    <row r="4975">
      <c r="A4975" s="1">
        <v>43541.429970682875</v>
      </c>
      <c r="B4975" s="2">
        <v>157.0</v>
      </c>
      <c r="C4975" s="2" t="s">
        <v>141</v>
      </c>
    </row>
    <row r="4976">
      <c r="A4976" s="1">
        <v>43541.43073143519</v>
      </c>
      <c r="B4976" s="2">
        <v>172.0</v>
      </c>
      <c r="C4976" s="2" t="s">
        <v>65</v>
      </c>
    </row>
    <row r="4977">
      <c r="A4977" s="1">
        <v>43541.43087128473</v>
      </c>
      <c r="B4977" s="2">
        <v>260.0</v>
      </c>
      <c r="C4977" s="2" t="s">
        <v>67</v>
      </c>
    </row>
    <row r="4978">
      <c r="A4978" s="1">
        <v>43541.43097002315</v>
      </c>
      <c r="B4978" s="2">
        <v>259.0</v>
      </c>
      <c r="C4978" s="2" t="s">
        <v>66</v>
      </c>
    </row>
    <row r="4979">
      <c r="A4979" s="1">
        <v>43541.430995358794</v>
      </c>
      <c r="B4979" s="2">
        <v>734.0</v>
      </c>
      <c r="C4979" s="2" t="s">
        <v>63</v>
      </c>
      <c r="D4979" s="2" t="s">
        <v>5</v>
      </c>
    </row>
    <row r="4980">
      <c r="A4980" s="1">
        <v>43541.43137119213</v>
      </c>
      <c r="B4980" s="2">
        <v>210.0</v>
      </c>
      <c r="C4980" s="2" t="s">
        <v>64</v>
      </c>
    </row>
    <row r="4981">
      <c r="A4981" s="1">
        <v>43541.432526874996</v>
      </c>
      <c r="B4981" s="3" t="s">
        <v>80</v>
      </c>
      <c r="C4981" s="2" t="s">
        <v>81</v>
      </c>
    </row>
    <row r="4982">
      <c r="A4982" s="1">
        <v>43541.43281396991</v>
      </c>
      <c r="B4982" s="2">
        <v>114.0</v>
      </c>
      <c r="C4982" s="2" t="s">
        <v>15</v>
      </c>
    </row>
    <row r="4983">
      <c r="A4983" s="1">
        <v>43541.43304888889</v>
      </c>
      <c r="B4983" s="3" t="s">
        <v>9</v>
      </c>
      <c r="C4983" s="2" t="s">
        <v>10</v>
      </c>
    </row>
    <row r="4984">
      <c r="A4984" s="1">
        <v>43541.43313416667</v>
      </c>
      <c r="B4984" s="2">
        <v>708.0</v>
      </c>
      <c r="C4984" s="2" t="s">
        <v>4</v>
      </c>
      <c r="D4984" s="2" t="s">
        <v>5</v>
      </c>
    </row>
    <row r="4985">
      <c r="A4985" s="1">
        <v>43541.43317163194</v>
      </c>
      <c r="B4985" s="2">
        <v>708.0</v>
      </c>
      <c r="C4985" s="2" t="s">
        <v>4</v>
      </c>
      <c r="D4985" s="2" t="s">
        <v>5</v>
      </c>
    </row>
    <row r="4986">
      <c r="A4986" s="1">
        <v>43541.43324840278</v>
      </c>
      <c r="B4986" s="2">
        <v>709.0</v>
      </c>
      <c r="C4986" s="2" t="s">
        <v>20</v>
      </c>
      <c r="D4986" s="2" t="s">
        <v>5</v>
      </c>
    </row>
    <row r="4987">
      <c r="A4987" s="1">
        <v>43541.433337546296</v>
      </c>
      <c r="B4987" s="2">
        <v>710.0</v>
      </c>
      <c r="C4987" s="2" t="s">
        <v>21</v>
      </c>
      <c r="D4987" s="2" t="s">
        <v>5</v>
      </c>
    </row>
    <row r="4988">
      <c r="A4988" s="1">
        <v>43541.43451935185</v>
      </c>
      <c r="B4988" s="2">
        <v>618.0</v>
      </c>
      <c r="C4988" s="2" t="s">
        <v>147</v>
      </c>
    </row>
    <row r="4989">
      <c r="A4989" s="1">
        <v>43541.435034884256</v>
      </c>
      <c r="B4989" s="2">
        <v>667.0</v>
      </c>
      <c r="C4989" s="2" t="s">
        <v>73</v>
      </c>
    </row>
    <row r="4990">
      <c r="A4990" s="1">
        <v>43541.43525274306</v>
      </c>
      <c r="B4990" s="2">
        <v>706.0</v>
      </c>
      <c r="C4990" s="2" t="s">
        <v>149</v>
      </c>
      <c r="D4990" s="2" t="s">
        <v>5</v>
      </c>
    </row>
    <row r="4991">
      <c r="A4991" s="1">
        <v>43541.43534391204</v>
      </c>
      <c r="B4991" s="3" t="s">
        <v>44</v>
      </c>
      <c r="C4991" s="2" t="s">
        <v>45</v>
      </c>
    </row>
    <row r="4992">
      <c r="A4992" s="1">
        <v>43541.43535778935</v>
      </c>
      <c r="B4992" s="3" t="s">
        <v>150</v>
      </c>
      <c r="C4992" s="2" t="s">
        <v>151</v>
      </c>
    </row>
    <row r="4993">
      <c r="A4993" s="1">
        <v>43541.43543814815</v>
      </c>
      <c r="B4993" s="2">
        <v>158.0</v>
      </c>
      <c r="C4993" s="2" t="s">
        <v>62</v>
      </c>
    </row>
    <row r="4994">
      <c r="A4994" s="1">
        <v>43541.43583091436</v>
      </c>
      <c r="B4994" s="2">
        <v>175.0</v>
      </c>
      <c r="C4994" s="2" t="s">
        <v>69</v>
      </c>
    </row>
    <row r="4995">
      <c r="A4995" s="1">
        <v>43541.436068703704</v>
      </c>
      <c r="B4995" s="2">
        <v>167.0</v>
      </c>
      <c r="C4995" s="2" t="s">
        <v>39</v>
      </c>
    </row>
    <row r="4996">
      <c r="A4996" s="1">
        <v>43541.4364500463</v>
      </c>
      <c r="B4996" s="3" t="s">
        <v>88</v>
      </c>
      <c r="C4996" s="2" t="s">
        <v>89</v>
      </c>
    </row>
    <row r="4997">
      <c r="A4997" s="1">
        <v>43541.43719409722</v>
      </c>
      <c r="B4997" s="2">
        <v>643.0</v>
      </c>
      <c r="C4997" s="2" t="s">
        <v>166</v>
      </c>
    </row>
    <row r="4998">
      <c r="A4998" s="1">
        <v>43541.43758618056</v>
      </c>
      <c r="B4998" s="2">
        <v>267.0</v>
      </c>
      <c r="C4998" s="2" t="s">
        <v>115</v>
      </c>
    </row>
    <row r="4999">
      <c r="A4999" s="1">
        <v>43541.43853302083</v>
      </c>
      <c r="B4999" s="2">
        <v>124.0</v>
      </c>
      <c r="C4999" s="2" t="s">
        <v>107</v>
      </c>
    </row>
    <row r="5000">
      <c r="A5000" s="1">
        <v>43541.438665821755</v>
      </c>
      <c r="B5000" s="2">
        <v>701.0</v>
      </c>
      <c r="C5000" s="2" t="s">
        <v>93</v>
      </c>
      <c r="D5000" s="2" t="s">
        <v>5</v>
      </c>
    </row>
    <row r="5001">
      <c r="A5001" s="1">
        <v>43541.438719224534</v>
      </c>
      <c r="B5001" s="3" t="s">
        <v>42</v>
      </c>
      <c r="C5001" s="2" t="s">
        <v>43</v>
      </c>
    </row>
    <row r="5002">
      <c r="A5002" s="1">
        <v>43541.43884155093</v>
      </c>
      <c r="B5002" s="2">
        <v>625.0</v>
      </c>
      <c r="C5002" s="2" t="s">
        <v>136</v>
      </c>
    </row>
    <row r="5003">
      <c r="A5003" s="1">
        <v>43541.439030208334</v>
      </c>
      <c r="B5003" s="2">
        <v>126.0</v>
      </c>
      <c r="C5003" s="2" t="s">
        <v>87</v>
      </c>
    </row>
    <row r="5004">
      <c r="A5004" s="1">
        <v>43541.439223368056</v>
      </c>
      <c r="B5004" s="2">
        <v>268.0</v>
      </c>
      <c r="C5004" s="2" t="s">
        <v>205</v>
      </c>
    </row>
    <row r="5005">
      <c r="A5005" s="1">
        <v>43541.44050405093</v>
      </c>
      <c r="B5005" s="2">
        <v>702.0</v>
      </c>
      <c r="C5005" s="2" t="s">
        <v>96</v>
      </c>
      <c r="D5005" s="2" t="s">
        <v>5</v>
      </c>
    </row>
    <row r="5006">
      <c r="A5006" s="1">
        <v>43541.44058861111</v>
      </c>
      <c r="B5006" s="3" t="s">
        <v>94</v>
      </c>
      <c r="C5006" s="2" t="s">
        <v>95</v>
      </c>
    </row>
    <row r="5007">
      <c r="A5007" s="1">
        <v>43541.44154297454</v>
      </c>
      <c r="B5007" s="3" t="s">
        <v>74</v>
      </c>
      <c r="C5007" s="2" t="s">
        <v>75</v>
      </c>
    </row>
    <row r="5008">
      <c r="A5008" s="1">
        <v>43541.44395170139</v>
      </c>
      <c r="B5008" s="2">
        <v>655.0</v>
      </c>
      <c r="C5008" s="2" t="s">
        <v>17</v>
      </c>
    </row>
    <row r="5009">
      <c r="A5009" s="1">
        <v>43541.44453137732</v>
      </c>
      <c r="B5009" s="2">
        <v>641.0</v>
      </c>
      <c r="C5009" s="2" t="s">
        <v>210</v>
      </c>
    </row>
    <row r="5010">
      <c r="A5010" s="1">
        <v>43541.445942418984</v>
      </c>
      <c r="B5010" s="3" t="s">
        <v>126</v>
      </c>
      <c r="C5010" s="2" t="s">
        <v>127</v>
      </c>
    </row>
    <row r="5011">
      <c r="A5011" s="1">
        <v>43541.44681444444</v>
      </c>
      <c r="B5011" s="2">
        <v>253.0</v>
      </c>
      <c r="C5011" s="2" t="s">
        <v>138</v>
      </c>
    </row>
    <row r="5012">
      <c r="A5012" s="1">
        <v>43541.44705017361</v>
      </c>
      <c r="B5012" s="2">
        <v>716.0</v>
      </c>
      <c r="C5012" s="2" t="s">
        <v>123</v>
      </c>
      <c r="D5012" s="2" t="s">
        <v>5</v>
      </c>
    </row>
    <row r="5013">
      <c r="A5013" s="1">
        <v>43541.449038611114</v>
      </c>
      <c r="B5013" s="2">
        <v>736.0</v>
      </c>
      <c r="C5013" s="2" t="s">
        <v>175</v>
      </c>
      <c r="D5013" s="2" t="s">
        <v>5</v>
      </c>
    </row>
    <row r="5014">
      <c r="A5014" s="1">
        <v>43541.44911916667</v>
      </c>
      <c r="B5014" s="2">
        <v>737.0</v>
      </c>
      <c r="C5014" s="2" t="s">
        <v>176</v>
      </c>
      <c r="D5014" s="2" t="s">
        <v>5</v>
      </c>
    </row>
    <row r="5015">
      <c r="A5015" s="1">
        <v>43541.44936791666</v>
      </c>
      <c r="B5015" s="2">
        <v>649.0</v>
      </c>
      <c r="C5015" s="2" t="s">
        <v>177</v>
      </c>
    </row>
    <row r="5016">
      <c r="A5016" s="1">
        <v>43541.45565841435</v>
      </c>
      <c r="B5016" s="2">
        <v>209.0</v>
      </c>
      <c r="C5016" s="2" t="s">
        <v>219</v>
      </c>
    </row>
    <row r="5017">
      <c r="A5017" s="1">
        <v>43541.4606721412</v>
      </c>
      <c r="B5017" s="2">
        <v>535.0</v>
      </c>
      <c r="C5017" s="2" t="s">
        <v>208</v>
      </c>
    </row>
    <row r="5018">
      <c r="A5018" s="1">
        <v>43541.461030844905</v>
      </c>
      <c r="B5018" s="2">
        <v>535.0</v>
      </c>
      <c r="C5018" s="2" t="s">
        <v>208</v>
      </c>
    </row>
    <row r="5019">
      <c r="A5019" s="1">
        <v>43542.44285215277</v>
      </c>
      <c r="B5019" s="2">
        <v>208.0</v>
      </c>
      <c r="C5019" s="2" t="s">
        <v>182</v>
      </c>
    </row>
    <row r="5020">
      <c r="A5020" s="1">
        <v>43542.44369153935</v>
      </c>
      <c r="B5020" s="3" t="s">
        <v>78</v>
      </c>
      <c r="C5020" s="2" t="s">
        <v>79</v>
      </c>
    </row>
    <row r="5021">
      <c r="A5021" s="1">
        <v>43542.44375396991</v>
      </c>
      <c r="B5021" s="2">
        <v>723.0</v>
      </c>
      <c r="C5021" s="2" t="s">
        <v>84</v>
      </c>
      <c r="D5021" s="2" t="s">
        <v>5</v>
      </c>
    </row>
    <row r="5022">
      <c r="A5022" s="1">
        <v>43542.445868518524</v>
      </c>
      <c r="B5022" s="3" t="s">
        <v>117</v>
      </c>
      <c r="C5022" s="2" t="s">
        <v>118</v>
      </c>
    </row>
    <row r="5023">
      <c r="A5023" s="1">
        <v>43542.44593832176</v>
      </c>
      <c r="B5023" s="3" t="s">
        <v>119</v>
      </c>
      <c r="C5023" s="2" t="s">
        <v>120</v>
      </c>
    </row>
    <row r="5024">
      <c r="A5024" s="1">
        <v>43542.44601947917</v>
      </c>
      <c r="B5024" s="2">
        <v>714.0</v>
      </c>
      <c r="C5024" s="2" t="s">
        <v>122</v>
      </c>
      <c r="D5024" s="2" t="s">
        <v>5</v>
      </c>
    </row>
    <row r="5025">
      <c r="A5025" s="1">
        <v>43542.44607814815</v>
      </c>
      <c r="B5025" s="2">
        <v>713.0</v>
      </c>
      <c r="C5025" s="2" t="s">
        <v>121</v>
      </c>
      <c r="D5025" s="2" t="s">
        <v>5</v>
      </c>
    </row>
    <row r="5026">
      <c r="A5026" s="1">
        <v>43542.554170625</v>
      </c>
      <c r="B5026" s="2">
        <v>246.0</v>
      </c>
      <c r="C5026" s="2" t="s">
        <v>26</v>
      </c>
    </row>
    <row r="5027">
      <c r="A5027" s="1">
        <v>43543.40171466435</v>
      </c>
      <c r="B5027" s="3" t="s">
        <v>22</v>
      </c>
      <c r="C5027" s="2" t="s">
        <v>23</v>
      </c>
    </row>
    <row r="5028">
      <c r="A5028" s="1">
        <v>43543.40240532407</v>
      </c>
      <c r="B5028" s="2">
        <v>610.0</v>
      </c>
      <c r="C5028" s="2" t="s">
        <v>220</v>
      </c>
    </row>
    <row r="5029">
      <c r="A5029" s="1">
        <v>43543.59420040509</v>
      </c>
      <c r="B5029" s="2">
        <v>740.0</v>
      </c>
      <c r="C5029" s="2" t="s">
        <v>221</v>
      </c>
      <c r="D5029" s="2" t="s">
        <v>5</v>
      </c>
    </row>
    <row r="5030">
      <c r="A5030" s="1">
        <v>43543.594241053244</v>
      </c>
      <c r="B5030" s="2">
        <v>740.0</v>
      </c>
      <c r="C5030" s="2" t="s">
        <v>221</v>
      </c>
      <c r="D5030" s="2" t="s">
        <v>5</v>
      </c>
    </row>
    <row r="5031">
      <c r="A5031" s="1">
        <v>43543.594256331024</v>
      </c>
      <c r="B5031" s="2">
        <v>740.0</v>
      </c>
      <c r="C5031" s="2" t="s">
        <v>221</v>
      </c>
      <c r="D5031" s="2" t="s">
        <v>5</v>
      </c>
    </row>
    <row r="5032">
      <c r="A5032" s="1">
        <v>43543.59427833333</v>
      </c>
      <c r="B5032" s="2">
        <v>740.0</v>
      </c>
      <c r="C5032" s="2" t="s">
        <v>221</v>
      </c>
      <c r="D5032" s="2" t="s">
        <v>5</v>
      </c>
    </row>
    <row r="5033">
      <c r="A5033" s="1">
        <v>43543.59445787037</v>
      </c>
      <c r="B5033" s="2">
        <v>675.0</v>
      </c>
      <c r="C5033" s="2" t="s">
        <v>222</v>
      </c>
    </row>
    <row r="5034">
      <c r="A5034" s="1">
        <v>43543.594513379634</v>
      </c>
      <c r="B5034" s="2">
        <v>675.0</v>
      </c>
      <c r="C5034" s="2" t="s">
        <v>222</v>
      </c>
    </row>
    <row r="5035">
      <c r="A5035" s="1">
        <v>43543.59456576389</v>
      </c>
      <c r="B5035" s="2">
        <v>675.0</v>
      </c>
      <c r="C5035" s="2" t="s">
        <v>222</v>
      </c>
    </row>
    <row r="5036">
      <c r="A5036" s="1">
        <v>43543.5945789699</v>
      </c>
      <c r="B5036" s="2">
        <v>675.0</v>
      </c>
      <c r="C5036" s="2" t="s">
        <v>222</v>
      </c>
    </row>
    <row r="5037">
      <c r="A5037" s="1">
        <v>43543.59465368056</v>
      </c>
      <c r="B5037" s="2">
        <v>676.0</v>
      </c>
      <c r="C5037" s="2" t="s">
        <v>223</v>
      </c>
    </row>
    <row r="5038">
      <c r="A5038" s="1">
        <v>43543.59473766204</v>
      </c>
      <c r="B5038" s="2">
        <v>676.0</v>
      </c>
      <c r="C5038" s="2" t="s">
        <v>223</v>
      </c>
    </row>
    <row r="5039">
      <c r="A5039" s="1">
        <v>43543.59476653935</v>
      </c>
      <c r="B5039" s="2">
        <v>676.0</v>
      </c>
      <c r="C5039" s="2" t="s">
        <v>223</v>
      </c>
    </row>
    <row r="5040">
      <c r="A5040" s="1">
        <v>43543.59486538194</v>
      </c>
      <c r="B5040" s="2">
        <v>677.0</v>
      </c>
      <c r="C5040" s="2" t="s">
        <v>224</v>
      </c>
    </row>
    <row r="5041">
      <c r="A5041" s="1">
        <v>43543.59487583333</v>
      </c>
      <c r="B5041" s="2">
        <v>677.0</v>
      </c>
      <c r="C5041" s="2" t="s">
        <v>224</v>
      </c>
    </row>
    <row r="5042">
      <c r="A5042" s="1">
        <v>43543.59489166667</v>
      </c>
      <c r="B5042" s="2">
        <v>676.0</v>
      </c>
      <c r="C5042" s="2" t="s">
        <v>223</v>
      </c>
    </row>
    <row r="5043">
      <c r="A5043" s="1">
        <v>43543.5951491088</v>
      </c>
      <c r="B5043" s="2">
        <v>676.0</v>
      </c>
      <c r="C5043" s="2" t="s">
        <v>223</v>
      </c>
    </row>
    <row r="5044">
      <c r="A5044" s="1">
        <v>43543.61005497685</v>
      </c>
      <c r="B5044" s="2">
        <v>672.0</v>
      </c>
      <c r="C5044" s="2" t="s">
        <v>6</v>
      </c>
    </row>
    <row r="5045">
      <c r="A5045" s="1">
        <v>43543.61297452546</v>
      </c>
      <c r="B5045" s="2">
        <v>675.0</v>
      </c>
      <c r="C5045" s="2" t="s">
        <v>222</v>
      </c>
    </row>
    <row r="5046">
      <c r="A5046" s="1">
        <v>43543.61558329861</v>
      </c>
      <c r="B5046" s="2">
        <v>675.0</v>
      </c>
      <c r="C5046" s="2" t="s">
        <v>222</v>
      </c>
    </row>
    <row r="5047">
      <c r="A5047" s="1">
        <v>43543.61646952546</v>
      </c>
      <c r="B5047" s="2">
        <v>643.0</v>
      </c>
      <c r="C5047" s="2" t="s">
        <v>166</v>
      </c>
    </row>
    <row r="5048">
      <c r="A5048" s="1">
        <v>43543.617381331016</v>
      </c>
      <c r="B5048" s="2">
        <v>675.0</v>
      </c>
      <c r="C5048" s="2" t="s">
        <v>222</v>
      </c>
    </row>
    <row r="5049">
      <c r="A5049" s="1">
        <v>43543.61755412037</v>
      </c>
      <c r="B5049" s="2">
        <v>676.0</v>
      </c>
      <c r="C5049" s="2" t="s">
        <v>223</v>
      </c>
    </row>
    <row r="5050">
      <c r="A5050" s="1">
        <v>43543.61763190972</v>
      </c>
      <c r="B5050" s="2">
        <v>677.0</v>
      </c>
      <c r="C5050" s="2" t="s">
        <v>224</v>
      </c>
    </row>
    <row r="5051">
      <c r="A5051" s="1">
        <v>43543.617739884256</v>
      </c>
      <c r="B5051" s="2">
        <v>740.0</v>
      </c>
      <c r="C5051" s="2" t="s">
        <v>221</v>
      </c>
      <c r="D5051" s="2" t="s">
        <v>5</v>
      </c>
    </row>
    <row r="5052">
      <c r="A5052" s="1">
        <v>43543.61810141204</v>
      </c>
      <c r="B5052" s="2">
        <v>740.0</v>
      </c>
      <c r="C5052" s="2" t="s">
        <v>221</v>
      </c>
      <c r="D5052" s="2" t="s">
        <v>5</v>
      </c>
    </row>
    <row r="5053">
      <c r="A5053" s="1">
        <v>43543.622262199075</v>
      </c>
      <c r="B5053" s="2">
        <v>675.0</v>
      </c>
      <c r="C5053" s="2" t="s">
        <v>222</v>
      </c>
    </row>
    <row r="5054">
      <c r="A5054" s="1">
        <v>43543.622311956016</v>
      </c>
      <c r="B5054" s="2">
        <v>676.0</v>
      </c>
      <c r="C5054" s="2" t="s">
        <v>223</v>
      </c>
    </row>
    <row r="5055">
      <c r="A5055" s="1">
        <v>43543.62236361111</v>
      </c>
      <c r="B5055" s="2">
        <v>677.0</v>
      </c>
      <c r="C5055" s="2" t="s">
        <v>224</v>
      </c>
    </row>
    <row r="5056">
      <c r="A5056" s="1">
        <v>43543.62242789352</v>
      </c>
      <c r="B5056" s="2">
        <v>740.0</v>
      </c>
      <c r="C5056" s="2" t="s">
        <v>221</v>
      </c>
      <c r="D5056" s="2" t="s">
        <v>5</v>
      </c>
    </row>
    <row r="5057">
      <c r="A5057" s="1">
        <v>43543.63128909722</v>
      </c>
      <c r="B5057" s="2">
        <v>674.0</v>
      </c>
      <c r="C5057" s="2" t="s">
        <v>193</v>
      </c>
    </row>
    <row r="5058">
      <c r="A5058" s="1">
        <v>43543.631365520836</v>
      </c>
      <c r="B5058" s="2">
        <v>675.0</v>
      </c>
      <c r="C5058" s="2" t="s">
        <v>222</v>
      </c>
    </row>
    <row r="5059">
      <c r="A5059" s="1">
        <v>43543.631554340274</v>
      </c>
      <c r="B5059" s="2">
        <v>172.0</v>
      </c>
      <c r="C5059" s="2" t="s">
        <v>65</v>
      </c>
    </row>
    <row r="5060">
      <c r="A5060" s="1">
        <v>43543.63167311343</v>
      </c>
      <c r="B5060" s="2">
        <v>677.0</v>
      </c>
      <c r="C5060" s="2" t="s">
        <v>224</v>
      </c>
    </row>
    <row r="5061">
      <c r="A5061" s="1">
        <v>43543.631880393514</v>
      </c>
      <c r="B5061" s="2">
        <v>661.0</v>
      </c>
      <c r="C5061" s="2" t="s">
        <v>153</v>
      </c>
    </row>
    <row r="5062">
      <c r="A5062" s="1">
        <v>43543.631979756945</v>
      </c>
      <c r="B5062" s="2">
        <v>653.0</v>
      </c>
      <c r="C5062" s="2" t="s">
        <v>77</v>
      </c>
    </row>
    <row r="5063">
      <c r="A5063" s="1">
        <v>43543.63235126158</v>
      </c>
      <c r="B5063" s="3" t="s">
        <v>32</v>
      </c>
      <c r="C5063" s="2" t="s">
        <v>33</v>
      </c>
    </row>
    <row r="5064">
      <c r="A5064" s="1">
        <v>43543.63247439815</v>
      </c>
      <c r="B5064" s="2">
        <v>201.0</v>
      </c>
      <c r="C5064" s="2" t="s">
        <v>70</v>
      </c>
    </row>
    <row r="5065">
      <c r="A5065" s="1">
        <v>43543.6325925</v>
      </c>
      <c r="B5065" s="2">
        <v>214.0</v>
      </c>
      <c r="C5065" s="2" t="s">
        <v>47</v>
      </c>
    </row>
    <row r="5066">
      <c r="A5066" s="1">
        <v>43543.63289969908</v>
      </c>
      <c r="B5066" s="2">
        <v>609.0</v>
      </c>
      <c r="C5066" s="2" t="s">
        <v>179</v>
      </c>
    </row>
    <row r="5067">
      <c r="A5067" s="1">
        <v>43543.66033078704</v>
      </c>
      <c r="B5067" s="2">
        <v>675.0</v>
      </c>
      <c r="C5067" s="2" t="s">
        <v>222</v>
      </c>
    </row>
    <row r="5068">
      <c r="A5068" s="1">
        <v>43543.6649959375</v>
      </c>
      <c r="B5068" s="2">
        <v>676.0</v>
      </c>
      <c r="C5068" s="2" t="s">
        <v>223</v>
      </c>
    </row>
    <row r="5069">
      <c r="A5069" s="1">
        <v>43543.66557082176</v>
      </c>
      <c r="B5069" s="2">
        <v>676.0</v>
      </c>
      <c r="C5069" s="2" t="s">
        <v>223</v>
      </c>
    </row>
    <row r="5070">
      <c r="A5070" s="1">
        <v>43543.667329386575</v>
      </c>
      <c r="B5070" s="2">
        <v>676.0</v>
      </c>
      <c r="C5070" s="2" t="s">
        <v>223</v>
      </c>
    </row>
    <row r="5071">
      <c r="A5071" s="1">
        <v>43543.667404618056</v>
      </c>
      <c r="B5071" s="2">
        <v>675.0</v>
      </c>
      <c r="C5071" s="2" t="s">
        <v>222</v>
      </c>
    </row>
    <row r="5072">
      <c r="A5072" s="1">
        <v>43543.746069699075</v>
      </c>
      <c r="B5072" s="2">
        <v>677.0</v>
      </c>
      <c r="C5072" s="2" t="s">
        <v>224</v>
      </c>
    </row>
    <row r="5073">
      <c r="A5073" s="1">
        <v>43543.746166111116</v>
      </c>
      <c r="B5073" s="2">
        <v>675.0</v>
      </c>
      <c r="C5073" s="2" t="s">
        <v>222</v>
      </c>
    </row>
    <row r="5074">
      <c r="A5074" s="1">
        <v>43543.74632828704</v>
      </c>
      <c r="B5074" s="2">
        <v>675.0</v>
      </c>
      <c r="C5074" s="2" t="s">
        <v>222</v>
      </c>
    </row>
    <row r="5075">
      <c r="A5075" s="1">
        <v>43548.42087327546</v>
      </c>
      <c r="B5075" s="2">
        <v>167.0</v>
      </c>
      <c r="C5075" s="2" t="s">
        <v>39</v>
      </c>
    </row>
    <row r="5076">
      <c r="A5076" s="1">
        <v>43548.424932696755</v>
      </c>
      <c r="B5076" s="2">
        <v>238.0</v>
      </c>
      <c r="C5076" s="2" t="s">
        <v>35</v>
      </c>
    </row>
    <row r="5077">
      <c r="A5077" s="1">
        <v>43548.427415949074</v>
      </c>
      <c r="B5077" s="2">
        <v>650.0</v>
      </c>
      <c r="C5077" s="2" t="s">
        <v>213</v>
      </c>
    </row>
    <row r="5078">
      <c r="A5078" s="1">
        <v>43548.428197754634</v>
      </c>
      <c r="B5078" s="2">
        <v>740.0</v>
      </c>
      <c r="C5078" s="2" t="s">
        <v>221</v>
      </c>
      <c r="D5078" s="2" t="s">
        <v>5</v>
      </c>
    </row>
    <row r="5079">
      <c r="A5079" s="1">
        <v>43548.428408692125</v>
      </c>
      <c r="B5079" s="2">
        <v>707.0</v>
      </c>
      <c r="C5079" s="2" t="s">
        <v>57</v>
      </c>
      <c r="D5079" s="2" t="s">
        <v>5</v>
      </c>
    </row>
    <row r="5080">
      <c r="A5080" s="1">
        <v>43548.428608993054</v>
      </c>
      <c r="B5080" s="2">
        <v>141.0</v>
      </c>
      <c r="C5080" s="2" t="s">
        <v>53</v>
      </c>
    </row>
    <row r="5081">
      <c r="A5081" s="1">
        <v>43548.42860966435</v>
      </c>
      <c r="B5081" s="2">
        <v>673.0</v>
      </c>
      <c r="C5081" s="2" t="s">
        <v>189</v>
      </c>
    </row>
    <row r="5082">
      <c r="A5082" s="1">
        <v>43548.428748067134</v>
      </c>
      <c r="B5082" s="2">
        <v>735.0</v>
      </c>
      <c r="C5082" s="2" t="s">
        <v>37</v>
      </c>
      <c r="D5082" s="2" t="s">
        <v>5</v>
      </c>
    </row>
    <row r="5083">
      <c r="A5083" s="1">
        <v>43548.428916261575</v>
      </c>
      <c r="B5083" s="2">
        <v>173.0</v>
      </c>
      <c r="C5083" s="2" t="s">
        <v>24</v>
      </c>
    </row>
    <row r="5084">
      <c r="A5084" s="1">
        <v>43548.428950092595</v>
      </c>
      <c r="B5084" s="2">
        <v>729.0</v>
      </c>
      <c r="C5084" s="2" t="s">
        <v>54</v>
      </c>
      <c r="D5084" s="2" t="s">
        <v>5</v>
      </c>
    </row>
    <row r="5085">
      <c r="A5085" s="1">
        <v>43548.42908450231</v>
      </c>
      <c r="B5085" s="3" t="s">
        <v>55</v>
      </c>
      <c r="C5085" s="2" t="s">
        <v>56</v>
      </c>
    </row>
    <row r="5086">
      <c r="A5086" s="1">
        <v>43548.42911462963</v>
      </c>
      <c r="B5086" s="2">
        <v>214.0</v>
      </c>
      <c r="C5086" s="2" t="s">
        <v>47</v>
      </c>
    </row>
    <row r="5087">
      <c r="A5087" s="1">
        <v>43548.42921690972</v>
      </c>
      <c r="B5087" s="2">
        <v>193.0</v>
      </c>
      <c r="C5087" s="2" t="s">
        <v>30</v>
      </c>
    </row>
    <row r="5088">
      <c r="A5088" s="1">
        <v>43548.42942480324</v>
      </c>
      <c r="B5088" s="3" t="s">
        <v>111</v>
      </c>
      <c r="C5088" s="2" t="s">
        <v>112</v>
      </c>
    </row>
    <row r="5089">
      <c r="A5089" s="1">
        <v>43548.42965652778</v>
      </c>
      <c r="B5089" s="2">
        <v>231.0</v>
      </c>
      <c r="C5089" s="2" t="s">
        <v>61</v>
      </c>
    </row>
    <row r="5090">
      <c r="A5090" s="1">
        <v>43548.42974177083</v>
      </c>
      <c r="B5090" s="2">
        <v>229.0</v>
      </c>
      <c r="C5090" s="2" t="s">
        <v>86</v>
      </c>
    </row>
    <row r="5091">
      <c r="A5091" s="1">
        <v>43548.42979572917</v>
      </c>
      <c r="B5091" s="2">
        <v>165.0</v>
      </c>
      <c r="C5091" s="2" t="s">
        <v>50</v>
      </c>
    </row>
    <row r="5092">
      <c r="A5092" s="1">
        <v>43548.42994253473</v>
      </c>
      <c r="B5092" s="2">
        <v>244.0</v>
      </c>
      <c r="C5092" s="2" t="s">
        <v>38</v>
      </c>
    </row>
    <row r="5093">
      <c r="A5093" s="1">
        <v>43548.42996434028</v>
      </c>
      <c r="B5093" s="2">
        <v>618.0</v>
      </c>
      <c r="C5093" s="2" t="s">
        <v>147</v>
      </c>
    </row>
    <row r="5094">
      <c r="A5094" s="1">
        <v>43548.430049999995</v>
      </c>
      <c r="B5094" s="2">
        <v>655.0</v>
      </c>
      <c r="C5094" s="2" t="s">
        <v>17</v>
      </c>
    </row>
    <row r="5095">
      <c r="A5095" s="1">
        <v>43548.43030502315</v>
      </c>
      <c r="B5095" s="2">
        <v>267.0</v>
      </c>
      <c r="C5095" s="2" t="s">
        <v>115</v>
      </c>
    </row>
    <row r="5096">
      <c r="A5096" s="1">
        <v>43548.433812013885</v>
      </c>
      <c r="B5096" s="3" t="s">
        <v>103</v>
      </c>
      <c r="C5096" s="2" t="s">
        <v>104</v>
      </c>
    </row>
    <row r="5097">
      <c r="A5097" s="1">
        <v>43548.434582974536</v>
      </c>
      <c r="B5097" s="2">
        <v>607.0</v>
      </c>
      <c r="C5097" s="2" t="s">
        <v>68</v>
      </c>
    </row>
    <row r="5098">
      <c r="A5098" s="1">
        <v>43548.43469916667</v>
      </c>
      <c r="B5098" s="2">
        <v>172.0</v>
      </c>
      <c r="C5098" s="2" t="s">
        <v>65</v>
      </c>
    </row>
    <row r="5099">
      <c r="A5099" s="1">
        <v>43548.436040659726</v>
      </c>
      <c r="B5099" s="3" t="s">
        <v>9</v>
      </c>
      <c r="C5099" s="2" t="s">
        <v>10</v>
      </c>
    </row>
    <row r="5100">
      <c r="A5100" s="1">
        <v>43548.43636969908</v>
      </c>
      <c r="B5100" s="2">
        <v>210.0</v>
      </c>
      <c r="C5100" s="2" t="s">
        <v>64</v>
      </c>
    </row>
    <row r="5101">
      <c r="A5101" s="1">
        <v>43548.43655636574</v>
      </c>
      <c r="B5101" s="2">
        <v>201.0</v>
      </c>
      <c r="C5101" s="2" t="s">
        <v>70</v>
      </c>
    </row>
    <row r="5102">
      <c r="A5102" s="1">
        <v>43548.436767928244</v>
      </c>
      <c r="B5102" s="2">
        <v>262.0</v>
      </c>
      <c r="C5102" s="2" t="s">
        <v>28</v>
      </c>
    </row>
    <row r="5103">
      <c r="A5103" s="1">
        <v>43548.4368734375</v>
      </c>
      <c r="B5103" s="2">
        <v>253.0</v>
      </c>
      <c r="C5103" s="2" t="s">
        <v>138</v>
      </c>
    </row>
    <row r="5104">
      <c r="A5104" s="1">
        <v>43548.43698090278</v>
      </c>
      <c r="B5104" s="2">
        <v>189.0</v>
      </c>
      <c r="C5104" s="2" t="s">
        <v>128</v>
      </c>
    </row>
    <row r="5105">
      <c r="A5105" s="1">
        <v>43548.43711688658</v>
      </c>
      <c r="B5105" s="2">
        <v>614.0</v>
      </c>
      <c r="C5105" s="2" t="s">
        <v>76</v>
      </c>
    </row>
    <row r="5106">
      <c r="A5106" s="1">
        <v>43548.43726678241</v>
      </c>
      <c r="B5106" s="3" t="s">
        <v>42</v>
      </c>
      <c r="C5106" s="2" t="s">
        <v>43</v>
      </c>
    </row>
    <row r="5107">
      <c r="A5107" s="1">
        <v>43548.43738476852</v>
      </c>
      <c r="B5107" s="3" t="s">
        <v>42</v>
      </c>
      <c r="C5107" s="2" t="s">
        <v>43</v>
      </c>
    </row>
    <row r="5108">
      <c r="A5108" s="1">
        <v>43548.437390335646</v>
      </c>
      <c r="B5108" s="2">
        <v>257.0</v>
      </c>
      <c r="C5108" s="2" t="s">
        <v>27</v>
      </c>
    </row>
    <row r="5109">
      <c r="A5109" s="1">
        <v>43548.437510104166</v>
      </c>
      <c r="B5109" s="2">
        <v>246.0</v>
      </c>
      <c r="C5109" s="2" t="s">
        <v>26</v>
      </c>
    </row>
    <row r="5110">
      <c r="A5110" s="1">
        <v>43548.438089918985</v>
      </c>
      <c r="B5110" s="2">
        <v>722.0</v>
      </c>
      <c r="C5110" s="2" t="s">
        <v>25</v>
      </c>
      <c r="D5110" s="2" t="s">
        <v>5</v>
      </c>
    </row>
    <row r="5111">
      <c r="A5111" s="1">
        <v>43548.43935476852</v>
      </c>
      <c r="B5111" s="3" t="s">
        <v>78</v>
      </c>
      <c r="C5111" s="2" t="s">
        <v>79</v>
      </c>
    </row>
    <row r="5112">
      <c r="A5112" s="1">
        <v>43548.43965914352</v>
      </c>
      <c r="B5112" s="3" t="s">
        <v>82</v>
      </c>
      <c r="C5112" s="2" t="s">
        <v>83</v>
      </c>
    </row>
    <row r="5113">
      <c r="A5113" s="1">
        <v>43548.43983188657</v>
      </c>
      <c r="B5113" s="2">
        <v>723.0</v>
      </c>
      <c r="C5113" s="2" t="s">
        <v>84</v>
      </c>
      <c r="D5113" s="2" t="s">
        <v>5</v>
      </c>
    </row>
    <row r="5114">
      <c r="A5114" s="1">
        <v>43548.439966516205</v>
      </c>
      <c r="B5114" s="2">
        <v>631.0</v>
      </c>
      <c r="C5114" s="2" t="s">
        <v>178</v>
      </c>
    </row>
    <row r="5115">
      <c r="A5115" s="1">
        <v>43548.44011577546</v>
      </c>
      <c r="B5115" s="2">
        <v>738.0</v>
      </c>
      <c r="C5115" s="2" t="s">
        <v>161</v>
      </c>
    </row>
    <row r="5116">
      <c r="A5116" s="1">
        <v>43548.44021111111</v>
      </c>
      <c r="B5116" s="2">
        <v>209.0</v>
      </c>
      <c r="C5116" s="2" t="s">
        <v>219</v>
      </c>
    </row>
    <row r="5117">
      <c r="A5117" s="1">
        <v>43548.44031637731</v>
      </c>
      <c r="B5117" s="3" t="s">
        <v>98</v>
      </c>
      <c r="C5117" s="2" t="s">
        <v>99</v>
      </c>
    </row>
    <row r="5118">
      <c r="A5118" s="1">
        <v>43548.44043585648</v>
      </c>
      <c r="B5118" s="2">
        <v>147.0</v>
      </c>
      <c r="C5118" s="2" t="s">
        <v>100</v>
      </c>
    </row>
    <row r="5119">
      <c r="A5119" s="1">
        <v>43548.44064489583</v>
      </c>
      <c r="B5119" s="2">
        <v>726.0</v>
      </c>
      <c r="C5119" s="2" t="s">
        <v>101</v>
      </c>
      <c r="D5119" s="2" t="s">
        <v>5</v>
      </c>
    </row>
    <row r="5120">
      <c r="A5120" s="1">
        <v>43548.441033125</v>
      </c>
      <c r="B5120" s="2">
        <v>667.0</v>
      </c>
      <c r="C5120" s="2" t="s">
        <v>73</v>
      </c>
    </row>
    <row r="5121">
      <c r="A5121" s="1">
        <v>43548.44115663195</v>
      </c>
      <c r="B5121" s="3" t="s">
        <v>74</v>
      </c>
      <c r="C5121" s="2" t="s">
        <v>75</v>
      </c>
    </row>
    <row r="5122">
      <c r="A5122" s="1">
        <v>43548.44117440972</v>
      </c>
      <c r="B5122" s="2">
        <v>732.0</v>
      </c>
      <c r="C5122" s="2" t="s">
        <v>102</v>
      </c>
      <c r="D5122" s="2" t="s">
        <v>5</v>
      </c>
    </row>
    <row r="5123">
      <c r="A5123" s="1">
        <v>43548.44129488426</v>
      </c>
      <c r="B5123" s="2">
        <v>648.0</v>
      </c>
      <c r="C5123" s="2" t="s">
        <v>207</v>
      </c>
    </row>
    <row r="5124">
      <c r="A5124" s="1">
        <v>43548.44131400463</v>
      </c>
      <c r="B5124" s="2">
        <v>667.0</v>
      </c>
      <c r="C5124" s="2" t="s">
        <v>73</v>
      </c>
    </row>
    <row r="5125">
      <c r="A5125" s="1">
        <v>43548.44134767361</v>
      </c>
      <c r="B5125" s="2">
        <v>706.0</v>
      </c>
      <c r="C5125" s="2" t="s">
        <v>149</v>
      </c>
      <c r="D5125" s="2" t="s">
        <v>5</v>
      </c>
    </row>
    <row r="5126">
      <c r="A5126" s="1">
        <v>43548.44137256945</v>
      </c>
      <c r="B5126" s="2">
        <v>653.0</v>
      </c>
      <c r="C5126" s="2" t="s">
        <v>77</v>
      </c>
    </row>
    <row r="5127">
      <c r="A5127" s="1">
        <v>43548.441426273144</v>
      </c>
      <c r="B5127" s="3" t="s">
        <v>150</v>
      </c>
      <c r="C5127" s="2" t="s">
        <v>151</v>
      </c>
    </row>
    <row r="5128">
      <c r="A5128" s="1">
        <v>43548.44147636574</v>
      </c>
      <c r="B5128" s="2">
        <v>114.0</v>
      </c>
      <c r="C5128" s="2" t="s">
        <v>15</v>
      </c>
    </row>
    <row r="5129">
      <c r="A5129" s="1">
        <v>43548.44150539352</v>
      </c>
      <c r="B5129" s="2">
        <v>706.0</v>
      </c>
      <c r="C5129" s="2" t="s">
        <v>149</v>
      </c>
      <c r="D5129" s="2" t="s">
        <v>5</v>
      </c>
    </row>
    <row r="5130">
      <c r="A5130" s="1">
        <v>43548.44173605324</v>
      </c>
      <c r="B5130" s="3" t="s">
        <v>150</v>
      </c>
      <c r="C5130" s="2" t="s">
        <v>151</v>
      </c>
    </row>
    <row r="5131">
      <c r="A5131" s="1">
        <v>43548.44226725695</v>
      </c>
      <c r="B5131" s="3" t="s">
        <v>80</v>
      </c>
      <c r="C5131" s="2" t="s">
        <v>81</v>
      </c>
    </row>
    <row r="5132">
      <c r="A5132" s="1">
        <v>43548.44241256945</v>
      </c>
      <c r="B5132" s="2">
        <v>611.0</v>
      </c>
      <c r="C5132" s="2" t="s">
        <v>143</v>
      </c>
    </row>
    <row r="5133">
      <c r="A5133" s="1">
        <v>43548.44255950231</v>
      </c>
      <c r="B5133" s="2">
        <v>254.0</v>
      </c>
      <c r="C5133" s="2" t="s">
        <v>132</v>
      </c>
    </row>
    <row r="5134">
      <c r="A5134" s="1">
        <v>43548.44264337963</v>
      </c>
      <c r="B5134" s="2">
        <v>734.0</v>
      </c>
      <c r="C5134" s="2" t="s">
        <v>63</v>
      </c>
      <c r="D5134" s="2" t="s">
        <v>5</v>
      </c>
    </row>
    <row r="5135">
      <c r="A5135" s="1">
        <v>43548.443426990736</v>
      </c>
      <c r="B5135" s="2">
        <v>259.0</v>
      </c>
      <c r="C5135" s="2" t="s">
        <v>66</v>
      </c>
    </row>
    <row r="5136">
      <c r="A5136" s="1">
        <v>43548.44381196759</v>
      </c>
      <c r="B5136" s="2">
        <v>260.0</v>
      </c>
      <c r="C5136" s="2" t="s">
        <v>67</v>
      </c>
    </row>
    <row r="5137">
      <c r="A5137" s="1">
        <v>43548.44391945602</v>
      </c>
      <c r="B5137" s="3" t="s">
        <v>22</v>
      </c>
      <c r="C5137" s="2" t="s">
        <v>23</v>
      </c>
    </row>
    <row r="5138">
      <c r="A5138" s="1">
        <v>43548.44401583333</v>
      </c>
      <c r="B5138" s="2">
        <v>52.0</v>
      </c>
      <c r="C5138" s="2" t="s">
        <v>41</v>
      </c>
    </row>
    <row r="5139">
      <c r="A5139" s="1">
        <v>43548.444095810184</v>
      </c>
      <c r="B5139" s="3" t="s">
        <v>51</v>
      </c>
      <c r="C5139" s="2" t="s">
        <v>52</v>
      </c>
    </row>
    <row r="5140">
      <c r="A5140" s="1">
        <v>43548.44422961806</v>
      </c>
      <c r="B5140" s="2">
        <v>677.0</v>
      </c>
      <c r="C5140" s="2" t="s">
        <v>224</v>
      </c>
    </row>
    <row r="5141">
      <c r="A5141" s="1">
        <v>43548.444345578704</v>
      </c>
      <c r="B5141" s="2">
        <v>617.0</v>
      </c>
      <c r="C5141" s="2" t="s">
        <v>172</v>
      </c>
    </row>
    <row r="5142">
      <c r="A5142" s="1">
        <v>43548.4444269213</v>
      </c>
      <c r="B5142" s="3" t="s">
        <v>11</v>
      </c>
      <c r="C5142" s="2" t="s">
        <v>12</v>
      </c>
    </row>
    <row r="5143">
      <c r="A5143" s="1">
        <v>43548.444530520836</v>
      </c>
      <c r="B5143" s="3" t="s">
        <v>159</v>
      </c>
      <c r="C5143" s="2" t="s">
        <v>160</v>
      </c>
    </row>
    <row r="5144">
      <c r="A5144" s="1">
        <v>43548.44461228009</v>
      </c>
      <c r="B5144" s="3" t="s">
        <v>11</v>
      </c>
      <c r="C5144" s="2" t="s">
        <v>12</v>
      </c>
    </row>
    <row r="5145">
      <c r="A5145" s="1">
        <v>43548.44490405092</v>
      </c>
      <c r="B5145" s="3" t="s">
        <v>126</v>
      </c>
      <c r="C5145" s="2" t="s">
        <v>127</v>
      </c>
    </row>
    <row r="5146">
      <c r="A5146" s="1">
        <v>43548.44503346065</v>
      </c>
      <c r="B5146" s="2">
        <v>208.0</v>
      </c>
      <c r="C5146" s="2" t="s">
        <v>182</v>
      </c>
    </row>
    <row r="5147">
      <c r="A5147" s="1">
        <v>43548.44522601852</v>
      </c>
      <c r="B5147" s="3" t="s">
        <v>111</v>
      </c>
      <c r="C5147" s="2" t="s">
        <v>112</v>
      </c>
    </row>
    <row r="5148">
      <c r="A5148" s="1">
        <v>43548.44531578704</v>
      </c>
      <c r="B5148" s="3" t="s">
        <v>159</v>
      </c>
      <c r="C5148" s="2" t="s">
        <v>160</v>
      </c>
    </row>
    <row r="5149">
      <c r="A5149" s="1">
        <v>43548.445583611116</v>
      </c>
      <c r="B5149" s="2">
        <v>719.0</v>
      </c>
      <c r="C5149" s="2" t="s">
        <v>106</v>
      </c>
      <c r="D5149" s="2" t="s">
        <v>5</v>
      </c>
    </row>
    <row r="5150">
      <c r="A5150" s="1">
        <v>43548.44575908565</v>
      </c>
      <c r="B5150" s="2">
        <v>718.0</v>
      </c>
      <c r="C5150" s="2" t="s">
        <v>105</v>
      </c>
      <c r="D5150" s="2" t="s">
        <v>5</v>
      </c>
    </row>
    <row r="5151">
      <c r="A5151" s="1">
        <v>43548.44591650463</v>
      </c>
      <c r="B5151" s="2">
        <v>101.0</v>
      </c>
      <c r="C5151" s="2" t="s">
        <v>108</v>
      </c>
    </row>
    <row r="5152">
      <c r="A5152" s="1">
        <v>43548.44605733796</v>
      </c>
      <c r="B5152" s="2">
        <v>124.0</v>
      </c>
      <c r="C5152" s="2" t="s">
        <v>107</v>
      </c>
    </row>
    <row r="5153">
      <c r="A5153" s="1">
        <v>43548.44619945602</v>
      </c>
      <c r="B5153" s="2">
        <v>124.0</v>
      </c>
      <c r="C5153" s="2" t="s">
        <v>107</v>
      </c>
    </row>
    <row r="5154">
      <c r="A5154" s="1">
        <v>43548.44620240741</v>
      </c>
      <c r="B5154" s="2">
        <v>675.0</v>
      </c>
      <c r="C5154" s="2" t="s">
        <v>222</v>
      </c>
    </row>
    <row r="5155">
      <c r="A5155" s="1">
        <v>43548.44623568287</v>
      </c>
      <c r="B5155" s="2">
        <v>124.0</v>
      </c>
      <c r="C5155" s="2" t="s">
        <v>107</v>
      </c>
    </row>
    <row r="5156">
      <c r="A5156" s="1">
        <v>43548.44633515047</v>
      </c>
      <c r="B5156" s="2">
        <v>676.0</v>
      </c>
      <c r="C5156" s="2" t="s">
        <v>223</v>
      </c>
    </row>
    <row r="5157">
      <c r="A5157" s="1">
        <v>43548.44679212963</v>
      </c>
      <c r="B5157" s="3" t="s">
        <v>113</v>
      </c>
      <c r="C5157" s="2" t="s">
        <v>114</v>
      </c>
    </row>
    <row r="5158">
      <c r="A5158" s="1">
        <v>43548.44688538194</v>
      </c>
      <c r="B5158" s="3" t="s">
        <v>22</v>
      </c>
      <c r="C5158" s="2" t="s">
        <v>23</v>
      </c>
    </row>
    <row r="5159">
      <c r="A5159" s="1">
        <v>43548.447030474534</v>
      </c>
      <c r="B5159" s="2">
        <v>158.0</v>
      </c>
      <c r="C5159" s="2" t="s">
        <v>62</v>
      </c>
    </row>
    <row r="5160">
      <c r="A5160" s="1">
        <v>43548.44712802084</v>
      </c>
      <c r="B5160" s="2">
        <v>113.0</v>
      </c>
      <c r="C5160" s="2" t="s">
        <v>29</v>
      </c>
    </row>
    <row r="5161">
      <c r="A5161" s="1">
        <v>43548.44727185185</v>
      </c>
      <c r="B5161" s="2">
        <v>237.0</v>
      </c>
      <c r="C5161" s="2" t="s">
        <v>140</v>
      </c>
    </row>
    <row r="5162">
      <c r="A5162" s="1">
        <v>43548.447654421296</v>
      </c>
      <c r="B5162" s="2">
        <v>198.0</v>
      </c>
      <c r="C5162" s="2" t="s">
        <v>97</v>
      </c>
    </row>
    <row r="5163">
      <c r="A5163" s="1">
        <v>43548.44787716435</v>
      </c>
      <c r="B5163" s="2">
        <v>701.0</v>
      </c>
      <c r="C5163" s="2" t="s">
        <v>93</v>
      </c>
      <c r="D5163" s="2" t="s">
        <v>5</v>
      </c>
    </row>
    <row r="5164">
      <c r="A5164" s="1">
        <v>43548.447949594905</v>
      </c>
      <c r="B5164" s="2">
        <v>702.0</v>
      </c>
      <c r="C5164" s="2" t="s">
        <v>96</v>
      </c>
      <c r="D5164" s="2" t="s">
        <v>5</v>
      </c>
    </row>
    <row r="5165">
      <c r="A5165" s="1">
        <v>43548.448040069445</v>
      </c>
      <c r="B5165" s="3" t="s">
        <v>94</v>
      </c>
      <c r="C5165" s="2" t="s">
        <v>95</v>
      </c>
    </row>
    <row r="5166">
      <c r="A5166" s="1">
        <v>43548.44814359954</v>
      </c>
      <c r="B5166" s="2">
        <v>625.0</v>
      </c>
      <c r="C5166" s="2" t="s">
        <v>136</v>
      </c>
    </row>
    <row r="5167">
      <c r="A5167" s="1">
        <v>43548.44858960648</v>
      </c>
      <c r="B5167" s="2">
        <v>126.0</v>
      </c>
      <c r="C5167" s="2" t="s">
        <v>87</v>
      </c>
    </row>
    <row r="5168">
      <c r="A5168" s="1">
        <v>43549.73813982639</v>
      </c>
      <c r="B5168" s="2">
        <v>632.0</v>
      </c>
      <c r="C5168" s="2" t="s">
        <v>146</v>
      </c>
    </row>
    <row r="5169">
      <c r="A5169" s="1">
        <v>43549.73837503472</v>
      </c>
      <c r="B5169" s="2">
        <v>662.0</v>
      </c>
      <c r="C5169" s="2" t="s">
        <v>18</v>
      </c>
    </row>
    <row r="5170">
      <c r="A5170" s="1">
        <v>43549.73852084491</v>
      </c>
      <c r="B5170" s="2">
        <v>708.0</v>
      </c>
      <c r="C5170" s="2" t="s">
        <v>4</v>
      </c>
      <c r="D5170" s="2" t="s">
        <v>5</v>
      </c>
    </row>
    <row r="5171">
      <c r="A5171" s="1">
        <v>43549.738562893515</v>
      </c>
      <c r="B5171" s="2">
        <v>709.0</v>
      </c>
      <c r="C5171" s="2" t="s">
        <v>20</v>
      </c>
      <c r="D5171" s="2" t="s">
        <v>5</v>
      </c>
    </row>
    <row r="5172">
      <c r="A5172" s="1">
        <v>43549.73860074074</v>
      </c>
      <c r="B5172" s="2">
        <v>710.0</v>
      </c>
      <c r="C5172" s="2" t="s">
        <v>21</v>
      </c>
      <c r="D5172" s="2" t="s">
        <v>5</v>
      </c>
    </row>
    <row r="5173">
      <c r="A5173" s="1">
        <v>43549.73873950231</v>
      </c>
      <c r="B5173" s="2">
        <v>716.0</v>
      </c>
      <c r="C5173" s="2" t="s">
        <v>123</v>
      </c>
      <c r="D5173" s="2" t="s">
        <v>5</v>
      </c>
    </row>
    <row r="5174">
      <c r="A5174" s="1">
        <v>43549.73968677083</v>
      </c>
      <c r="B5174" s="3" t="s">
        <v>88</v>
      </c>
      <c r="C5174" s="2" t="s">
        <v>89</v>
      </c>
    </row>
    <row r="5175">
      <c r="A5175" s="1">
        <v>43549.739849328704</v>
      </c>
      <c r="B5175" s="2">
        <v>602.0</v>
      </c>
      <c r="C5175" s="2" t="s">
        <v>131</v>
      </c>
    </row>
    <row r="5176">
      <c r="A5176" s="1">
        <v>43549.74003502315</v>
      </c>
      <c r="B5176" s="2">
        <v>535.0</v>
      </c>
      <c r="C5176" s="2" t="s">
        <v>208</v>
      </c>
    </row>
    <row r="5177">
      <c r="A5177" s="1">
        <v>43549.740190254626</v>
      </c>
      <c r="B5177" s="3" t="s">
        <v>32</v>
      </c>
      <c r="C5177" s="2" t="s">
        <v>33</v>
      </c>
    </row>
    <row r="5178">
      <c r="A5178" s="1">
        <v>43549.74897908565</v>
      </c>
      <c r="B5178" s="2">
        <v>663.0</v>
      </c>
      <c r="C5178" s="2" t="s">
        <v>109</v>
      </c>
    </row>
    <row r="5179">
      <c r="A5179" s="1">
        <v>43549.74944043982</v>
      </c>
      <c r="B5179" s="2">
        <v>662.0</v>
      </c>
      <c r="C5179" s="2" t="s">
        <v>18</v>
      </c>
    </row>
    <row r="5180">
      <c r="A5180" s="1">
        <v>43549.76782761574</v>
      </c>
      <c r="B5180" s="2">
        <v>268.0</v>
      </c>
      <c r="C5180" s="2" t="s">
        <v>205</v>
      </c>
    </row>
    <row r="5181">
      <c r="A5181" s="1">
        <v>43549.76825258102</v>
      </c>
      <c r="B5181" s="2">
        <v>268.0</v>
      </c>
      <c r="C5181" s="2" t="s">
        <v>205</v>
      </c>
    </row>
    <row r="5182">
      <c r="A5182" s="1">
        <v>43549.76836158565</v>
      </c>
      <c r="B5182" s="2">
        <v>268.0</v>
      </c>
      <c r="C5182" s="2" t="s">
        <v>205</v>
      </c>
    </row>
    <row r="5183">
      <c r="A5183" s="1">
        <v>43549.79553185185</v>
      </c>
      <c r="B5183" s="2">
        <v>268.0</v>
      </c>
      <c r="C5183" s="2" t="s">
        <v>205</v>
      </c>
    </row>
    <row r="5184">
      <c r="A5184" s="1">
        <v>43555.41014840278</v>
      </c>
      <c r="B5184" s="2">
        <v>252.0</v>
      </c>
      <c r="C5184" s="2" t="s">
        <v>34</v>
      </c>
    </row>
    <row r="5185">
      <c r="A5185" s="1">
        <v>43555.42012736111</v>
      </c>
      <c r="B5185" s="2">
        <v>244.0</v>
      </c>
      <c r="C5185" s="2" t="s">
        <v>38</v>
      </c>
    </row>
    <row r="5186">
      <c r="A5186" s="1">
        <v>43555.42017261574</v>
      </c>
      <c r="B5186" s="2">
        <v>246.0</v>
      </c>
      <c r="C5186" s="2" t="s">
        <v>26</v>
      </c>
    </row>
    <row r="5187">
      <c r="A5187" s="1">
        <v>43555.420444641204</v>
      </c>
      <c r="B5187" s="2">
        <v>722.0</v>
      </c>
      <c r="C5187" s="2" t="s">
        <v>25</v>
      </c>
      <c r="D5187" s="2" t="s">
        <v>5</v>
      </c>
    </row>
    <row r="5188">
      <c r="A5188" s="1">
        <v>43555.42265966436</v>
      </c>
      <c r="B5188" s="2">
        <v>735.0</v>
      </c>
      <c r="C5188" s="2" t="s">
        <v>37</v>
      </c>
      <c r="D5188" s="2" t="s">
        <v>5</v>
      </c>
    </row>
    <row r="5189">
      <c r="A5189" s="1">
        <v>43555.424966481485</v>
      </c>
      <c r="B5189" s="2">
        <v>602.0</v>
      </c>
      <c r="C5189" s="2" t="s">
        <v>131</v>
      </c>
    </row>
    <row r="5190">
      <c r="A5190" s="1">
        <v>43555.42513444445</v>
      </c>
      <c r="B5190" s="2">
        <v>52.0</v>
      </c>
      <c r="C5190" s="2" t="s">
        <v>41</v>
      </c>
    </row>
    <row r="5191">
      <c r="A5191" s="1">
        <v>43555.42525797454</v>
      </c>
      <c r="B5191" s="2">
        <v>611.0</v>
      </c>
      <c r="C5191" s="2" t="s">
        <v>143</v>
      </c>
    </row>
    <row r="5192">
      <c r="A5192" s="1">
        <v>43555.42544025463</v>
      </c>
      <c r="B5192" s="2">
        <v>607.0</v>
      </c>
      <c r="C5192" s="2" t="s">
        <v>68</v>
      </c>
    </row>
    <row r="5193">
      <c r="A5193" s="1">
        <v>43555.4255762963</v>
      </c>
      <c r="B5193" s="3" t="s">
        <v>159</v>
      </c>
      <c r="C5193" s="2" t="s">
        <v>160</v>
      </c>
    </row>
    <row r="5194">
      <c r="A5194" s="1">
        <v>43555.42572396991</v>
      </c>
      <c r="B5194" s="2">
        <v>262.0</v>
      </c>
      <c r="C5194" s="2" t="s">
        <v>28</v>
      </c>
    </row>
    <row r="5195">
      <c r="A5195" s="1">
        <v>43555.4268265162</v>
      </c>
      <c r="B5195" s="2">
        <v>729.0</v>
      </c>
      <c r="C5195" s="2" t="s">
        <v>54</v>
      </c>
      <c r="D5195" s="2" t="s">
        <v>5</v>
      </c>
    </row>
    <row r="5196">
      <c r="A5196" s="1">
        <v>43555.42696300926</v>
      </c>
      <c r="B5196" s="2">
        <v>618.0</v>
      </c>
      <c r="C5196" s="2" t="s">
        <v>147</v>
      </c>
    </row>
    <row r="5197">
      <c r="A5197" s="1">
        <v>43555.427019386574</v>
      </c>
      <c r="B5197" s="3" t="s">
        <v>55</v>
      </c>
      <c r="C5197" s="2" t="s">
        <v>56</v>
      </c>
    </row>
    <row r="5198">
      <c r="A5198" s="1">
        <v>43555.42720017361</v>
      </c>
      <c r="B5198" s="2">
        <v>210.0</v>
      </c>
      <c r="C5198" s="2" t="s">
        <v>64</v>
      </c>
    </row>
    <row r="5199">
      <c r="A5199" s="1">
        <v>43555.42721342592</v>
      </c>
      <c r="B5199" s="2">
        <v>707.0</v>
      </c>
      <c r="C5199" s="2" t="s">
        <v>57</v>
      </c>
      <c r="D5199" s="2" t="s">
        <v>5</v>
      </c>
    </row>
    <row r="5200">
      <c r="A5200" s="1">
        <v>43555.42733258102</v>
      </c>
      <c r="B5200" s="3" t="s">
        <v>22</v>
      </c>
      <c r="C5200" s="2" t="s">
        <v>23</v>
      </c>
    </row>
    <row r="5201">
      <c r="A5201" s="1">
        <v>43555.42745695602</v>
      </c>
      <c r="B5201" s="2">
        <v>158.0</v>
      </c>
      <c r="C5201" s="2" t="s">
        <v>62</v>
      </c>
    </row>
    <row r="5202">
      <c r="A5202" s="1">
        <v>43555.42770023148</v>
      </c>
      <c r="B5202" s="2">
        <v>253.0</v>
      </c>
      <c r="C5202" s="2" t="s">
        <v>138</v>
      </c>
    </row>
    <row r="5203">
      <c r="A5203" s="1">
        <v>43555.42810113426</v>
      </c>
      <c r="B5203" s="2">
        <v>113.0</v>
      </c>
      <c r="C5203" s="2" t="s">
        <v>29</v>
      </c>
    </row>
    <row r="5204">
      <c r="A5204" s="1">
        <v>43555.42968327546</v>
      </c>
      <c r="B5204" s="3" t="s">
        <v>169</v>
      </c>
      <c r="C5204" s="2" t="s">
        <v>170</v>
      </c>
    </row>
    <row r="5205">
      <c r="A5205" s="1">
        <v>43555.42983987268</v>
      </c>
      <c r="B5205" s="2">
        <v>201.0</v>
      </c>
      <c r="C5205" s="2" t="s">
        <v>70</v>
      </c>
    </row>
    <row r="5206">
      <c r="A5206" s="1">
        <v>43555.43088884259</v>
      </c>
      <c r="B5206" s="2">
        <v>114.0</v>
      </c>
      <c r="C5206" s="2" t="s">
        <v>15</v>
      </c>
    </row>
    <row r="5207">
      <c r="A5207" s="1">
        <v>43555.43102517361</v>
      </c>
      <c r="B5207" s="2">
        <v>267.0</v>
      </c>
      <c r="C5207" s="2" t="s">
        <v>115</v>
      </c>
    </row>
    <row r="5208">
      <c r="A5208" s="1">
        <v>43555.4311780787</v>
      </c>
      <c r="B5208" s="3" t="s">
        <v>32</v>
      </c>
      <c r="C5208" s="2" t="s">
        <v>33</v>
      </c>
    </row>
    <row r="5209">
      <c r="A5209" s="1">
        <v>43555.431209305556</v>
      </c>
      <c r="B5209" s="2">
        <v>193.0</v>
      </c>
      <c r="C5209" s="2" t="s">
        <v>30</v>
      </c>
    </row>
    <row r="5210">
      <c r="A5210" s="1">
        <v>43555.432075578705</v>
      </c>
      <c r="B5210" s="2">
        <v>270.0</v>
      </c>
      <c r="C5210" s="2" t="s">
        <v>153</v>
      </c>
    </row>
    <row r="5211">
      <c r="A5211" s="1">
        <v>43555.43218189815</v>
      </c>
      <c r="B5211" s="2">
        <v>214.0</v>
      </c>
      <c r="C5211" s="2" t="s">
        <v>47</v>
      </c>
    </row>
    <row r="5212">
      <c r="A5212" s="1">
        <v>43555.43235174769</v>
      </c>
      <c r="B5212" s="2">
        <v>172.0</v>
      </c>
      <c r="C5212" s="2" t="s">
        <v>65</v>
      </c>
    </row>
    <row r="5213">
      <c r="A5213" s="1">
        <v>43555.433246597226</v>
      </c>
      <c r="B5213" s="3" t="s">
        <v>51</v>
      </c>
      <c r="C5213" s="2" t="s">
        <v>52</v>
      </c>
    </row>
    <row r="5214">
      <c r="A5214" s="1">
        <v>43555.43333097222</v>
      </c>
      <c r="B5214" s="3" t="s">
        <v>98</v>
      </c>
      <c r="C5214" s="2" t="s">
        <v>99</v>
      </c>
    </row>
    <row r="5215">
      <c r="A5215" s="1">
        <v>43555.43344782408</v>
      </c>
      <c r="B5215" s="2">
        <v>147.0</v>
      </c>
      <c r="C5215" s="2" t="s">
        <v>100</v>
      </c>
    </row>
    <row r="5216">
      <c r="A5216" s="1">
        <v>43555.43364092593</v>
      </c>
      <c r="B5216" s="2">
        <v>726.0</v>
      </c>
      <c r="C5216" s="2" t="s">
        <v>101</v>
      </c>
      <c r="D5216" s="2" t="s">
        <v>5</v>
      </c>
    </row>
    <row r="5217">
      <c r="A5217" s="1">
        <v>43555.43376946759</v>
      </c>
      <c r="B5217" s="2">
        <v>732.0</v>
      </c>
      <c r="C5217" s="2" t="s">
        <v>102</v>
      </c>
      <c r="D5217" s="2" t="s">
        <v>5</v>
      </c>
    </row>
    <row r="5218">
      <c r="A5218" s="1">
        <v>43555.43391361111</v>
      </c>
      <c r="B5218" s="2">
        <v>672.0</v>
      </c>
      <c r="C5218" s="2" t="s">
        <v>6</v>
      </c>
    </row>
    <row r="5219">
      <c r="A5219" s="1">
        <v>43555.436087951384</v>
      </c>
      <c r="B5219" s="2">
        <v>736.0</v>
      </c>
      <c r="C5219" s="2" t="s">
        <v>175</v>
      </c>
      <c r="D5219" s="2" t="s">
        <v>5</v>
      </c>
    </row>
    <row r="5220">
      <c r="A5220" s="1">
        <v>43555.43614518519</v>
      </c>
      <c r="B5220" s="2">
        <v>737.0</v>
      </c>
      <c r="C5220" s="2" t="s">
        <v>176</v>
      </c>
      <c r="D5220" s="2" t="s">
        <v>5</v>
      </c>
    </row>
    <row r="5221">
      <c r="A5221" s="1">
        <v>43555.43620401621</v>
      </c>
      <c r="B5221" s="2">
        <v>207.0</v>
      </c>
      <c r="C5221" s="2" t="s">
        <v>85</v>
      </c>
    </row>
    <row r="5222">
      <c r="A5222" s="1">
        <v>43555.43628796296</v>
      </c>
      <c r="B5222" s="2">
        <v>253.0</v>
      </c>
      <c r="C5222" s="2" t="s">
        <v>138</v>
      </c>
    </row>
    <row r="5223">
      <c r="A5223" s="1">
        <v>43555.43658642361</v>
      </c>
      <c r="B5223" s="2">
        <v>667.0</v>
      </c>
      <c r="C5223" s="2" t="s">
        <v>73</v>
      </c>
    </row>
    <row r="5224">
      <c r="A5224" s="1">
        <v>43555.436694386575</v>
      </c>
      <c r="B5224" s="2">
        <v>706.0</v>
      </c>
      <c r="C5224" s="2" t="s">
        <v>149</v>
      </c>
      <c r="D5224" s="2" t="s">
        <v>5</v>
      </c>
    </row>
    <row r="5225">
      <c r="A5225" s="1">
        <v>43555.4367965625</v>
      </c>
      <c r="B5225" s="3" t="s">
        <v>150</v>
      </c>
      <c r="C5225" s="2" t="s">
        <v>151</v>
      </c>
    </row>
    <row r="5226">
      <c r="A5226" s="1">
        <v>43555.436913206024</v>
      </c>
      <c r="B5226" s="2">
        <v>253.0</v>
      </c>
      <c r="C5226" s="2" t="s">
        <v>138</v>
      </c>
    </row>
    <row r="5227">
      <c r="A5227" s="1">
        <v>43555.43691400463</v>
      </c>
      <c r="B5227" s="2">
        <v>126.0</v>
      </c>
      <c r="C5227" s="2" t="s">
        <v>87</v>
      </c>
    </row>
    <row r="5228">
      <c r="A5228" s="1">
        <v>43555.43715696759</v>
      </c>
      <c r="B5228" s="3" t="s">
        <v>88</v>
      </c>
      <c r="C5228" s="2" t="s">
        <v>89</v>
      </c>
    </row>
    <row r="5229">
      <c r="A5229" s="1">
        <v>43555.43733033565</v>
      </c>
      <c r="B5229" s="3" t="s">
        <v>44</v>
      </c>
      <c r="C5229" s="2" t="s">
        <v>45</v>
      </c>
    </row>
    <row r="5230">
      <c r="A5230" s="1">
        <v>43555.43750028935</v>
      </c>
      <c r="B5230" s="2">
        <v>716.0</v>
      </c>
      <c r="C5230" s="2" t="s">
        <v>123</v>
      </c>
      <c r="D5230" s="2" t="s">
        <v>5</v>
      </c>
    </row>
    <row r="5231">
      <c r="A5231" s="1">
        <v>43555.43763519676</v>
      </c>
      <c r="B5231" s="2">
        <v>257.0</v>
      </c>
      <c r="C5231" s="2" t="s">
        <v>27</v>
      </c>
    </row>
    <row r="5232">
      <c r="A5232" s="1">
        <v>43555.43784130787</v>
      </c>
      <c r="B5232" s="2">
        <v>648.0</v>
      </c>
      <c r="C5232" s="2" t="s">
        <v>207</v>
      </c>
    </row>
    <row r="5233">
      <c r="A5233" s="1">
        <v>43555.43795907407</v>
      </c>
      <c r="B5233" s="2">
        <v>126.0</v>
      </c>
      <c r="C5233" s="2" t="s">
        <v>87</v>
      </c>
    </row>
    <row r="5234">
      <c r="A5234" s="1">
        <v>43555.43798666667</v>
      </c>
      <c r="B5234" s="2">
        <v>648.0</v>
      </c>
      <c r="C5234" s="2" t="s">
        <v>207</v>
      </c>
    </row>
    <row r="5235">
      <c r="A5235" s="1">
        <v>43555.4382707176</v>
      </c>
      <c r="B5235" s="2">
        <v>721.0</v>
      </c>
      <c r="C5235" s="2" t="s">
        <v>156</v>
      </c>
      <c r="D5235" s="2" t="s">
        <v>5</v>
      </c>
    </row>
    <row r="5236">
      <c r="A5236" s="1">
        <v>43555.43851604167</v>
      </c>
      <c r="B5236" s="2">
        <v>259.0</v>
      </c>
      <c r="C5236" s="2" t="s">
        <v>66</v>
      </c>
    </row>
    <row r="5237">
      <c r="A5237" s="1">
        <v>43555.438609282406</v>
      </c>
      <c r="B5237" s="2">
        <v>260.0</v>
      </c>
      <c r="C5237" s="2" t="s">
        <v>67</v>
      </c>
    </row>
    <row r="5238">
      <c r="A5238" s="1">
        <v>43555.43864778936</v>
      </c>
      <c r="B5238" s="3" t="s">
        <v>44</v>
      </c>
      <c r="C5238" s="2" t="s">
        <v>45</v>
      </c>
    </row>
    <row r="5239">
      <c r="A5239" s="1">
        <v>43555.438737442135</v>
      </c>
      <c r="B5239" s="2">
        <v>734.0</v>
      </c>
      <c r="C5239" s="2" t="s">
        <v>63</v>
      </c>
      <c r="D5239" s="2" t="s">
        <v>5</v>
      </c>
    </row>
    <row r="5240">
      <c r="A5240" s="1">
        <v>43555.43874744213</v>
      </c>
      <c r="B5240" s="3" t="s">
        <v>126</v>
      </c>
      <c r="C5240" s="2" t="s">
        <v>127</v>
      </c>
    </row>
    <row r="5241">
      <c r="A5241" s="1">
        <v>43555.43896814815</v>
      </c>
      <c r="B5241" s="2">
        <v>663.0</v>
      </c>
      <c r="C5241" s="2" t="s">
        <v>109</v>
      </c>
    </row>
    <row r="5242">
      <c r="A5242" s="1">
        <v>43555.43906763889</v>
      </c>
      <c r="B5242" s="2">
        <v>175.0</v>
      </c>
      <c r="C5242" s="2" t="s">
        <v>69</v>
      </c>
    </row>
    <row r="5243">
      <c r="A5243" s="1">
        <v>43555.43960366899</v>
      </c>
      <c r="B5243" s="2">
        <v>208.0</v>
      </c>
      <c r="C5243" s="2" t="s">
        <v>182</v>
      </c>
    </row>
    <row r="5244">
      <c r="A5244" s="1">
        <v>43555.43997407408</v>
      </c>
      <c r="B5244" s="2">
        <v>624.0</v>
      </c>
      <c r="C5244" s="2" t="s">
        <v>90</v>
      </c>
    </row>
    <row r="5245">
      <c r="A5245" s="1">
        <v>43555.440105648144</v>
      </c>
      <c r="B5245" s="2">
        <v>724.0</v>
      </c>
      <c r="C5245" s="2" t="s">
        <v>91</v>
      </c>
      <c r="D5245" s="2" t="s">
        <v>5</v>
      </c>
    </row>
    <row r="5246">
      <c r="A5246" s="1">
        <v>43555.44017149306</v>
      </c>
      <c r="B5246" s="2">
        <v>725.0</v>
      </c>
      <c r="C5246" s="2" t="s">
        <v>92</v>
      </c>
      <c r="D5246" s="2" t="s">
        <v>5</v>
      </c>
    </row>
    <row r="5247">
      <c r="A5247" s="1">
        <v>43555.44038136574</v>
      </c>
      <c r="B5247" s="2">
        <v>124.0</v>
      </c>
      <c r="C5247" s="2" t="s">
        <v>107</v>
      </c>
    </row>
    <row r="5248">
      <c r="A5248" s="1">
        <v>43555.44146190972</v>
      </c>
      <c r="B5248" s="2">
        <v>229.0</v>
      </c>
      <c r="C5248" s="2" t="s">
        <v>86</v>
      </c>
    </row>
    <row r="5249">
      <c r="A5249" s="1">
        <v>43555.4415622338</v>
      </c>
      <c r="B5249" s="2">
        <v>229.0</v>
      </c>
      <c r="C5249" s="2" t="s">
        <v>86</v>
      </c>
    </row>
    <row r="5250">
      <c r="A5250" s="1">
        <v>43555.44218863426</v>
      </c>
      <c r="B5250" s="2">
        <v>653.0</v>
      </c>
      <c r="C5250" s="2" t="s">
        <v>77</v>
      </c>
    </row>
    <row r="5251">
      <c r="A5251" s="1">
        <v>43555.442223136575</v>
      </c>
      <c r="B5251" s="3" t="s">
        <v>74</v>
      </c>
      <c r="C5251" s="2" t="s">
        <v>75</v>
      </c>
    </row>
    <row r="5252">
      <c r="A5252" s="1">
        <v>43555.44317295139</v>
      </c>
      <c r="B5252" s="2">
        <v>655.0</v>
      </c>
      <c r="C5252" s="2" t="s">
        <v>17</v>
      </c>
    </row>
    <row r="5253">
      <c r="A5253" s="1">
        <v>43555.44329097222</v>
      </c>
      <c r="B5253" s="2">
        <v>614.0</v>
      </c>
      <c r="C5253" s="2" t="s">
        <v>76</v>
      </c>
    </row>
    <row r="5254">
      <c r="A5254" s="1">
        <v>43555.443625995365</v>
      </c>
      <c r="B5254" s="3" t="s">
        <v>103</v>
      </c>
      <c r="C5254" s="2" t="s">
        <v>104</v>
      </c>
    </row>
    <row r="5255">
      <c r="A5255" s="1">
        <v>43555.444484618056</v>
      </c>
      <c r="B5255" s="2">
        <v>198.0</v>
      </c>
      <c r="C5255" s="2" t="s">
        <v>97</v>
      </c>
    </row>
    <row r="5256">
      <c r="A5256" s="1">
        <v>43555.44459092592</v>
      </c>
      <c r="B5256" s="2">
        <v>702.0</v>
      </c>
      <c r="C5256" s="2" t="s">
        <v>96</v>
      </c>
      <c r="D5256" s="2" t="s">
        <v>5</v>
      </c>
    </row>
    <row r="5257">
      <c r="A5257" s="1">
        <v>43555.44471923611</v>
      </c>
      <c r="B5257" s="3" t="s">
        <v>94</v>
      </c>
      <c r="C5257" s="2" t="s">
        <v>95</v>
      </c>
    </row>
    <row r="5258">
      <c r="A5258" s="1">
        <v>43555.44699023148</v>
      </c>
      <c r="B5258" s="2">
        <v>126.0</v>
      </c>
      <c r="C5258" s="2" t="s">
        <v>87</v>
      </c>
    </row>
    <row r="5259">
      <c r="A5259" s="1">
        <v>43555.4475915625</v>
      </c>
      <c r="B5259" s="2">
        <v>649.0</v>
      </c>
      <c r="C5259" s="2" t="s">
        <v>177</v>
      </c>
    </row>
    <row r="5260">
      <c r="A5260" s="1">
        <v>43555.44764724537</v>
      </c>
      <c r="B5260" s="2">
        <v>702.0</v>
      </c>
      <c r="C5260" s="2" t="s">
        <v>96</v>
      </c>
      <c r="D5260" s="2" t="s">
        <v>5</v>
      </c>
    </row>
    <row r="5261">
      <c r="A5261" s="1">
        <v>43555.4477555787</v>
      </c>
      <c r="B5261" s="2">
        <v>676.0</v>
      </c>
      <c r="C5261" s="2" t="s">
        <v>223</v>
      </c>
    </row>
    <row r="5262">
      <c r="A5262" s="1">
        <v>43555.45207550926</v>
      </c>
      <c r="B5262" s="3" t="s">
        <v>111</v>
      </c>
      <c r="C5262" s="2" t="s">
        <v>112</v>
      </c>
    </row>
    <row r="5263">
      <c r="A5263" s="1">
        <v>43556.35361052083</v>
      </c>
      <c r="B5263" s="3" t="s">
        <v>9</v>
      </c>
      <c r="C5263" s="2" t="s">
        <v>10</v>
      </c>
    </row>
    <row r="5264">
      <c r="A5264" s="1">
        <v>43556.353699687505</v>
      </c>
      <c r="B5264" s="3" t="s">
        <v>117</v>
      </c>
      <c r="C5264" s="2" t="s">
        <v>118</v>
      </c>
    </row>
    <row r="5265">
      <c r="A5265" s="1">
        <v>43556.353794166665</v>
      </c>
      <c r="B5265" s="3" t="s">
        <v>119</v>
      </c>
      <c r="C5265" s="2" t="s">
        <v>120</v>
      </c>
    </row>
    <row r="5266">
      <c r="A5266" s="1">
        <v>43556.35387290509</v>
      </c>
      <c r="B5266" s="3" t="s">
        <v>11</v>
      </c>
      <c r="C5266" s="2" t="s">
        <v>12</v>
      </c>
    </row>
    <row r="5267">
      <c r="A5267" s="1">
        <v>43556.35584795139</v>
      </c>
      <c r="B5267" s="2">
        <v>160.0</v>
      </c>
      <c r="C5267" s="2" t="s">
        <v>154</v>
      </c>
    </row>
    <row r="5268">
      <c r="A5268" s="1">
        <v>43556.36857982639</v>
      </c>
      <c r="B5268" s="2">
        <v>219.0</v>
      </c>
      <c r="C5268" s="2" t="s">
        <v>31</v>
      </c>
    </row>
    <row r="5269">
      <c r="A5269" s="1">
        <v>43556.45148512731</v>
      </c>
      <c r="B5269" s="2">
        <v>173.0</v>
      </c>
      <c r="C5269" s="2" t="s">
        <v>24</v>
      </c>
    </row>
    <row r="5270">
      <c r="A5270" s="1">
        <v>43556.45215806713</v>
      </c>
      <c r="B5270" s="2">
        <v>254.0</v>
      </c>
      <c r="C5270" s="2" t="s">
        <v>132</v>
      </c>
    </row>
    <row r="5271">
      <c r="A5271" s="1">
        <v>43556.452428425924</v>
      </c>
      <c r="B5271" s="2">
        <v>268.0</v>
      </c>
      <c r="C5271" s="2" t="s">
        <v>205</v>
      </c>
    </row>
    <row r="5272">
      <c r="A5272" s="1">
        <v>43556.45272126158</v>
      </c>
      <c r="B5272" s="2">
        <v>535.0</v>
      </c>
      <c r="C5272" s="2" t="s">
        <v>208</v>
      </c>
    </row>
    <row r="5273">
      <c r="A5273" s="1">
        <v>43556.453070034724</v>
      </c>
      <c r="B5273" s="2">
        <v>614.0</v>
      </c>
      <c r="C5273" s="2" t="s">
        <v>76</v>
      </c>
    </row>
    <row r="5274">
      <c r="A5274" s="1">
        <v>43556.45380163194</v>
      </c>
      <c r="B5274" s="2">
        <v>650.0</v>
      </c>
      <c r="C5274" s="2" t="s">
        <v>213</v>
      </c>
    </row>
    <row r="5275">
      <c r="A5275" s="1">
        <v>43556.454343171295</v>
      </c>
      <c r="B5275" s="2">
        <v>701.0</v>
      </c>
      <c r="C5275" s="2" t="s">
        <v>93</v>
      </c>
      <c r="D5275" s="2" t="s">
        <v>5</v>
      </c>
    </row>
    <row r="5276">
      <c r="A5276" s="1">
        <v>43556.45451405093</v>
      </c>
      <c r="B5276" s="2">
        <v>708.0</v>
      </c>
      <c r="C5276" s="2" t="s">
        <v>4</v>
      </c>
      <c r="D5276" s="2" t="s">
        <v>5</v>
      </c>
    </row>
    <row r="5277">
      <c r="A5277" s="1">
        <v>43556.454569594905</v>
      </c>
      <c r="B5277" s="2">
        <v>709.0</v>
      </c>
      <c r="C5277" s="2" t="s">
        <v>20</v>
      </c>
      <c r="D5277" s="2" t="s">
        <v>5</v>
      </c>
    </row>
    <row r="5278">
      <c r="A5278" s="1">
        <v>43556.454635752314</v>
      </c>
      <c r="B5278" s="2">
        <v>710.0</v>
      </c>
      <c r="C5278" s="2" t="s">
        <v>21</v>
      </c>
      <c r="D5278" s="2" t="s">
        <v>5</v>
      </c>
    </row>
    <row r="5279">
      <c r="A5279" s="1">
        <v>43556.45478774306</v>
      </c>
      <c r="B5279" s="2">
        <v>713.0</v>
      </c>
      <c r="C5279" s="2" t="s">
        <v>121</v>
      </c>
      <c r="D5279" s="2" t="s">
        <v>5</v>
      </c>
    </row>
    <row r="5280">
      <c r="A5280" s="1">
        <v>43556.45485587963</v>
      </c>
      <c r="B5280" s="2">
        <v>714.0</v>
      </c>
      <c r="C5280" s="2" t="s">
        <v>122</v>
      </c>
      <c r="D5280" s="2" t="s">
        <v>5</v>
      </c>
    </row>
    <row r="5281">
      <c r="A5281" s="1">
        <v>43556.455346828705</v>
      </c>
      <c r="B5281" s="2">
        <v>740.0</v>
      </c>
      <c r="C5281" s="2" t="s">
        <v>221</v>
      </c>
      <c r="D5281" s="2" t="s">
        <v>5</v>
      </c>
    </row>
    <row r="5282">
      <c r="A5282" s="1">
        <v>43556.493151504634</v>
      </c>
      <c r="B5282" s="2">
        <v>238.0</v>
      </c>
      <c r="C5282" s="2" t="s">
        <v>35</v>
      </c>
    </row>
    <row r="5283">
      <c r="A5283" s="1">
        <v>43556.49345649306</v>
      </c>
      <c r="B5283" s="2">
        <v>238.0</v>
      </c>
      <c r="C5283" s="2" t="s">
        <v>35</v>
      </c>
    </row>
    <row r="5284">
      <c r="A5284" s="1">
        <v>43556.494889594906</v>
      </c>
      <c r="B5284" s="2">
        <v>733.0</v>
      </c>
      <c r="C5284" s="2" t="s">
        <v>110</v>
      </c>
      <c r="D5284" s="2" t="s">
        <v>5</v>
      </c>
    </row>
    <row r="5285">
      <c r="A5285" s="1">
        <v>43556.53943034723</v>
      </c>
      <c r="B5285" s="2">
        <v>219.0</v>
      </c>
      <c r="C5285" s="2" t="s">
        <v>31</v>
      </c>
    </row>
    <row r="5286">
      <c r="A5286" s="1">
        <v>43557.43502116898</v>
      </c>
      <c r="B5286" s="2">
        <v>246.0</v>
      </c>
      <c r="C5286" s="2" t="s">
        <v>26</v>
      </c>
    </row>
    <row r="5287">
      <c r="A5287" s="1">
        <v>43558.235160509255</v>
      </c>
      <c r="B5287" s="2">
        <v>219.0</v>
      </c>
      <c r="C5287" s="2" t="s">
        <v>31</v>
      </c>
    </row>
    <row r="5288">
      <c r="A5288" s="1">
        <v>43559.60234490741</v>
      </c>
      <c r="B5288" s="2">
        <v>219.0</v>
      </c>
      <c r="C5288" s="2" t="s">
        <v>31</v>
      </c>
    </row>
    <row r="5289">
      <c r="A5289" s="1">
        <v>43561.97121657408</v>
      </c>
      <c r="B5289" s="2">
        <v>219.0</v>
      </c>
      <c r="C5289" s="2" t="s">
        <v>31</v>
      </c>
    </row>
    <row r="5290">
      <c r="A5290" s="1">
        <v>43562.405068865744</v>
      </c>
      <c r="B5290" s="2">
        <v>165.0</v>
      </c>
      <c r="C5290" s="2" t="s">
        <v>50</v>
      </c>
    </row>
    <row r="5291">
      <c r="A5291" s="1">
        <v>43562.42138871527</v>
      </c>
      <c r="B5291" s="2">
        <v>126.0</v>
      </c>
      <c r="C5291" s="2" t="s">
        <v>87</v>
      </c>
    </row>
    <row r="5292">
      <c r="A5292" s="1">
        <v>43562.42139159722</v>
      </c>
      <c r="B5292" s="3" t="s">
        <v>184</v>
      </c>
      <c r="C5292" s="2" t="s">
        <v>185</v>
      </c>
    </row>
    <row r="5293">
      <c r="A5293" s="1">
        <v>43562.42166353009</v>
      </c>
      <c r="B5293" s="3" t="s">
        <v>184</v>
      </c>
      <c r="C5293" s="2" t="s">
        <v>185</v>
      </c>
    </row>
    <row r="5294">
      <c r="A5294" s="1">
        <v>43562.421908425924</v>
      </c>
      <c r="B5294" s="3" t="s">
        <v>184</v>
      </c>
      <c r="C5294" s="2" t="s">
        <v>185</v>
      </c>
    </row>
    <row r="5295">
      <c r="A5295" s="1">
        <v>43562.42198428241</v>
      </c>
      <c r="B5295" s="2">
        <v>126.0</v>
      </c>
      <c r="C5295" s="2" t="s">
        <v>87</v>
      </c>
    </row>
    <row r="5296">
      <c r="A5296" s="1">
        <v>43562.4220246412</v>
      </c>
      <c r="B5296" s="2">
        <v>126.0</v>
      </c>
      <c r="C5296" s="2" t="s">
        <v>87</v>
      </c>
    </row>
    <row r="5297">
      <c r="A5297" s="1">
        <v>43562.422261898144</v>
      </c>
      <c r="B5297" s="3" t="s">
        <v>186</v>
      </c>
      <c r="C5297" s="2" t="s">
        <v>187</v>
      </c>
    </row>
    <row r="5298">
      <c r="A5298" s="1">
        <v>43562.42248824074</v>
      </c>
      <c r="B5298" s="2">
        <v>614.0</v>
      </c>
      <c r="C5298" s="2" t="s">
        <v>76</v>
      </c>
    </row>
    <row r="5299">
      <c r="A5299" s="1">
        <v>43562.42253848379</v>
      </c>
      <c r="B5299" s="2">
        <v>707.0</v>
      </c>
      <c r="C5299" s="2" t="s">
        <v>57</v>
      </c>
      <c r="D5299" s="2" t="s">
        <v>5</v>
      </c>
    </row>
    <row r="5300">
      <c r="A5300" s="1">
        <v>43562.42270887732</v>
      </c>
      <c r="B5300" s="2">
        <v>141.0</v>
      </c>
      <c r="C5300" s="2" t="s">
        <v>53</v>
      </c>
    </row>
    <row r="5301">
      <c r="A5301" s="1">
        <v>43562.42271881945</v>
      </c>
      <c r="B5301" s="2">
        <v>244.0</v>
      </c>
      <c r="C5301" s="2" t="s">
        <v>38</v>
      </c>
    </row>
    <row r="5302">
      <c r="A5302" s="1">
        <v>43562.422973946756</v>
      </c>
      <c r="B5302" s="2">
        <v>175.0</v>
      </c>
      <c r="C5302" s="2" t="s">
        <v>69</v>
      </c>
    </row>
    <row r="5303">
      <c r="A5303" s="1">
        <v>43562.423068125005</v>
      </c>
      <c r="B5303" s="3" t="s">
        <v>55</v>
      </c>
      <c r="C5303" s="2" t="s">
        <v>56</v>
      </c>
    </row>
    <row r="5304">
      <c r="A5304" s="1">
        <v>43562.42324082176</v>
      </c>
      <c r="B5304" s="2">
        <v>729.0</v>
      </c>
      <c r="C5304" s="2" t="s">
        <v>54</v>
      </c>
      <c r="D5304" s="2" t="s">
        <v>5</v>
      </c>
    </row>
    <row r="5305">
      <c r="A5305" s="1">
        <v>43562.42328002315</v>
      </c>
      <c r="B5305" s="3" t="s">
        <v>126</v>
      </c>
      <c r="C5305" s="2" t="s">
        <v>127</v>
      </c>
    </row>
    <row r="5306">
      <c r="A5306" s="1">
        <v>43562.423487569446</v>
      </c>
      <c r="B5306" s="2">
        <v>643.0</v>
      </c>
      <c r="C5306" s="2" t="s">
        <v>166</v>
      </c>
    </row>
    <row r="5307">
      <c r="A5307" s="1">
        <v>43562.42396673611</v>
      </c>
      <c r="B5307" s="2">
        <v>716.0</v>
      </c>
      <c r="C5307" s="2" t="s">
        <v>123</v>
      </c>
      <c r="D5307" s="2" t="s">
        <v>5</v>
      </c>
    </row>
    <row r="5308">
      <c r="A5308" s="1">
        <v>43562.42421006944</v>
      </c>
      <c r="B5308" s="2">
        <v>167.0</v>
      </c>
      <c r="C5308" s="2" t="s">
        <v>39</v>
      </c>
    </row>
    <row r="5309">
      <c r="A5309" s="1">
        <v>43562.42427440972</v>
      </c>
      <c r="B5309" s="3" t="s">
        <v>11</v>
      </c>
      <c r="C5309" s="2" t="s">
        <v>12</v>
      </c>
    </row>
    <row r="5310">
      <c r="A5310" s="1">
        <v>43562.424684722224</v>
      </c>
      <c r="B5310" s="3" t="s">
        <v>159</v>
      </c>
      <c r="C5310" s="2" t="s">
        <v>160</v>
      </c>
    </row>
    <row r="5311">
      <c r="A5311" s="1">
        <v>43562.42488694444</v>
      </c>
      <c r="B5311" s="2">
        <v>238.0</v>
      </c>
      <c r="C5311" s="2" t="s">
        <v>35</v>
      </c>
    </row>
    <row r="5312">
      <c r="A5312" s="1">
        <v>43562.42580483796</v>
      </c>
      <c r="B5312" s="2">
        <v>207.0</v>
      </c>
      <c r="C5312" s="2" t="s">
        <v>85</v>
      </c>
    </row>
    <row r="5313">
      <c r="A5313" s="1">
        <v>43562.426818657405</v>
      </c>
      <c r="B5313" s="2">
        <v>201.0</v>
      </c>
      <c r="C5313" s="2" t="s">
        <v>70</v>
      </c>
    </row>
    <row r="5314">
      <c r="A5314" s="1">
        <v>43562.42773693287</v>
      </c>
      <c r="B5314" s="2">
        <v>613.0</v>
      </c>
      <c r="C5314" s="2" t="s">
        <v>124</v>
      </c>
    </row>
    <row r="5315">
      <c r="A5315" s="1">
        <v>43562.428043657404</v>
      </c>
      <c r="B5315" s="2">
        <v>231.0</v>
      </c>
      <c r="C5315" s="2" t="s">
        <v>61</v>
      </c>
    </row>
    <row r="5316">
      <c r="A5316" s="1">
        <v>43562.428288738425</v>
      </c>
      <c r="B5316" s="3" t="s">
        <v>32</v>
      </c>
      <c r="C5316" s="2" t="s">
        <v>33</v>
      </c>
    </row>
    <row r="5317">
      <c r="A5317" s="1">
        <v>43562.42843356481</v>
      </c>
      <c r="B5317" s="3" t="s">
        <v>82</v>
      </c>
      <c r="C5317" s="2" t="s">
        <v>83</v>
      </c>
    </row>
    <row r="5318">
      <c r="A5318" s="1">
        <v>43562.42877179398</v>
      </c>
      <c r="B5318" s="2">
        <v>158.0</v>
      </c>
      <c r="C5318" s="2" t="s">
        <v>62</v>
      </c>
    </row>
    <row r="5319">
      <c r="A5319" s="1">
        <v>43562.428967025466</v>
      </c>
      <c r="B5319" s="3" t="s">
        <v>22</v>
      </c>
      <c r="C5319" s="2" t="s">
        <v>23</v>
      </c>
    </row>
    <row r="5320">
      <c r="A5320" s="1">
        <v>43562.42947666667</v>
      </c>
      <c r="B5320" s="2">
        <v>113.0</v>
      </c>
      <c r="C5320" s="2" t="s">
        <v>29</v>
      </c>
    </row>
    <row r="5321">
      <c r="A5321" s="1">
        <v>43562.42968851852</v>
      </c>
      <c r="B5321" s="2">
        <v>219.0</v>
      </c>
      <c r="C5321" s="2" t="s">
        <v>31</v>
      </c>
    </row>
    <row r="5322">
      <c r="A5322" s="1">
        <v>43562.429855787035</v>
      </c>
      <c r="B5322" s="2">
        <v>173.0</v>
      </c>
      <c r="C5322" s="2" t="s">
        <v>24</v>
      </c>
    </row>
    <row r="5323">
      <c r="A5323" s="1">
        <v>43562.43002101852</v>
      </c>
      <c r="B5323" s="2">
        <v>214.0</v>
      </c>
      <c r="C5323" s="2" t="s">
        <v>47</v>
      </c>
    </row>
    <row r="5324">
      <c r="A5324" s="1">
        <v>43562.430184490746</v>
      </c>
      <c r="B5324" s="2">
        <v>215.0</v>
      </c>
      <c r="C5324" s="2" t="s">
        <v>137</v>
      </c>
    </row>
    <row r="5325">
      <c r="A5325" s="1">
        <v>43562.430315798614</v>
      </c>
      <c r="B5325" s="2">
        <v>193.0</v>
      </c>
      <c r="C5325" s="2" t="s">
        <v>30</v>
      </c>
    </row>
    <row r="5326">
      <c r="A5326" s="1">
        <v>43562.43218427083</v>
      </c>
      <c r="B5326" s="2">
        <v>254.0</v>
      </c>
      <c r="C5326" s="2" t="s">
        <v>132</v>
      </c>
    </row>
    <row r="5327">
      <c r="A5327" s="1">
        <v>43562.432561747686</v>
      </c>
      <c r="B5327" s="2">
        <v>253.0</v>
      </c>
      <c r="C5327" s="2" t="s">
        <v>138</v>
      </c>
    </row>
    <row r="5328">
      <c r="A5328" s="1">
        <v>43562.43263729167</v>
      </c>
      <c r="B5328" s="2">
        <v>253.0</v>
      </c>
      <c r="C5328" s="2" t="s">
        <v>138</v>
      </c>
    </row>
    <row r="5329">
      <c r="A5329" s="1">
        <v>43562.432759143514</v>
      </c>
      <c r="B5329" s="3" t="s">
        <v>119</v>
      </c>
      <c r="C5329" s="2" t="s">
        <v>120</v>
      </c>
    </row>
    <row r="5330">
      <c r="A5330" s="1">
        <v>43562.43290664352</v>
      </c>
      <c r="B5330" s="2">
        <v>257.0</v>
      </c>
      <c r="C5330" s="2" t="s">
        <v>27</v>
      </c>
    </row>
    <row r="5331">
      <c r="A5331" s="1">
        <v>43562.4333912963</v>
      </c>
      <c r="B5331" s="3" t="s">
        <v>51</v>
      </c>
      <c r="C5331" s="2" t="s">
        <v>52</v>
      </c>
    </row>
    <row r="5332">
      <c r="A5332" s="1">
        <v>43562.4335078588</v>
      </c>
      <c r="B5332" s="2">
        <v>616.0</v>
      </c>
      <c r="C5332" s="2" t="s">
        <v>71</v>
      </c>
    </row>
    <row r="5333">
      <c r="A5333" s="1">
        <v>43562.43372189815</v>
      </c>
      <c r="B5333" s="2">
        <v>137.0</v>
      </c>
      <c r="C5333" s="2" t="s">
        <v>72</v>
      </c>
    </row>
    <row r="5334">
      <c r="A5334" s="1">
        <v>43562.43461835648</v>
      </c>
      <c r="B5334" s="2">
        <v>160.0</v>
      </c>
      <c r="C5334" s="2" t="s">
        <v>154</v>
      </c>
    </row>
    <row r="5335">
      <c r="A5335" s="1">
        <v>43562.43557487268</v>
      </c>
      <c r="B5335" s="2">
        <v>52.0</v>
      </c>
      <c r="C5335" s="2" t="s">
        <v>41</v>
      </c>
    </row>
    <row r="5336">
      <c r="A5336" s="1">
        <v>43562.43575942129</v>
      </c>
      <c r="B5336" s="2">
        <v>602.0</v>
      </c>
      <c r="C5336" s="2" t="s">
        <v>131</v>
      </c>
    </row>
    <row r="5337">
      <c r="A5337" s="1">
        <v>43562.43627140047</v>
      </c>
      <c r="B5337" s="2">
        <v>624.0</v>
      </c>
      <c r="C5337" s="2" t="s">
        <v>90</v>
      </c>
    </row>
    <row r="5338">
      <c r="A5338" s="1">
        <v>43562.43649960648</v>
      </c>
      <c r="B5338" s="3" t="s">
        <v>82</v>
      </c>
      <c r="C5338" s="2" t="s">
        <v>83</v>
      </c>
    </row>
    <row r="5339">
      <c r="A5339" s="1">
        <v>43562.43664165509</v>
      </c>
      <c r="B5339" s="3" t="s">
        <v>78</v>
      </c>
      <c r="C5339" s="2" t="s">
        <v>79</v>
      </c>
    </row>
    <row r="5340">
      <c r="A5340" s="1">
        <v>43562.436875810185</v>
      </c>
      <c r="B5340" s="2">
        <v>723.0</v>
      </c>
      <c r="C5340" s="2" t="s">
        <v>84</v>
      </c>
      <c r="D5340" s="2" t="s">
        <v>5</v>
      </c>
    </row>
    <row r="5341">
      <c r="A5341" s="1">
        <v>43562.43706153936</v>
      </c>
      <c r="B5341" s="2">
        <v>667.0</v>
      </c>
      <c r="C5341" s="2" t="s">
        <v>73</v>
      </c>
    </row>
    <row r="5342">
      <c r="A5342" s="1">
        <v>43562.43709702547</v>
      </c>
      <c r="B5342" s="2">
        <v>198.0</v>
      </c>
      <c r="C5342" s="2" t="s">
        <v>97</v>
      </c>
    </row>
    <row r="5343">
      <c r="A5343" s="1">
        <v>43562.43715452546</v>
      </c>
      <c r="B5343" s="2">
        <v>706.0</v>
      </c>
      <c r="C5343" s="2" t="s">
        <v>149</v>
      </c>
      <c r="D5343" s="2" t="s">
        <v>5</v>
      </c>
    </row>
    <row r="5344">
      <c r="A5344" s="1">
        <v>43562.43725625</v>
      </c>
      <c r="B5344" s="3" t="s">
        <v>150</v>
      </c>
      <c r="C5344" s="2" t="s">
        <v>151</v>
      </c>
    </row>
    <row r="5345">
      <c r="A5345" s="1">
        <v>43562.43729083333</v>
      </c>
      <c r="B5345" s="2">
        <v>702.0</v>
      </c>
      <c r="C5345" s="2" t="s">
        <v>96</v>
      </c>
      <c r="D5345" s="2" t="s">
        <v>5</v>
      </c>
    </row>
    <row r="5346">
      <c r="A5346" s="1">
        <v>43562.437510648146</v>
      </c>
      <c r="B5346" s="3" t="s">
        <v>94</v>
      </c>
      <c r="C5346" s="2" t="s">
        <v>95</v>
      </c>
    </row>
    <row r="5347">
      <c r="A5347" s="1">
        <v>43562.437685150464</v>
      </c>
      <c r="B5347" s="2">
        <v>701.0</v>
      </c>
      <c r="C5347" s="2" t="s">
        <v>93</v>
      </c>
      <c r="D5347" s="2" t="s">
        <v>5</v>
      </c>
    </row>
    <row r="5348">
      <c r="A5348" s="1">
        <v>43562.437990879625</v>
      </c>
      <c r="B5348" s="3" t="s">
        <v>42</v>
      </c>
      <c r="C5348" s="2" t="s">
        <v>43</v>
      </c>
    </row>
    <row r="5349">
      <c r="A5349" s="1">
        <v>43562.43828667824</v>
      </c>
      <c r="B5349" s="2">
        <v>611.0</v>
      </c>
      <c r="C5349" s="2" t="s">
        <v>143</v>
      </c>
    </row>
    <row r="5350">
      <c r="A5350" s="1">
        <v>43562.43852333333</v>
      </c>
      <c r="B5350" s="3" t="s">
        <v>98</v>
      </c>
      <c r="C5350" s="2" t="s">
        <v>99</v>
      </c>
    </row>
    <row r="5351">
      <c r="A5351" s="1">
        <v>43562.43871711806</v>
      </c>
      <c r="B5351" s="2">
        <v>147.0</v>
      </c>
      <c r="C5351" s="2" t="s">
        <v>100</v>
      </c>
    </row>
    <row r="5352">
      <c r="A5352" s="1">
        <v>43562.438984293985</v>
      </c>
      <c r="B5352" s="2">
        <v>726.0</v>
      </c>
      <c r="C5352" s="2" t="s">
        <v>101</v>
      </c>
      <c r="D5352" s="2" t="s">
        <v>5</v>
      </c>
    </row>
    <row r="5353">
      <c r="A5353" s="1">
        <v>43562.43914362269</v>
      </c>
      <c r="B5353" s="2">
        <v>732.0</v>
      </c>
      <c r="C5353" s="2" t="s">
        <v>102</v>
      </c>
      <c r="D5353" s="2" t="s">
        <v>5</v>
      </c>
    </row>
    <row r="5354">
      <c r="A5354" s="1">
        <v>43562.439285555556</v>
      </c>
      <c r="B5354" s="2">
        <v>208.0</v>
      </c>
      <c r="C5354" s="2" t="s">
        <v>182</v>
      </c>
    </row>
    <row r="5355">
      <c r="A5355" s="1">
        <v>43562.439434687505</v>
      </c>
      <c r="B5355" s="2">
        <v>736.0</v>
      </c>
      <c r="C5355" s="2" t="s">
        <v>175</v>
      </c>
      <c r="D5355" s="2" t="s">
        <v>5</v>
      </c>
    </row>
    <row r="5356">
      <c r="A5356" s="1">
        <v>43562.43953054398</v>
      </c>
      <c r="B5356" s="2">
        <v>259.0</v>
      </c>
      <c r="C5356" s="2" t="s">
        <v>66</v>
      </c>
    </row>
    <row r="5357">
      <c r="A5357" s="1">
        <v>43562.43954414352</v>
      </c>
      <c r="B5357" s="2">
        <v>737.0</v>
      </c>
      <c r="C5357" s="2" t="s">
        <v>176</v>
      </c>
      <c r="D5357" s="2" t="s">
        <v>5</v>
      </c>
    </row>
    <row r="5358">
      <c r="A5358" s="1">
        <v>43562.43989945602</v>
      </c>
      <c r="B5358" s="2">
        <v>734.0</v>
      </c>
      <c r="C5358" s="2" t="s">
        <v>63</v>
      </c>
      <c r="D5358" s="2" t="s">
        <v>5</v>
      </c>
    </row>
    <row r="5359">
      <c r="A5359" s="1">
        <v>43562.44007886574</v>
      </c>
      <c r="B5359" s="2">
        <v>267.0</v>
      </c>
      <c r="C5359" s="2" t="s">
        <v>115</v>
      </c>
    </row>
    <row r="5360">
      <c r="A5360" s="1">
        <v>43562.440092777775</v>
      </c>
      <c r="B5360" s="2">
        <v>232.0</v>
      </c>
      <c r="C5360" s="2" t="s">
        <v>216</v>
      </c>
    </row>
    <row r="5361">
      <c r="A5361" s="1">
        <v>43562.44024159722</v>
      </c>
      <c r="B5361" s="2">
        <v>229.0</v>
      </c>
      <c r="C5361" s="2" t="s">
        <v>86</v>
      </c>
    </row>
    <row r="5362">
      <c r="A5362" s="1">
        <v>43562.440725277775</v>
      </c>
      <c r="B5362" s="2">
        <v>648.0</v>
      </c>
      <c r="C5362" s="2" t="s">
        <v>207</v>
      </c>
    </row>
    <row r="5363">
      <c r="A5363" s="1">
        <v>43562.44084962963</v>
      </c>
      <c r="B5363" s="3" t="s">
        <v>13</v>
      </c>
      <c r="C5363" s="2" t="s">
        <v>14</v>
      </c>
    </row>
    <row r="5364">
      <c r="A5364" s="1">
        <v>43562.440963472225</v>
      </c>
      <c r="B5364" s="3" t="s">
        <v>74</v>
      </c>
      <c r="C5364" s="2" t="s">
        <v>75</v>
      </c>
    </row>
    <row r="5365">
      <c r="A5365" s="1">
        <v>43562.44106469907</v>
      </c>
      <c r="B5365" s="2">
        <v>262.0</v>
      </c>
      <c r="C5365" s="2" t="s">
        <v>28</v>
      </c>
    </row>
    <row r="5366">
      <c r="A5366" s="1">
        <v>43562.44122912037</v>
      </c>
      <c r="B5366" s="2">
        <v>653.0</v>
      </c>
      <c r="C5366" s="2" t="s">
        <v>77</v>
      </c>
    </row>
    <row r="5367">
      <c r="A5367" s="1">
        <v>43562.44149434028</v>
      </c>
      <c r="B5367" s="2">
        <v>702.0</v>
      </c>
      <c r="C5367" s="2" t="s">
        <v>96</v>
      </c>
      <c r="D5367" s="2" t="s">
        <v>5</v>
      </c>
    </row>
    <row r="5368">
      <c r="A5368" s="1">
        <v>43562.442463784726</v>
      </c>
      <c r="B5368" s="2">
        <v>647.0</v>
      </c>
      <c r="C5368" s="2" t="s">
        <v>217</v>
      </c>
    </row>
    <row r="5369">
      <c r="A5369" s="1">
        <v>43562.442714675926</v>
      </c>
      <c r="B5369" s="3" t="s">
        <v>88</v>
      </c>
      <c r="C5369" s="2" t="s">
        <v>89</v>
      </c>
    </row>
    <row r="5370">
      <c r="A5370" s="1">
        <v>43562.44290903935</v>
      </c>
      <c r="B5370" s="3" t="s">
        <v>117</v>
      </c>
      <c r="C5370" s="2" t="s">
        <v>118</v>
      </c>
    </row>
    <row r="5371">
      <c r="A5371" s="1">
        <v>43562.443156319445</v>
      </c>
      <c r="B5371" s="2">
        <v>641.0</v>
      </c>
      <c r="C5371" s="2" t="s">
        <v>210</v>
      </c>
    </row>
    <row r="5372">
      <c r="A5372" s="1">
        <v>43562.443830578704</v>
      </c>
      <c r="B5372" s="2">
        <v>604.0</v>
      </c>
      <c r="C5372" s="2" t="s">
        <v>36</v>
      </c>
    </row>
    <row r="5373">
      <c r="A5373" s="1">
        <v>43562.444109606484</v>
      </c>
      <c r="B5373" s="2">
        <v>244.0</v>
      </c>
      <c r="C5373" s="2" t="s">
        <v>38</v>
      </c>
    </row>
    <row r="5374">
      <c r="A5374" s="1">
        <v>43562.44492328704</v>
      </c>
      <c r="B5374" s="2">
        <v>124.0</v>
      </c>
      <c r="C5374" s="2" t="s">
        <v>107</v>
      </c>
    </row>
    <row r="5375">
      <c r="A5375" s="1">
        <v>43562.44521203704</v>
      </c>
      <c r="B5375" s="2">
        <v>641.0</v>
      </c>
      <c r="C5375" s="2" t="s">
        <v>210</v>
      </c>
    </row>
    <row r="5376">
      <c r="A5376" s="1">
        <v>43562.445458946764</v>
      </c>
      <c r="B5376" s="3" t="s">
        <v>113</v>
      </c>
      <c r="C5376" s="2" t="s">
        <v>114</v>
      </c>
    </row>
    <row r="5377">
      <c r="A5377" s="1">
        <v>43562.44562721065</v>
      </c>
      <c r="B5377" s="2">
        <v>719.0</v>
      </c>
      <c r="C5377" s="2" t="s">
        <v>106</v>
      </c>
      <c r="D5377" s="2" t="s">
        <v>5</v>
      </c>
    </row>
    <row r="5378">
      <c r="A5378" s="1">
        <v>43562.44581039352</v>
      </c>
      <c r="B5378" s="2">
        <v>718.0</v>
      </c>
      <c r="C5378" s="2" t="s">
        <v>105</v>
      </c>
      <c r="D5378" s="2" t="s">
        <v>5</v>
      </c>
    </row>
    <row r="5379">
      <c r="A5379" s="1">
        <v>43562.44597048611</v>
      </c>
      <c r="B5379" s="2">
        <v>101.0</v>
      </c>
      <c r="C5379" s="2" t="s">
        <v>108</v>
      </c>
    </row>
    <row r="5380">
      <c r="A5380" s="1">
        <v>43562.4461303125</v>
      </c>
      <c r="B5380" s="2">
        <v>260.0</v>
      </c>
      <c r="C5380" s="2" t="s">
        <v>67</v>
      </c>
    </row>
    <row r="5381">
      <c r="A5381" s="1">
        <v>43562.44652997685</v>
      </c>
      <c r="B5381" s="2">
        <v>625.0</v>
      </c>
      <c r="C5381" s="2" t="s">
        <v>136</v>
      </c>
    </row>
    <row r="5382">
      <c r="A5382" s="1">
        <v>43562.46723686343</v>
      </c>
      <c r="B5382" s="2">
        <v>535.0</v>
      </c>
      <c r="C5382" s="2" t="s">
        <v>208</v>
      </c>
    </row>
    <row r="5383">
      <c r="A5383" s="1">
        <v>43562.47882780092</v>
      </c>
      <c r="B5383" s="3" t="s">
        <v>111</v>
      </c>
      <c r="C5383" s="2" t="s">
        <v>112</v>
      </c>
    </row>
    <row r="5384">
      <c r="A5384" s="1">
        <v>43562.480543020836</v>
      </c>
      <c r="B5384" s="2">
        <v>114.0</v>
      </c>
      <c r="C5384" s="2" t="s">
        <v>15</v>
      </c>
    </row>
    <row r="5385">
      <c r="A5385" s="1">
        <v>43562.48100986111</v>
      </c>
      <c r="B5385" s="2">
        <v>709.0</v>
      </c>
      <c r="C5385" s="2" t="s">
        <v>20</v>
      </c>
      <c r="D5385" s="2" t="s">
        <v>5</v>
      </c>
    </row>
    <row r="5386">
      <c r="A5386" s="1">
        <v>43562.57800896991</v>
      </c>
      <c r="B5386" s="2">
        <v>219.0</v>
      </c>
      <c r="C5386" s="2" t="s">
        <v>31</v>
      </c>
    </row>
    <row r="5387">
      <c r="A5387" s="1">
        <v>43562.92258417824</v>
      </c>
      <c r="B5387" s="3" t="s">
        <v>9</v>
      </c>
      <c r="C5387" s="2" t="s">
        <v>10</v>
      </c>
    </row>
    <row r="5388">
      <c r="A5388" s="1">
        <v>43562.92457565972</v>
      </c>
      <c r="B5388" s="2">
        <v>649.0</v>
      </c>
      <c r="C5388" s="2" t="s">
        <v>177</v>
      </c>
    </row>
    <row r="5389">
      <c r="A5389" s="1">
        <v>43562.92473423611</v>
      </c>
      <c r="B5389" s="2">
        <v>655.0</v>
      </c>
      <c r="C5389" s="2" t="s">
        <v>17</v>
      </c>
    </row>
    <row r="5390">
      <c r="A5390" s="1">
        <v>43562.924953449074</v>
      </c>
      <c r="B5390" s="2">
        <v>672.0</v>
      </c>
      <c r="C5390" s="2" t="s">
        <v>6</v>
      </c>
    </row>
    <row r="5391">
      <c r="A5391" s="1">
        <v>43562.92521450232</v>
      </c>
      <c r="B5391" s="2">
        <v>708.0</v>
      </c>
      <c r="C5391" s="2" t="s">
        <v>4</v>
      </c>
      <c r="D5391" s="2" t="s">
        <v>5</v>
      </c>
    </row>
    <row r="5392">
      <c r="A5392" s="1">
        <v>43562.925408738425</v>
      </c>
      <c r="B5392" s="2">
        <v>710.0</v>
      </c>
      <c r="C5392" s="2" t="s">
        <v>21</v>
      </c>
      <c r="D5392" s="2" t="s">
        <v>5</v>
      </c>
    </row>
    <row r="5393">
      <c r="A5393" s="1">
        <v>43562.92558905092</v>
      </c>
      <c r="B5393" s="2">
        <v>713.0</v>
      </c>
      <c r="C5393" s="2" t="s">
        <v>121</v>
      </c>
      <c r="D5393" s="2" t="s">
        <v>5</v>
      </c>
    </row>
    <row r="5394">
      <c r="A5394" s="1">
        <v>43562.92570744213</v>
      </c>
      <c r="B5394" s="2">
        <v>714.0</v>
      </c>
      <c r="C5394" s="2" t="s">
        <v>122</v>
      </c>
      <c r="D5394" s="2" t="s">
        <v>5</v>
      </c>
    </row>
    <row r="5395">
      <c r="A5395" s="1">
        <v>43563.78708949074</v>
      </c>
      <c r="B5395" s="2">
        <v>219.0</v>
      </c>
      <c r="C5395" s="2" t="s">
        <v>31</v>
      </c>
    </row>
    <row r="5396">
      <c r="A5396" s="1">
        <v>43564.43433495371</v>
      </c>
      <c r="B5396" s="2">
        <v>702.0</v>
      </c>
      <c r="C5396" s="2" t="s">
        <v>96</v>
      </c>
      <c r="D5396" s="2" t="s">
        <v>5</v>
      </c>
    </row>
    <row r="5397">
      <c r="A5397" s="1">
        <v>43564.43441505787</v>
      </c>
      <c r="B5397" s="2">
        <v>735.0</v>
      </c>
      <c r="C5397" s="2" t="s">
        <v>37</v>
      </c>
      <c r="D5397" s="2" t="s">
        <v>5</v>
      </c>
    </row>
    <row r="5398">
      <c r="A5398" s="1">
        <v>43564.44269427084</v>
      </c>
      <c r="B5398" s="3" t="s">
        <v>119</v>
      </c>
      <c r="C5398" s="2" t="s">
        <v>120</v>
      </c>
    </row>
    <row r="5399">
      <c r="A5399" s="1">
        <v>43564.46581620371</v>
      </c>
      <c r="B5399" s="2">
        <v>656.0</v>
      </c>
      <c r="C5399" s="2" t="s">
        <v>144</v>
      </c>
    </row>
    <row r="5400">
      <c r="A5400" s="1">
        <v>43566.41388664352</v>
      </c>
      <c r="B5400" s="2">
        <v>219.0</v>
      </c>
      <c r="C5400" s="2" t="s">
        <v>31</v>
      </c>
    </row>
    <row r="5401">
      <c r="A5401" s="1">
        <v>43566.93764862268</v>
      </c>
      <c r="B5401" s="2">
        <v>219.0</v>
      </c>
      <c r="C5401" s="2" t="s">
        <v>31</v>
      </c>
    </row>
    <row r="5402">
      <c r="A5402" s="1">
        <v>43567.21570231482</v>
      </c>
      <c r="B5402" s="2">
        <v>219.0</v>
      </c>
      <c r="C5402" s="2" t="s">
        <v>31</v>
      </c>
    </row>
    <row r="5403">
      <c r="A5403" s="1">
        <v>43567.4312022338</v>
      </c>
      <c r="B5403" s="2">
        <v>219.0</v>
      </c>
      <c r="C5403" s="2" t="s">
        <v>31</v>
      </c>
    </row>
    <row r="5404">
      <c r="A5404" s="1">
        <v>43567.94548511574</v>
      </c>
      <c r="B5404" s="2">
        <v>219.0</v>
      </c>
      <c r="C5404" s="2" t="s">
        <v>31</v>
      </c>
    </row>
    <row r="5405">
      <c r="A5405" s="1">
        <v>43569.422856805555</v>
      </c>
      <c r="B5405" s="2">
        <v>219.0</v>
      </c>
      <c r="C5405" s="2" t="s">
        <v>31</v>
      </c>
    </row>
    <row r="5406">
      <c r="A5406" s="1">
        <v>43569.42408619213</v>
      </c>
      <c r="B5406" s="3" t="s">
        <v>55</v>
      </c>
      <c r="C5406" s="2" t="s">
        <v>56</v>
      </c>
    </row>
    <row r="5407">
      <c r="A5407" s="1">
        <v>43569.42431165509</v>
      </c>
      <c r="B5407" s="2">
        <v>729.0</v>
      </c>
      <c r="C5407" s="2" t="s">
        <v>54</v>
      </c>
      <c r="D5407" s="2" t="s">
        <v>5</v>
      </c>
    </row>
    <row r="5408">
      <c r="A5408" s="1">
        <v>43569.42450329861</v>
      </c>
      <c r="B5408" s="2">
        <v>707.0</v>
      </c>
      <c r="C5408" s="2" t="s">
        <v>57</v>
      </c>
      <c r="D5408" s="2" t="s">
        <v>5</v>
      </c>
    </row>
    <row r="5409">
      <c r="A5409" s="1">
        <v>43569.42468141204</v>
      </c>
      <c r="B5409" s="2">
        <v>141.0</v>
      </c>
      <c r="C5409" s="2" t="s">
        <v>53</v>
      </c>
    </row>
    <row r="5410">
      <c r="A5410" s="1">
        <v>43569.42492550926</v>
      </c>
      <c r="B5410" s="2">
        <v>219.0</v>
      </c>
      <c r="C5410" s="2" t="s">
        <v>31</v>
      </c>
    </row>
    <row r="5411">
      <c r="A5411" s="1">
        <v>43569.42504165509</v>
      </c>
      <c r="B5411" s="2">
        <v>207.0</v>
      </c>
      <c r="C5411" s="2" t="s">
        <v>85</v>
      </c>
    </row>
    <row r="5412">
      <c r="A5412" s="1">
        <v>43569.42536753472</v>
      </c>
      <c r="B5412" s="2">
        <v>238.0</v>
      </c>
      <c r="C5412" s="2" t="s">
        <v>35</v>
      </c>
    </row>
    <row r="5413">
      <c r="A5413" s="1">
        <v>43569.42600668981</v>
      </c>
      <c r="B5413" s="2">
        <v>231.0</v>
      </c>
      <c r="C5413" s="2" t="s">
        <v>61</v>
      </c>
    </row>
    <row r="5414">
      <c r="A5414" s="1">
        <v>43569.42688184028</v>
      </c>
      <c r="B5414" s="2">
        <v>654.0</v>
      </c>
      <c r="C5414" s="2" t="s">
        <v>115</v>
      </c>
    </row>
    <row r="5415">
      <c r="A5415" s="1">
        <v>43569.42710219907</v>
      </c>
      <c r="B5415" s="2">
        <v>189.0</v>
      </c>
      <c r="C5415" s="2" t="s">
        <v>128</v>
      </c>
    </row>
    <row r="5416">
      <c r="A5416" s="1">
        <v>43569.4272584375</v>
      </c>
      <c r="B5416" s="2">
        <v>189.0</v>
      </c>
      <c r="C5416" s="2" t="s">
        <v>128</v>
      </c>
    </row>
    <row r="5417">
      <c r="A5417" s="1">
        <v>43569.42747715278</v>
      </c>
      <c r="B5417" s="2">
        <v>607.0</v>
      </c>
      <c r="C5417" s="2" t="s">
        <v>68</v>
      </c>
    </row>
    <row r="5418">
      <c r="A5418" s="1">
        <v>43569.427617291665</v>
      </c>
      <c r="B5418" s="2">
        <v>735.0</v>
      </c>
      <c r="C5418" s="2" t="s">
        <v>37</v>
      </c>
      <c r="D5418" s="2" t="s">
        <v>5</v>
      </c>
    </row>
    <row r="5419">
      <c r="A5419" s="1">
        <v>43569.4277407176</v>
      </c>
      <c r="B5419" s="2">
        <v>262.0</v>
      </c>
      <c r="C5419" s="2" t="s">
        <v>28</v>
      </c>
    </row>
    <row r="5420">
      <c r="A5420" s="1">
        <v>43569.4279228125</v>
      </c>
      <c r="B5420" s="2">
        <v>722.0</v>
      </c>
      <c r="C5420" s="2" t="s">
        <v>25</v>
      </c>
      <c r="D5420" s="2" t="s">
        <v>5</v>
      </c>
    </row>
    <row r="5421">
      <c r="A5421" s="1">
        <v>43569.42809061342</v>
      </c>
      <c r="B5421" s="2">
        <v>611.0</v>
      </c>
      <c r="C5421" s="2" t="s">
        <v>143</v>
      </c>
    </row>
    <row r="5422">
      <c r="A5422" s="1">
        <v>43569.428214988424</v>
      </c>
      <c r="B5422" s="2">
        <v>201.0</v>
      </c>
      <c r="C5422" s="2" t="s">
        <v>70</v>
      </c>
    </row>
    <row r="5423">
      <c r="A5423" s="1">
        <v>43569.428308622686</v>
      </c>
      <c r="B5423" s="2">
        <v>173.0</v>
      </c>
      <c r="C5423" s="2" t="s">
        <v>24</v>
      </c>
    </row>
    <row r="5424">
      <c r="A5424" s="1">
        <v>43569.42840148148</v>
      </c>
      <c r="B5424" s="2">
        <v>214.0</v>
      </c>
      <c r="C5424" s="2" t="s">
        <v>47</v>
      </c>
    </row>
    <row r="5425">
      <c r="A5425" s="1">
        <v>43569.42848038195</v>
      </c>
      <c r="B5425" s="2">
        <v>193.0</v>
      </c>
      <c r="C5425" s="2" t="s">
        <v>30</v>
      </c>
    </row>
    <row r="5426">
      <c r="A5426" s="1">
        <v>43569.42863378472</v>
      </c>
      <c r="B5426" s="2">
        <v>246.0</v>
      </c>
      <c r="C5426" s="2" t="s">
        <v>26</v>
      </c>
    </row>
    <row r="5427">
      <c r="A5427" s="1">
        <v>43569.42877864583</v>
      </c>
      <c r="B5427" s="2">
        <v>113.0</v>
      </c>
      <c r="C5427" s="2" t="s">
        <v>29</v>
      </c>
    </row>
    <row r="5428">
      <c r="A5428" s="1">
        <v>43569.4297747338</v>
      </c>
      <c r="B5428" s="2">
        <v>244.0</v>
      </c>
      <c r="C5428" s="2" t="s">
        <v>38</v>
      </c>
    </row>
    <row r="5429">
      <c r="A5429" s="1">
        <v>43569.42988023148</v>
      </c>
      <c r="B5429" s="3" t="s">
        <v>88</v>
      </c>
      <c r="C5429" s="2" t="s">
        <v>89</v>
      </c>
    </row>
    <row r="5430">
      <c r="A5430" s="1">
        <v>43569.430499050926</v>
      </c>
      <c r="B5430" s="2">
        <v>740.0</v>
      </c>
      <c r="C5430" s="2" t="s">
        <v>221</v>
      </c>
      <c r="D5430" s="2" t="s">
        <v>5</v>
      </c>
    </row>
    <row r="5431">
      <c r="A5431" s="1">
        <v>43569.43062645833</v>
      </c>
      <c r="B5431" s="2">
        <v>210.0</v>
      </c>
      <c r="C5431" s="2" t="s">
        <v>64</v>
      </c>
    </row>
    <row r="5432">
      <c r="A5432" s="1">
        <v>43569.430700428245</v>
      </c>
      <c r="B5432" s="2">
        <v>165.0</v>
      </c>
      <c r="C5432" s="2" t="s">
        <v>50</v>
      </c>
    </row>
    <row r="5433">
      <c r="A5433" s="1">
        <v>43569.4307546875</v>
      </c>
      <c r="B5433" s="2">
        <v>736.0</v>
      </c>
      <c r="C5433" s="2" t="s">
        <v>175</v>
      </c>
      <c r="D5433" s="2" t="s">
        <v>5</v>
      </c>
    </row>
    <row r="5434">
      <c r="A5434" s="1">
        <v>43569.4308253125</v>
      </c>
      <c r="B5434" s="2">
        <v>737.0</v>
      </c>
      <c r="C5434" s="2" t="s">
        <v>176</v>
      </c>
      <c r="D5434" s="2" t="s">
        <v>5</v>
      </c>
    </row>
    <row r="5435">
      <c r="A5435" s="1">
        <v>43569.43104351852</v>
      </c>
      <c r="B5435" s="2">
        <v>618.0</v>
      </c>
      <c r="C5435" s="2" t="s">
        <v>147</v>
      </c>
    </row>
    <row r="5436">
      <c r="A5436" s="1">
        <v>43569.43104696759</v>
      </c>
      <c r="B5436" s="2">
        <v>649.0</v>
      </c>
      <c r="C5436" s="2" t="s">
        <v>177</v>
      </c>
    </row>
    <row r="5437">
      <c r="A5437" s="1">
        <v>43569.431126967596</v>
      </c>
      <c r="B5437" s="2">
        <v>648.0</v>
      </c>
      <c r="C5437" s="2" t="s">
        <v>207</v>
      </c>
    </row>
    <row r="5438">
      <c r="A5438" s="1">
        <v>43569.43119545139</v>
      </c>
      <c r="B5438" s="2">
        <v>677.0</v>
      </c>
      <c r="C5438" s="2" t="s">
        <v>224</v>
      </c>
    </row>
    <row r="5439">
      <c r="A5439" s="1">
        <v>43569.4312770949</v>
      </c>
      <c r="B5439" s="2">
        <v>175.0</v>
      </c>
      <c r="C5439" s="2" t="s">
        <v>69</v>
      </c>
    </row>
    <row r="5440">
      <c r="A5440" s="1">
        <v>43569.43138190972</v>
      </c>
      <c r="B5440" s="2">
        <v>175.0</v>
      </c>
      <c r="C5440" s="2" t="s">
        <v>69</v>
      </c>
    </row>
    <row r="5441">
      <c r="A5441" s="1">
        <v>43569.431388321755</v>
      </c>
      <c r="B5441" s="2">
        <v>52.0</v>
      </c>
      <c r="C5441" s="2" t="s">
        <v>41</v>
      </c>
    </row>
    <row r="5442">
      <c r="A5442" s="1">
        <v>43569.43142408565</v>
      </c>
      <c r="B5442" s="2">
        <v>175.0</v>
      </c>
      <c r="C5442" s="2" t="s">
        <v>69</v>
      </c>
    </row>
    <row r="5443">
      <c r="A5443" s="1">
        <v>43569.433509386574</v>
      </c>
      <c r="B5443" s="2">
        <v>673.0</v>
      </c>
      <c r="C5443" s="2" t="s">
        <v>189</v>
      </c>
    </row>
    <row r="5444">
      <c r="A5444" s="1">
        <v>43569.43366001158</v>
      </c>
      <c r="B5444" s="3" t="s">
        <v>51</v>
      </c>
      <c r="C5444" s="2" t="s">
        <v>52</v>
      </c>
    </row>
    <row r="5445">
      <c r="A5445" s="1">
        <v>43569.433760995365</v>
      </c>
      <c r="B5445" s="2">
        <v>158.0</v>
      </c>
      <c r="C5445" s="2" t="s">
        <v>62</v>
      </c>
    </row>
    <row r="5446">
      <c r="A5446" s="1">
        <v>43569.43399733797</v>
      </c>
      <c r="B5446" s="2">
        <v>172.0</v>
      </c>
      <c r="C5446" s="2" t="s">
        <v>65</v>
      </c>
    </row>
    <row r="5447">
      <c r="A5447" s="1">
        <v>43569.43423666667</v>
      </c>
      <c r="B5447" s="2">
        <v>701.0</v>
      </c>
      <c r="C5447" s="2" t="s">
        <v>93</v>
      </c>
      <c r="D5447" s="2" t="s">
        <v>5</v>
      </c>
    </row>
    <row r="5448">
      <c r="A5448" s="1">
        <v>43569.43453255787</v>
      </c>
      <c r="B5448" s="2">
        <v>257.0</v>
      </c>
      <c r="C5448" s="2" t="s">
        <v>27</v>
      </c>
    </row>
    <row r="5449">
      <c r="A5449" s="1">
        <v>43569.434675462966</v>
      </c>
      <c r="B5449" s="2">
        <v>268.0</v>
      </c>
      <c r="C5449" s="2" t="s">
        <v>205</v>
      </c>
    </row>
    <row r="5450">
      <c r="A5450" s="1">
        <v>43569.43477891204</v>
      </c>
      <c r="B5450" s="2">
        <v>126.0</v>
      </c>
      <c r="C5450" s="2" t="s">
        <v>87</v>
      </c>
    </row>
    <row r="5451">
      <c r="A5451" s="1">
        <v>43569.43568520833</v>
      </c>
      <c r="B5451" s="3" t="s">
        <v>44</v>
      </c>
      <c r="C5451" s="2" t="s">
        <v>45</v>
      </c>
    </row>
    <row r="5452">
      <c r="A5452" s="1">
        <v>43569.4357790162</v>
      </c>
      <c r="B5452" s="3" t="s">
        <v>80</v>
      </c>
      <c r="C5452" s="2" t="s">
        <v>81</v>
      </c>
    </row>
    <row r="5453">
      <c r="A5453" s="1">
        <v>43569.43590798611</v>
      </c>
      <c r="B5453" s="2">
        <v>655.0</v>
      </c>
      <c r="C5453" s="2" t="s">
        <v>17</v>
      </c>
    </row>
    <row r="5454">
      <c r="A5454" s="1">
        <v>43569.43626403935</v>
      </c>
      <c r="B5454" s="2">
        <v>632.0</v>
      </c>
      <c r="C5454" s="2" t="s">
        <v>146</v>
      </c>
    </row>
    <row r="5455">
      <c r="A5455" s="1">
        <v>43569.43635952546</v>
      </c>
      <c r="B5455" s="2">
        <v>114.0</v>
      </c>
      <c r="C5455" s="2" t="s">
        <v>15</v>
      </c>
    </row>
    <row r="5456">
      <c r="A5456" s="1">
        <v>43569.436541828705</v>
      </c>
      <c r="B5456" s="3" t="s">
        <v>9</v>
      </c>
      <c r="C5456" s="2" t="s">
        <v>10</v>
      </c>
    </row>
    <row r="5457">
      <c r="A5457" s="1">
        <v>43569.43722892361</v>
      </c>
      <c r="B5457" s="3" t="s">
        <v>162</v>
      </c>
      <c r="C5457" s="2" t="s">
        <v>163</v>
      </c>
    </row>
    <row r="5458">
      <c r="A5458" s="1">
        <v>43569.43744530092</v>
      </c>
      <c r="B5458" s="2">
        <v>160.0</v>
      </c>
      <c r="C5458" s="2" t="s">
        <v>154</v>
      </c>
    </row>
    <row r="5459">
      <c r="A5459" s="1">
        <v>43569.4375659838</v>
      </c>
      <c r="B5459" s="2">
        <v>721.0</v>
      </c>
      <c r="C5459" s="2" t="s">
        <v>156</v>
      </c>
      <c r="D5459" s="2" t="s">
        <v>5</v>
      </c>
    </row>
    <row r="5460">
      <c r="A5460" s="1">
        <v>43569.43803122685</v>
      </c>
      <c r="B5460" s="2">
        <v>677.0</v>
      </c>
      <c r="C5460" s="2" t="s">
        <v>224</v>
      </c>
    </row>
    <row r="5461">
      <c r="A5461" s="1">
        <v>43569.438218877316</v>
      </c>
      <c r="B5461" s="2">
        <v>734.0</v>
      </c>
      <c r="C5461" s="2" t="s">
        <v>63</v>
      </c>
      <c r="D5461" s="2" t="s">
        <v>5</v>
      </c>
    </row>
    <row r="5462">
      <c r="A5462" s="1">
        <v>43569.4383915162</v>
      </c>
      <c r="B5462" s="2">
        <v>650.0</v>
      </c>
      <c r="C5462" s="2" t="s">
        <v>213</v>
      </c>
    </row>
    <row r="5463">
      <c r="A5463" s="1">
        <v>43569.438578113426</v>
      </c>
      <c r="B5463" s="2">
        <v>259.0</v>
      </c>
      <c r="C5463" s="2" t="s">
        <v>66</v>
      </c>
    </row>
    <row r="5464">
      <c r="A5464" s="1">
        <v>43569.43865116898</v>
      </c>
      <c r="B5464" s="2">
        <v>260.0</v>
      </c>
      <c r="C5464" s="2" t="s">
        <v>67</v>
      </c>
    </row>
    <row r="5465">
      <c r="A5465" s="1">
        <v>43569.4391372338</v>
      </c>
      <c r="B5465" s="2">
        <v>602.0</v>
      </c>
      <c r="C5465" s="2" t="s">
        <v>131</v>
      </c>
    </row>
    <row r="5466">
      <c r="A5466" s="1">
        <v>43569.43946065972</v>
      </c>
      <c r="B5466" s="2">
        <v>267.0</v>
      </c>
      <c r="C5466" s="2" t="s">
        <v>115</v>
      </c>
    </row>
    <row r="5467">
      <c r="A5467" s="1">
        <v>43569.43956672454</v>
      </c>
      <c r="B5467" s="2">
        <v>208.0</v>
      </c>
      <c r="C5467" s="2" t="s">
        <v>182</v>
      </c>
    </row>
    <row r="5468">
      <c r="A5468" s="1">
        <v>43569.439819861116</v>
      </c>
      <c r="B5468" s="2">
        <v>667.0</v>
      </c>
      <c r="C5468" s="2" t="s">
        <v>73</v>
      </c>
    </row>
    <row r="5469">
      <c r="A5469" s="1">
        <v>43569.439954456015</v>
      </c>
      <c r="B5469" s="3" t="s">
        <v>150</v>
      </c>
      <c r="C5469" s="2" t="s">
        <v>151</v>
      </c>
    </row>
    <row r="5470">
      <c r="A5470" s="1">
        <v>43569.44056519676</v>
      </c>
      <c r="B5470" s="2">
        <v>229.0</v>
      </c>
      <c r="C5470" s="2" t="s">
        <v>86</v>
      </c>
    </row>
    <row r="5471">
      <c r="A5471" s="1">
        <v>43569.44209759259</v>
      </c>
      <c r="B5471" s="2">
        <v>643.0</v>
      </c>
      <c r="C5471" s="2" t="s">
        <v>166</v>
      </c>
    </row>
    <row r="5472">
      <c r="A5472" s="1">
        <v>43569.44238633102</v>
      </c>
      <c r="B5472" s="2">
        <v>198.0</v>
      </c>
      <c r="C5472" s="2" t="s">
        <v>97</v>
      </c>
    </row>
    <row r="5473">
      <c r="A5473" s="1">
        <v>43569.44282128473</v>
      </c>
      <c r="B5473" s="3" t="s">
        <v>98</v>
      </c>
      <c r="C5473" s="2" t="s">
        <v>99</v>
      </c>
    </row>
    <row r="5474">
      <c r="A5474" s="1">
        <v>43569.4429034375</v>
      </c>
      <c r="B5474" s="2">
        <v>147.0</v>
      </c>
      <c r="C5474" s="2" t="s">
        <v>100</v>
      </c>
    </row>
    <row r="5475">
      <c r="A5475" s="1">
        <v>43569.442993449076</v>
      </c>
      <c r="B5475" s="2">
        <v>726.0</v>
      </c>
      <c r="C5475" s="2" t="s">
        <v>101</v>
      </c>
      <c r="D5475" s="2" t="s">
        <v>5</v>
      </c>
    </row>
    <row r="5476">
      <c r="A5476" s="1">
        <v>43569.44308927083</v>
      </c>
      <c r="B5476" s="2">
        <v>732.0</v>
      </c>
      <c r="C5476" s="2" t="s">
        <v>102</v>
      </c>
      <c r="D5476" s="2" t="s">
        <v>5</v>
      </c>
    </row>
    <row r="5477">
      <c r="A5477" s="1">
        <v>43569.4447756713</v>
      </c>
      <c r="B5477" s="3" t="s">
        <v>103</v>
      </c>
      <c r="C5477" s="2" t="s">
        <v>104</v>
      </c>
    </row>
    <row r="5478">
      <c r="A5478" s="1">
        <v>43569.44488791667</v>
      </c>
      <c r="B5478" s="3" t="s">
        <v>111</v>
      </c>
      <c r="C5478" s="2" t="s">
        <v>112</v>
      </c>
    </row>
    <row r="5479">
      <c r="A5479" s="1">
        <v>43569.44620209491</v>
      </c>
      <c r="B5479" s="2">
        <v>215.0</v>
      </c>
      <c r="C5479" s="2" t="s">
        <v>137</v>
      </c>
    </row>
    <row r="5480">
      <c r="A5480" s="1">
        <v>43569.44703310185</v>
      </c>
      <c r="B5480" s="2">
        <v>675.0</v>
      </c>
      <c r="C5480" s="2" t="s">
        <v>222</v>
      </c>
    </row>
    <row r="5481">
      <c r="A5481" s="1">
        <v>43569.45052517361</v>
      </c>
      <c r="B5481" s="2">
        <v>718.0</v>
      </c>
      <c r="C5481" s="2" t="s">
        <v>105</v>
      </c>
      <c r="D5481" s="2" t="s">
        <v>5</v>
      </c>
    </row>
    <row r="5482">
      <c r="A5482" s="1">
        <v>43569.45062516203</v>
      </c>
      <c r="B5482" s="2">
        <v>719.0</v>
      </c>
      <c r="C5482" s="2" t="s">
        <v>106</v>
      </c>
      <c r="D5482" s="2" t="s">
        <v>5</v>
      </c>
    </row>
    <row r="5483">
      <c r="A5483" s="1">
        <v>43569.450822071754</v>
      </c>
      <c r="B5483" s="3" t="s">
        <v>113</v>
      </c>
      <c r="C5483" s="2" t="s">
        <v>114</v>
      </c>
    </row>
    <row r="5484">
      <c r="A5484" s="1">
        <v>43569.45090578704</v>
      </c>
      <c r="B5484" s="2">
        <v>101.0</v>
      </c>
      <c r="C5484" s="2" t="s">
        <v>108</v>
      </c>
    </row>
    <row r="5485">
      <c r="A5485" s="1">
        <v>43569.451048125</v>
      </c>
      <c r="B5485" s="2">
        <v>124.0</v>
      </c>
      <c r="C5485" s="2" t="s">
        <v>107</v>
      </c>
    </row>
    <row r="5486">
      <c r="A5486" s="1">
        <v>43569.46029155093</v>
      </c>
      <c r="B5486" s="2">
        <v>676.0</v>
      </c>
      <c r="C5486" s="2" t="s">
        <v>223</v>
      </c>
    </row>
    <row r="5487">
      <c r="A5487" s="1">
        <v>43569.46331201389</v>
      </c>
      <c r="B5487" s="2">
        <v>641.0</v>
      </c>
      <c r="C5487" s="2" t="s">
        <v>210</v>
      </c>
    </row>
    <row r="5488">
      <c r="A5488" s="1">
        <v>43569.463768125</v>
      </c>
      <c r="B5488" s="2">
        <v>253.0</v>
      </c>
      <c r="C5488" s="2" t="s">
        <v>138</v>
      </c>
    </row>
    <row r="5489">
      <c r="A5489" s="1">
        <v>43569.47323510417</v>
      </c>
      <c r="B5489" s="2">
        <v>614.0</v>
      </c>
      <c r="C5489" s="2" t="s">
        <v>76</v>
      </c>
    </row>
    <row r="5490">
      <c r="A5490" s="1">
        <v>43569.496508958335</v>
      </c>
      <c r="B5490" s="2">
        <v>219.0</v>
      </c>
      <c r="C5490" s="2" t="s">
        <v>31</v>
      </c>
    </row>
    <row r="5491">
      <c r="A5491" s="1">
        <v>43569.59487907407</v>
      </c>
      <c r="B5491" s="3" t="s">
        <v>22</v>
      </c>
      <c r="C5491" s="2" t="s">
        <v>23</v>
      </c>
    </row>
    <row r="5492">
      <c r="A5492" s="1">
        <v>43569.595128009256</v>
      </c>
      <c r="B5492" s="3" t="s">
        <v>22</v>
      </c>
      <c r="C5492" s="2" t="s">
        <v>23</v>
      </c>
    </row>
    <row r="5493">
      <c r="A5493" s="1">
        <v>43569.5953059375</v>
      </c>
      <c r="B5493" s="3" t="s">
        <v>119</v>
      </c>
      <c r="C5493" s="2" t="s">
        <v>120</v>
      </c>
    </row>
    <row r="5494">
      <c r="A5494" s="1">
        <v>43569.595395752316</v>
      </c>
      <c r="B5494" s="3" t="s">
        <v>11</v>
      </c>
      <c r="C5494" s="2" t="s">
        <v>12</v>
      </c>
    </row>
    <row r="5495">
      <c r="A5495" s="1">
        <v>43569.59666800926</v>
      </c>
      <c r="B5495" s="3" t="s">
        <v>159</v>
      </c>
      <c r="C5495" s="2" t="s">
        <v>160</v>
      </c>
    </row>
    <row r="5496">
      <c r="A5496" s="1">
        <v>43569.59720107639</v>
      </c>
      <c r="B5496" s="3" t="s">
        <v>32</v>
      </c>
      <c r="C5496" s="2" t="s">
        <v>33</v>
      </c>
    </row>
    <row r="5497">
      <c r="A5497" s="1">
        <v>43569.597623194444</v>
      </c>
      <c r="B5497" s="3" t="s">
        <v>113</v>
      </c>
      <c r="C5497" s="2" t="s">
        <v>114</v>
      </c>
    </row>
    <row r="5498">
      <c r="A5498" s="1">
        <v>43569.59841002314</v>
      </c>
      <c r="B5498" s="2">
        <v>101.0</v>
      </c>
      <c r="C5498" s="2" t="s">
        <v>108</v>
      </c>
    </row>
    <row r="5499">
      <c r="A5499" s="1">
        <v>43569.59901844907</v>
      </c>
      <c r="B5499" s="2">
        <v>157.0</v>
      </c>
      <c r="C5499" s="2" t="s">
        <v>141</v>
      </c>
    </row>
    <row r="5500">
      <c r="A5500" s="1">
        <v>43569.60024532407</v>
      </c>
      <c r="B5500" s="2">
        <v>672.0</v>
      </c>
      <c r="C5500" s="2" t="s">
        <v>6</v>
      </c>
    </row>
    <row r="5501">
      <c r="A5501" s="1">
        <v>43569.60037354167</v>
      </c>
      <c r="B5501" s="2">
        <v>673.0</v>
      </c>
      <c r="C5501" s="2" t="s">
        <v>189</v>
      </c>
    </row>
    <row r="5502">
      <c r="A5502" s="1">
        <v>43569.60065835648</v>
      </c>
      <c r="B5502" s="2">
        <v>708.0</v>
      </c>
      <c r="C5502" s="2" t="s">
        <v>4</v>
      </c>
      <c r="D5502" s="2" t="s">
        <v>5</v>
      </c>
    </row>
    <row r="5503">
      <c r="A5503" s="1">
        <v>43569.600833460645</v>
      </c>
      <c r="B5503" s="2">
        <v>709.0</v>
      </c>
      <c r="C5503" s="2" t="s">
        <v>20</v>
      </c>
      <c r="D5503" s="2" t="s">
        <v>5</v>
      </c>
    </row>
    <row r="5504">
      <c r="A5504" s="1">
        <v>43569.60096675926</v>
      </c>
      <c r="B5504" s="2">
        <v>710.0</v>
      </c>
      <c r="C5504" s="2" t="s">
        <v>21</v>
      </c>
      <c r="D5504" s="2" t="s">
        <v>5</v>
      </c>
    </row>
    <row r="5505">
      <c r="A5505" s="1">
        <v>43569.6013225</v>
      </c>
      <c r="B5505" s="2">
        <v>713.0</v>
      </c>
      <c r="C5505" s="2" t="s">
        <v>121</v>
      </c>
      <c r="D5505" s="2" t="s">
        <v>5</v>
      </c>
    </row>
    <row r="5506">
      <c r="A5506" s="1">
        <v>43569.601428194444</v>
      </c>
      <c r="B5506" s="2">
        <v>714.0</v>
      </c>
      <c r="C5506" s="2" t="s">
        <v>122</v>
      </c>
      <c r="D5506" s="2" t="s">
        <v>5</v>
      </c>
    </row>
    <row r="5507">
      <c r="A5507" s="1">
        <v>43569.60158837963</v>
      </c>
      <c r="B5507" s="2">
        <v>716.0</v>
      </c>
      <c r="C5507" s="2" t="s">
        <v>123</v>
      </c>
      <c r="D5507" s="2" t="s">
        <v>5</v>
      </c>
    </row>
    <row r="5508">
      <c r="A5508" s="1">
        <v>43570.9317752662</v>
      </c>
      <c r="B5508" s="2">
        <v>702.0</v>
      </c>
      <c r="C5508" s="2" t="s">
        <v>96</v>
      </c>
      <c r="D5508" s="2" t="s">
        <v>5</v>
      </c>
    </row>
    <row r="5509">
      <c r="A5509" s="1">
        <v>43573.38000820602</v>
      </c>
      <c r="B5509" s="2">
        <v>219.0</v>
      </c>
      <c r="C5509" s="2" t="s">
        <v>31</v>
      </c>
    </row>
    <row r="5510">
      <c r="A5510" s="1">
        <v>43574.321332673615</v>
      </c>
      <c r="B5510" s="2">
        <v>219.0</v>
      </c>
      <c r="C5510" s="2" t="s">
        <v>31</v>
      </c>
    </row>
    <row r="5511">
      <c r="A5511" s="1">
        <v>43574.511931099536</v>
      </c>
      <c r="B5511" s="2">
        <v>219.0</v>
      </c>
      <c r="C5511" s="2" t="s">
        <v>31</v>
      </c>
    </row>
    <row r="5512">
      <c r="A5512" s="1">
        <v>43576.64949295139</v>
      </c>
      <c r="B5512" s="2">
        <v>246.0</v>
      </c>
      <c r="C5512" s="2" t="s">
        <v>26</v>
      </c>
    </row>
    <row r="5513">
      <c r="A5513" s="1">
        <v>43576.64978328704</v>
      </c>
      <c r="B5513" s="2">
        <v>246.0</v>
      </c>
      <c r="C5513" s="2" t="s">
        <v>26</v>
      </c>
    </row>
    <row r="5514">
      <c r="A5514" s="1">
        <v>43576.64985015047</v>
      </c>
      <c r="B5514" s="2">
        <v>246.0</v>
      </c>
      <c r="C5514" s="2" t="s">
        <v>26</v>
      </c>
    </row>
    <row r="5515">
      <c r="A5515" s="1">
        <v>43576.64993013889</v>
      </c>
      <c r="B5515" s="2">
        <v>246.0</v>
      </c>
      <c r="C5515" s="2" t="s">
        <v>26</v>
      </c>
    </row>
    <row r="5516">
      <c r="A5516" s="1">
        <v>43576.64998074074</v>
      </c>
      <c r="B5516" s="2">
        <v>246.0</v>
      </c>
      <c r="C5516" s="2" t="s">
        <v>26</v>
      </c>
    </row>
    <row r="5517">
      <c r="A5517" s="1">
        <v>43576.657549131945</v>
      </c>
      <c r="B5517" s="2">
        <v>214.0</v>
      </c>
      <c r="C5517" s="2" t="s">
        <v>47</v>
      </c>
    </row>
    <row r="5518">
      <c r="A5518" s="1">
        <v>43576.65852967593</v>
      </c>
      <c r="B5518" s="2">
        <v>165.0</v>
      </c>
      <c r="C5518" s="2" t="s">
        <v>50</v>
      </c>
    </row>
    <row r="5519">
      <c r="A5519" s="1">
        <v>43576.66074369213</v>
      </c>
      <c r="B5519" s="2">
        <v>193.0</v>
      </c>
      <c r="C5519" s="2" t="s">
        <v>30</v>
      </c>
    </row>
    <row r="5520">
      <c r="A5520" s="1">
        <v>43576.661406666666</v>
      </c>
      <c r="B5520" s="2">
        <v>167.0</v>
      </c>
      <c r="C5520" s="2" t="s">
        <v>39</v>
      </c>
    </row>
    <row r="5521">
      <c r="A5521" s="1">
        <v>43576.66152616898</v>
      </c>
      <c r="B5521" s="2">
        <v>231.0</v>
      </c>
      <c r="C5521" s="2" t="s">
        <v>61</v>
      </c>
    </row>
    <row r="5522">
      <c r="A5522" s="1">
        <v>43576.66168445602</v>
      </c>
      <c r="B5522" s="2">
        <v>231.0</v>
      </c>
      <c r="C5522" s="2" t="s">
        <v>61</v>
      </c>
    </row>
    <row r="5523">
      <c r="A5523" s="1">
        <v>43576.661903622684</v>
      </c>
      <c r="B5523" s="2">
        <v>167.0</v>
      </c>
      <c r="C5523" s="2" t="s">
        <v>39</v>
      </c>
    </row>
    <row r="5524">
      <c r="A5524" s="1">
        <v>43576.66268703704</v>
      </c>
      <c r="B5524" s="2">
        <v>201.0</v>
      </c>
      <c r="C5524" s="2" t="s">
        <v>70</v>
      </c>
    </row>
    <row r="5525">
      <c r="A5525" s="1">
        <v>43576.66305645833</v>
      </c>
      <c r="B5525" s="2">
        <v>267.0</v>
      </c>
      <c r="C5525" s="2" t="s">
        <v>115</v>
      </c>
    </row>
    <row r="5526">
      <c r="A5526" s="1">
        <v>43576.66397045139</v>
      </c>
      <c r="B5526" s="2">
        <v>238.0</v>
      </c>
      <c r="C5526" s="2" t="s">
        <v>35</v>
      </c>
    </row>
    <row r="5527">
      <c r="A5527" s="1">
        <v>43576.66465269676</v>
      </c>
      <c r="B5527" s="2">
        <v>677.0</v>
      </c>
      <c r="C5527" s="2" t="s">
        <v>224</v>
      </c>
    </row>
    <row r="5528">
      <c r="A5528" s="1">
        <v>43576.665106354165</v>
      </c>
      <c r="B5528" s="2">
        <v>157.0</v>
      </c>
      <c r="C5528" s="2" t="s">
        <v>141</v>
      </c>
    </row>
    <row r="5529">
      <c r="A5529" s="1">
        <v>43576.665300567125</v>
      </c>
      <c r="B5529" s="2">
        <v>237.0</v>
      </c>
      <c r="C5529" s="2" t="s">
        <v>140</v>
      </c>
    </row>
    <row r="5530">
      <c r="A5530" s="1">
        <v>43576.66557575231</v>
      </c>
      <c r="B5530" s="2">
        <v>611.0</v>
      </c>
      <c r="C5530" s="2" t="s">
        <v>143</v>
      </c>
    </row>
    <row r="5531">
      <c r="A5531" s="1">
        <v>43576.665768946754</v>
      </c>
      <c r="B5531" s="2">
        <v>124.0</v>
      </c>
      <c r="C5531" s="2" t="s">
        <v>107</v>
      </c>
    </row>
    <row r="5532">
      <c r="A5532" s="1">
        <v>43576.66592274306</v>
      </c>
      <c r="B5532" s="2">
        <v>201.0</v>
      </c>
      <c r="C5532" s="2" t="s">
        <v>70</v>
      </c>
    </row>
    <row r="5533">
      <c r="A5533" s="1">
        <v>43576.66632125</v>
      </c>
      <c r="B5533" s="2">
        <v>231.0</v>
      </c>
      <c r="C5533" s="2" t="s">
        <v>61</v>
      </c>
    </row>
    <row r="5534">
      <c r="A5534" s="1">
        <v>43576.66647265047</v>
      </c>
      <c r="B5534" s="3" t="s">
        <v>32</v>
      </c>
      <c r="C5534" s="2" t="s">
        <v>33</v>
      </c>
    </row>
    <row r="5535">
      <c r="A5535" s="1">
        <v>43576.66679280093</v>
      </c>
      <c r="B5535" s="2">
        <v>722.0</v>
      </c>
      <c r="C5535" s="2" t="s">
        <v>25</v>
      </c>
      <c r="D5535" s="2" t="s">
        <v>5</v>
      </c>
    </row>
    <row r="5536">
      <c r="A5536" s="1">
        <v>43576.66709592592</v>
      </c>
      <c r="B5536" s="2">
        <v>262.0</v>
      </c>
      <c r="C5536" s="2" t="s">
        <v>28</v>
      </c>
    </row>
    <row r="5537">
      <c r="A5537" s="1">
        <v>43576.6672922338</v>
      </c>
      <c r="B5537" s="2">
        <v>52.0</v>
      </c>
      <c r="C5537" s="2" t="s">
        <v>41</v>
      </c>
    </row>
    <row r="5538">
      <c r="A5538" s="1">
        <v>43576.66747494213</v>
      </c>
      <c r="B5538" s="3" t="s">
        <v>51</v>
      </c>
      <c r="C5538" s="2" t="s">
        <v>52</v>
      </c>
    </row>
    <row r="5539">
      <c r="A5539" s="1">
        <v>43576.66758728009</v>
      </c>
      <c r="B5539" s="3" t="s">
        <v>80</v>
      </c>
      <c r="C5539" s="2" t="s">
        <v>81</v>
      </c>
    </row>
    <row r="5540">
      <c r="A5540" s="1">
        <v>43576.66869527778</v>
      </c>
      <c r="B5540" s="2">
        <v>602.0</v>
      </c>
      <c r="C5540" s="2" t="s">
        <v>131</v>
      </c>
    </row>
    <row r="5541">
      <c r="A5541" s="1">
        <v>43576.68164924769</v>
      </c>
      <c r="B5541" s="2">
        <v>158.0</v>
      </c>
      <c r="C5541" s="2" t="s">
        <v>62</v>
      </c>
    </row>
    <row r="5542">
      <c r="A5542" s="1">
        <v>43576.68207446759</v>
      </c>
      <c r="B5542" s="2">
        <v>173.0</v>
      </c>
      <c r="C5542" s="2" t="s">
        <v>24</v>
      </c>
    </row>
    <row r="5543">
      <c r="A5543" s="1">
        <v>43576.68217027778</v>
      </c>
      <c r="B5543" s="2">
        <v>159.0</v>
      </c>
      <c r="C5543" s="2" t="s">
        <v>58</v>
      </c>
    </row>
    <row r="5544">
      <c r="A5544" s="1">
        <v>43576.68251378472</v>
      </c>
      <c r="B5544" s="2">
        <v>705.0</v>
      </c>
      <c r="C5544" s="2" t="s">
        <v>168</v>
      </c>
      <c r="D5544" s="2" t="s">
        <v>5</v>
      </c>
    </row>
    <row r="5545">
      <c r="A5545" s="1">
        <v>43576.71364178241</v>
      </c>
      <c r="B5545" s="2">
        <v>734.0</v>
      </c>
      <c r="C5545" s="2" t="s">
        <v>63</v>
      </c>
      <c r="D5545" s="2" t="s">
        <v>5</v>
      </c>
    </row>
    <row r="5546">
      <c r="A5546" s="1">
        <v>43576.98379115741</v>
      </c>
      <c r="B5546" s="2">
        <v>238.0</v>
      </c>
      <c r="C5546" s="2" t="s">
        <v>35</v>
      </c>
    </row>
    <row r="5547">
      <c r="A5547" s="1">
        <v>43576.98485190972</v>
      </c>
      <c r="B5547" s="2">
        <v>253.0</v>
      </c>
      <c r="C5547" s="2" t="s">
        <v>138</v>
      </c>
    </row>
    <row r="5548">
      <c r="A5548" s="1">
        <v>43576.9892446875</v>
      </c>
      <c r="B5548" s="2">
        <v>627.0</v>
      </c>
      <c r="C5548" s="2" t="s">
        <v>134</v>
      </c>
    </row>
    <row r="5549">
      <c r="A5549" s="1">
        <v>43576.99203291666</v>
      </c>
      <c r="B5549" s="2">
        <v>607.0</v>
      </c>
      <c r="C5549" s="2" t="s">
        <v>68</v>
      </c>
    </row>
    <row r="5550">
      <c r="A5550" s="1">
        <v>43576.9941956713</v>
      </c>
      <c r="B5550" s="2">
        <v>655.0</v>
      </c>
      <c r="C5550" s="2" t="s">
        <v>17</v>
      </c>
    </row>
    <row r="5551">
      <c r="A5551" s="1">
        <v>43576.999311273146</v>
      </c>
      <c r="B5551" s="2">
        <v>643.0</v>
      </c>
      <c r="C5551" s="2" t="s">
        <v>166</v>
      </c>
    </row>
    <row r="5552">
      <c r="A5552" s="1">
        <v>43576.999541944446</v>
      </c>
      <c r="B5552" s="2">
        <v>215.0</v>
      </c>
      <c r="C5552" s="2" t="s">
        <v>137</v>
      </c>
    </row>
    <row r="5553">
      <c r="A5553" s="1">
        <v>43576.99991711805</v>
      </c>
      <c r="B5553" s="2">
        <v>259.0</v>
      </c>
      <c r="C5553" s="2" t="s">
        <v>66</v>
      </c>
    </row>
    <row r="5554">
      <c r="A5554" s="1">
        <v>43576.99997532407</v>
      </c>
      <c r="B5554" s="2">
        <v>260.0</v>
      </c>
      <c r="C5554" s="2" t="s">
        <v>67</v>
      </c>
    </row>
    <row r="5555">
      <c r="A5555" s="1">
        <v>43577.000031828706</v>
      </c>
      <c r="B5555" s="2">
        <v>734.0</v>
      </c>
      <c r="C5555" s="2" t="s">
        <v>63</v>
      </c>
      <c r="D5555" s="2" t="s">
        <v>5</v>
      </c>
    </row>
    <row r="5556">
      <c r="A5556" s="1">
        <v>43577.00028960648</v>
      </c>
      <c r="B5556" s="2">
        <v>535.0</v>
      </c>
      <c r="C5556" s="2" t="s">
        <v>208</v>
      </c>
    </row>
    <row r="5557">
      <c r="A5557" s="1">
        <v>43577.00138519676</v>
      </c>
      <c r="B5557" s="2">
        <v>735.0</v>
      </c>
      <c r="C5557" s="2" t="s">
        <v>37</v>
      </c>
      <c r="D5557" s="2" t="s">
        <v>5</v>
      </c>
    </row>
    <row r="5558">
      <c r="A5558" s="1">
        <v>43577.001482673615</v>
      </c>
      <c r="B5558" s="2">
        <v>738.0</v>
      </c>
      <c r="C5558" s="2" t="s">
        <v>161</v>
      </c>
    </row>
    <row r="5559">
      <c r="A5559" s="1">
        <v>43577.00204177083</v>
      </c>
      <c r="B5559" s="2">
        <v>214.0</v>
      </c>
      <c r="C5559" s="2" t="s">
        <v>47</v>
      </c>
    </row>
    <row r="5560">
      <c r="A5560" s="1">
        <v>43577.00493831019</v>
      </c>
      <c r="B5560" s="2">
        <v>677.0</v>
      </c>
      <c r="C5560" s="2" t="s">
        <v>224</v>
      </c>
    </row>
    <row r="5561">
      <c r="A5561" s="1">
        <v>43577.00564965278</v>
      </c>
      <c r="B5561" s="2">
        <v>246.0</v>
      </c>
      <c r="C5561" s="2" t="s">
        <v>26</v>
      </c>
    </row>
    <row r="5562">
      <c r="A5562" s="1">
        <v>43577.00597633102</v>
      </c>
      <c r="B5562" s="2">
        <v>193.0</v>
      </c>
      <c r="C5562" s="2" t="s">
        <v>30</v>
      </c>
    </row>
    <row r="5563">
      <c r="A5563" s="1">
        <v>43577.00684379629</v>
      </c>
      <c r="B5563" s="2">
        <v>165.0</v>
      </c>
      <c r="C5563" s="2" t="s">
        <v>50</v>
      </c>
    </row>
    <row r="5564">
      <c r="A5564" s="1">
        <v>43577.00744048611</v>
      </c>
      <c r="B5564" s="2">
        <v>262.0</v>
      </c>
      <c r="C5564" s="2" t="s">
        <v>28</v>
      </c>
    </row>
    <row r="5565">
      <c r="A5565" s="1">
        <v>43577.008498842595</v>
      </c>
      <c r="B5565" s="3" t="s">
        <v>103</v>
      </c>
      <c r="C5565" s="2" t="s">
        <v>104</v>
      </c>
    </row>
    <row r="5566">
      <c r="A5566" s="1">
        <v>43577.00899872685</v>
      </c>
      <c r="B5566" s="2">
        <v>670.0</v>
      </c>
      <c r="C5566" s="2" t="s">
        <v>139</v>
      </c>
    </row>
    <row r="5567">
      <c r="A5567" s="1">
        <v>43577.00908640046</v>
      </c>
      <c r="B5567" s="2">
        <v>671.0</v>
      </c>
      <c r="C5567" s="2" t="s">
        <v>129</v>
      </c>
    </row>
    <row r="5568">
      <c r="A5568" s="1">
        <v>43577.009673148146</v>
      </c>
      <c r="B5568" s="2">
        <v>208.0</v>
      </c>
      <c r="C5568" s="2" t="s">
        <v>182</v>
      </c>
    </row>
    <row r="5569">
      <c r="A5569" s="1">
        <v>43577.00993482639</v>
      </c>
      <c r="B5569" s="2">
        <v>611.0</v>
      </c>
      <c r="C5569" s="2" t="s">
        <v>143</v>
      </c>
    </row>
    <row r="5570">
      <c r="A5570" s="1">
        <v>43577.01011596065</v>
      </c>
      <c r="B5570" s="2">
        <v>52.0</v>
      </c>
      <c r="C5570" s="2" t="s">
        <v>41</v>
      </c>
    </row>
    <row r="5571">
      <c r="A5571" s="1">
        <v>43577.010361064815</v>
      </c>
      <c r="B5571" s="2">
        <v>710.0</v>
      </c>
      <c r="C5571" s="2" t="s">
        <v>21</v>
      </c>
      <c r="D5571" s="2" t="s">
        <v>5</v>
      </c>
    </row>
    <row r="5572">
      <c r="A5572" s="1">
        <v>43577.010656412036</v>
      </c>
      <c r="B5572" s="3" t="s">
        <v>119</v>
      </c>
      <c r="C5572" s="2" t="s">
        <v>120</v>
      </c>
    </row>
    <row r="5573">
      <c r="A5573" s="1">
        <v>43577.01066590278</v>
      </c>
      <c r="B5573" s="3" t="s">
        <v>119</v>
      </c>
      <c r="C5573" s="2" t="s">
        <v>120</v>
      </c>
    </row>
    <row r="5574">
      <c r="A5574" s="1">
        <v>43577.010860486116</v>
      </c>
      <c r="B5574" s="3" t="s">
        <v>117</v>
      </c>
      <c r="C5574" s="2" t="s">
        <v>118</v>
      </c>
    </row>
    <row r="5575">
      <c r="A5575" s="1">
        <v>43577.01108040509</v>
      </c>
      <c r="B5575" s="2">
        <v>713.0</v>
      </c>
      <c r="C5575" s="2" t="s">
        <v>121</v>
      </c>
      <c r="D5575" s="2" t="s">
        <v>5</v>
      </c>
    </row>
    <row r="5576">
      <c r="A5576" s="1">
        <v>43577.01114127315</v>
      </c>
      <c r="B5576" s="2">
        <v>714.0</v>
      </c>
      <c r="C5576" s="2" t="s">
        <v>122</v>
      </c>
      <c r="D5576" s="2" t="s">
        <v>5</v>
      </c>
    </row>
    <row r="5577">
      <c r="A5577" s="1">
        <v>43577.011424965276</v>
      </c>
      <c r="B5577" s="3" t="s">
        <v>88</v>
      </c>
      <c r="C5577" s="2" t="s">
        <v>89</v>
      </c>
    </row>
    <row r="5578">
      <c r="A5578" s="1">
        <v>43577.011556111116</v>
      </c>
      <c r="B5578" s="3" t="s">
        <v>9</v>
      </c>
      <c r="C5578" s="2" t="s">
        <v>10</v>
      </c>
    </row>
    <row r="5579">
      <c r="A5579" s="1">
        <v>43577.01172012731</v>
      </c>
      <c r="B5579" s="2">
        <v>708.0</v>
      </c>
      <c r="C5579" s="2" t="s">
        <v>4</v>
      </c>
      <c r="D5579" s="2" t="s">
        <v>5</v>
      </c>
    </row>
    <row r="5580">
      <c r="A5580" s="1">
        <v>43577.011784699076</v>
      </c>
      <c r="B5580" s="2">
        <v>709.0</v>
      </c>
      <c r="C5580" s="2" t="s">
        <v>20</v>
      </c>
      <c r="D5580" s="2" t="s">
        <v>5</v>
      </c>
    </row>
    <row r="5581">
      <c r="A5581" s="1">
        <v>43577.01217778935</v>
      </c>
      <c r="B5581" s="3" t="s">
        <v>169</v>
      </c>
      <c r="C5581" s="2" t="s">
        <v>170</v>
      </c>
    </row>
    <row r="5582">
      <c r="A5582" s="1">
        <v>43577.33055787037</v>
      </c>
      <c r="B5582" s="2">
        <v>214.0</v>
      </c>
      <c r="C5582" s="2" t="s">
        <v>47</v>
      </c>
    </row>
    <row r="5583">
      <c r="A5583" s="1">
        <v>43590.405640613426</v>
      </c>
      <c r="B5583" s="2">
        <v>246.0</v>
      </c>
      <c r="C5583" s="2" t="s">
        <v>26</v>
      </c>
    </row>
    <row r="5584">
      <c r="A5584" s="1">
        <v>43590.40611239584</v>
      </c>
      <c r="B5584" s="2">
        <v>722.0</v>
      </c>
      <c r="C5584" s="2" t="s">
        <v>25</v>
      </c>
      <c r="D5584" s="2" t="s">
        <v>5</v>
      </c>
    </row>
    <row r="5585">
      <c r="A5585" s="1">
        <v>43590.40636883102</v>
      </c>
      <c r="B5585" s="2">
        <v>631.0</v>
      </c>
      <c r="C5585" s="2" t="s">
        <v>178</v>
      </c>
    </row>
    <row r="5586">
      <c r="A5586" s="1">
        <v>43590.40656393519</v>
      </c>
      <c r="B5586" s="2">
        <v>738.0</v>
      </c>
      <c r="C5586" s="2" t="s">
        <v>161</v>
      </c>
    </row>
    <row r="5587">
      <c r="A5587" s="1">
        <v>43590.407466261575</v>
      </c>
      <c r="B5587" s="2">
        <v>197.0</v>
      </c>
      <c r="C5587" s="2" t="s">
        <v>225</v>
      </c>
    </row>
    <row r="5588">
      <c r="A5588" s="1">
        <v>43590.40769527778</v>
      </c>
      <c r="B5588" s="2">
        <v>158.0</v>
      </c>
      <c r="C5588" s="2" t="s">
        <v>62</v>
      </c>
    </row>
    <row r="5589">
      <c r="A5589" s="1">
        <v>43590.41034086805</v>
      </c>
      <c r="B5589" s="3" t="s">
        <v>42</v>
      </c>
      <c r="C5589" s="2" t="s">
        <v>43</v>
      </c>
    </row>
    <row r="5590">
      <c r="A5590" s="1">
        <v>43590.41092834491</v>
      </c>
      <c r="B5590" s="2">
        <v>215.0</v>
      </c>
      <c r="C5590" s="2" t="s">
        <v>137</v>
      </c>
    </row>
    <row r="5591">
      <c r="A5591" s="1">
        <v>43590.41846719907</v>
      </c>
      <c r="B5591" s="2">
        <v>253.0</v>
      </c>
      <c r="C5591" s="2" t="s">
        <v>138</v>
      </c>
    </row>
    <row r="5592">
      <c r="A5592" s="1">
        <v>43590.41856440972</v>
      </c>
      <c r="B5592" s="2">
        <v>172.0</v>
      </c>
      <c r="C5592" s="2" t="s">
        <v>65</v>
      </c>
    </row>
    <row r="5593">
      <c r="A5593" s="1">
        <v>43590.41902273148</v>
      </c>
      <c r="B5593" s="2">
        <v>244.0</v>
      </c>
      <c r="C5593" s="2" t="s">
        <v>38</v>
      </c>
    </row>
    <row r="5594">
      <c r="A5594" s="1">
        <v>43590.42565510416</v>
      </c>
      <c r="B5594" s="2">
        <v>707.0</v>
      </c>
      <c r="C5594" s="2" t="s">
        <v>57</v>
      </c>
      <c r="D5594" s="2" t="s">
        <v>5</v>
      </c>
    </row>
    <row r="5595">
      <c r="A5595" s="1">
        <v>43590.425843414356</v>
      </c>
      <c r="B5595" s="2">
        <v>729.0</v>
      </c>
      <c r="C5595" s="2" t="s">
        <v>54</v>
      </c>
      <c r="D5595" s="2" t="s">
        <v>5</v>
      </c>
    </row>
    <row r="5596">
      <c r="A5596" s="1">
        <v>43590.42602378472</v>
      </c>
      <c r="B5596" s="3" t="s">
        <v>55</v>
      </c>
      <c r="C5596" s="2" t="s">
        <v>56</v>
      </c>
    </row>
    <row r="5597">
      <c r="A5597" s="1">
        <v>43590.4263005324</v>
      </c>
      <c r="B5597" s="2">
        <v>707.0</v>
      </c>
      <c r="C5597" s="2" t="s">
        <v>57</v>
      </c>
      <c r="D5597" s="2" t="s">
        <v>5</v>
      </c>
    </row>
    <row r="5598">
      <c r="A5598" s="1">
        <v>43590.426870763884</v>
      </c>
      <c r="B5598" s="2">
        <v>141.0</v>
      </c>
      <c r="D5598" s="2" t="s">
        <v>5</v>
      </c>
    </row>
    <row r="5599">
      <c r="A5599" s="1">
        <v>43590.42713806713</v>
      </c>
      <c r="B5599" s="2">
        <v>141.0</v>
      </c>
      <c r="C5599" s="2" t="s">
        <v>53</v>
      </c>
    </row>
    <row r="5600">
      <c r="A5600" s="1">
        <v>43590.42730534722</v>
      </c>
      <c r="B5600" s="2">
        <v>729.0</v>
      </c>
      <c r="C5600" s="2" t="s">
        <v>54</v>
      </c>
      <c r="D5600" s="2" t="s">
        <v>5</v>
      </c>
    </row>
    <row r="5601">
      <c r="A5601" s="1">
        <v>43590.42742763889</v>
      </c>
      <c r="B5601" s="2">
        <v>607.0</v>
      </c>
      <c r="C5601" s="2" t="s">
        <v>68</v>
      </c>
    </row>
    <row r="5602">
      <c r="A5602" s="1">
        <v>43590.4274960301</v>
      </c>
      <c r="B5602" s="3" t="s">
        <v>55</v>
      </c>
      <c r="C5602" s="2" t="s">
        <v>56</v>
      </c>
    </row>
    <row r="5603">
      <c r="A5603" s="1">
        <v>43590.427713854166</v>
      </c>
      <c r="B5603" s="2">
        <v>735.0</v>
      </c>
      <c r="C5603" s="2" t="s">
        <v>37</v>
      </c>
      <c r="D5603" s="2" t="s">
        <v>5</v>
      </c>
    </row>
    <row r="5604">
      <c r="A5604" s="1">
        <v>43590.4278884375</v>
      </c>
      <c r="B5604" s="2">
        <v>643.0</v>
      </c>
      <c r="C5604" s="2" t="s">
        <v>166</v>
      </c>
    </row>
    <row r="5605">
      <c r="A5605" s="1">
        <v>43590.42804842592</v>
      </c>
      <c r="B5605" s="2">
        <v>113.0</v>
      </c>
      <c r="C5605" s="2" t="s">
        <v>29</v>
      </c>
    </row>
    <row r="5606">
      <c r="A5606" s="1">
        <v>43590.4282674537</v>
      </c>
      <c r="B5606" s="2">
        <v>262.0</v>
      </c>
      <c r="C5606" s="2" t="s">
        <v>28</v>
      </c>
    </row>
    <row r="5607">
      <c r="A5607" s="1">
        <v>43590.428600266205</v>
      </c>
      <c r="B5607" s="2">
        <v>238.0</v>
      </c>
      <c r="C5607" s="2" t="s">
        <v>35</v>
      </c>
    </row>
    <row r="5608">
      <c r="A5608" s="1">
        <v>43590.429002164354</v>
      </c>
      <c r="B5608" s="3" t="s">
        <v>32</v>
      </c>
      <c r="C5608" s="2" t="s">
        <v>33</v>
      </c>
    </row>
    <row r="5609">
      <c r="A5609" s="1">
        <v>43590.42907258101</v>
      </c>
      <c r="B5609" s="2">
        <v>165.0</v>
      </c>
      <c r="C5609" s="2" t="s">
        <v>50</v>
      </c>
    </row>
    <row r="5610">
      <c r="A5610" s="1">
        <v>43590.42919894676</v>
      </c>
      <c r="B5610" s="2">
        <v>173.0</v>
      </c>
      <c r="C5610" s="2" t="s">
        <v>24</v>
      </c>
    </row>
    <row r="5611">
      <c r="A5611" s="1">
        <v>43590.42937059028</v>
      </c>
      <c r="B5611" s="2">
        <v>214.0</v>
      </c>
      <c r="C5611" s="2" t="s">
        <v>47</v>
      </c>
    </row>
    <row r="5612">
      <c r="A5612" s="1">
        <v>43590.42962106482</v>
      </c>
      <c r="B5612" s="2">
        <v>193.0</v>
      </c>
      <c r="C5612" s="2" t="s">
        <v>30</v>
      </c>
    </row>
    <row r="5613">
      <c r="A5613" s="1">
        <v>43590.42982751157</v>
      </c>
      <c r="B5613" s="3" t="s">
        <v>126</v>
      </c>
      <c r="C5613" s="2" t="s">
        <v>127</v>
      </c>
    </row>
    <row r="5614">
      <c r="A5614" s="1">
        <v>43590.430476435184</v>
      </c>
      <c r="B5614" s="2">
        <v>717.0</v>
      </c>
      <c r="C5614" s="2" t="s">
        <v>152</v>
      </c>
      <c r="D5614" s="2" t="s">
        <v>5</v>
      </c>
    </row>
    <row r="5615">
      <c r="A5615" s="1">
        <v>43590.43061038194</v>
      </c>
      <c r="B5615" s="2">
        <v>201.0</v>
      </c>
      <c r="C5615" s="2" t="s">
        <v>70</v>
      </c>
    </row>
    <row r="5616">
      <c r="A5616" s="1">
        <v>43590.43084418982</v>
      </c>
      <c r="B5616" s="3" t="s">
        <v>11</v>
      </c>
      <c r="C5616" s="2" t="s">
        <v>12</v>
      </c>
    </row>
    <row r="5617">
      <c r="A5617" s="1">
        <v>43590.43165141204</v>
      </c>
      <c r="B5617" s="3" t="s">
        <v>11</v>
      </c>
      <c r="C5617" s="2" t="s">
        <v>12</v>
      </c>
    </row>
    <row r="5618">
      <c r="A5618" s="1">
        <v>43590.43165142361</v>
      </c>
      <c r="B5618" s="2">
        <v>602.0</v>
      </c>
      <c r="C5618" s="2" t="s">
        <v>131</v>
      </c>
    </row>
    <row r="5619">
      <c r="A5619" s="1">
        <v>43590.43185851852</v>
      </c>
      <c r="B5619" s="2">
        <v>602.0</v>
      </c>
      <c r="C5619" s="2" t="s">
        <v>131</v>
      </c>
    </row>
    <row r="5620">
      <c r="A5620" s="1">
        <v>43590.43213555556</v>
      </c>
      <c r="B5620" s="2">
        <v>667.0</v>
      </c>
      <c r="C5620" s="2" t="s">
        <v>73</v>
      </c>
    </row>
    <row r="5621">
      <c r="A5621" s="1">
        <v>43590.43220780093</v>
      </c>
      <c r="B5621" s="2">
        <v>706.0</v>
      </c>
      <c r="C5621" s="2" t="s">
        <v>149</v>
      </c>
      <c r="D5621" s="2" t="s">
        <v>5</v>
      </c>
    </row>
    <row r="5622">
      <c r="A5622" s="1">
        <v>43590.43230998843</v>
      </c>
      <c r="B5622" s="2">
        <v>667.0</v>
      </c>
      <c r="C5622" s="2" t="s">
        <v>73</v>
      </c>
    </row>
    <row r="5623">
      <c r="A5623" s="1">
        <v>43590.43240337963</v>
      </c>
      <c r="B5623" s="3" t="s">
        <v>150</v>
      </c>
      <c r="C5623" s="2" t="s">
        <v>151</v>
      </c>
    </row>
    <row r="5624">
      <c r="A5624" s="1">
        <v>43590.4326641088</v>
      </c>
      <c r="B5624" s="2">
        <v>602.0</v>
      </c>
      <c r="C5624" s="2" t="s">
        <v>131</v>
      </c>
    </row>
    <row r="5625">
      <c r="A5625" s="1">
        <v>43590.43266693287</v>
      </c>
      <c r="B5625" s="2">
        <v>259.0</v>
      </c>
      <c r="C5625" s="2" t="s">
        <v>66</v>
      </c>
    </row>
    <row r="5626">
      <c r="A5626" s="1">
        <v>43590.43271234954</v>
      </c>
      <c r="B5626" s="2">
        <v>602.0</v>
      </c>
      <c r="C5626" s="2" t="s">
        <v>131</v>
      </c>
    </row>
    <row r="5627">
      <c r="A5627" s="1">
        <v>43590.432790520834</v>
      </c>
      <c r="B5627" s="2">
        <v>602.0</v>
      </c>
      <c r="C5627" s="2" t="s">
        <v>131</v>
      </c>
    </row>
    <row r="5628">
      <c r="A5628" s="1">
        <v>43590.43374515046</v>
      </c>
      <c r="B5628" s="2">
        <v>733.0</v>
      </c>
      <c r="C5628" s="2" t="s">
        <v>110</v>
      </c>
      <c r="D5628" s="2" t="s">
        <v>5</v>
      </c>
    </row>
    <row r="5629">
      <c r="A5629" s="1">
        <v>43590.43383193287</v>
      </c>
      <c r="B5629" s="2">
        <v>231.0</v>
      </c>
      <c r="C5629" s="2" t="s">
        <v>61</v>
      </c>
    </row>
    <row r="5630">
      <c r="A5630" s="1">
        <v>43590.43460328704</v>
      </c>
      <c r="B5630" s="3" t="s">
        <v>44</v>
      </c>
      <c r="C5630" s="2" t="s">
        <v>45</v>
      </c>
    </row>
    <row r="5631">
      <c r="A5631" s="1">
        <v>43590.43513208334</v>
      </c>
      <c r="B5631" s="3" t="s">
        <v>159</v>
      </c>
      <c r="C5631" s="2" t="s">
        <v>160</v>
      </c>
    </row>
    <row r="5632">
      <c r="A5632" s="1">
        <v>43590.435248449074</v>
      </c>
      <c r="B5632" s="2">
        <v>734.0</v>
      </c>
      <c r="C5632" s="2" t="s">
        <v>63</v>
      </c>
      <c r="D5632" s="2" t="s">
        <v>5</v>
      </c>
    </row>
    <row r="5633">
      <c r="A5633" s="1">
        <v>43590.435576979165</v>
      </c>
      <c r="B5633" s="2">
        <v>602.0</v>
      </c>
      <c r="C5633" s="2" t="s">
        <v>131</v>
      </c>
    </row>
    <row r="5634">
      <c r="A5634" s="1">
        <v>43590.43591652778</v>
      </c>
      <c r="B5634" s="3" t="s">
        <v>162</v>
      </c>
      <c r="C5634" s="2" t="s">
        <v>163</v>
      </c>
    </row>
    <row r="5635">
      <c r="A5635" s="1">
        <v>43590.436047766205</v>
      </c>
      <c r="B5635" s="3" t="s">
        <v>80</v>
      </c>
      <c r="C5635" s="2" t="s">
        <v>81</v>
      </c>
    </row>
    <row r="5636">
      <c r="A5636" s="1">
        <v>43590.43618896991</v>
      </c>
      <c r="B5636" s="3" t="s">
        <v>74</v>
      </c>
      <c r="C5636" s="2" t="s">
        <v>75</v>
      </c>
    </row>
    <row r="5637">
      <c r="A5637" s="1">
        <v>43590.436299699075</v>
      </c>
      <c r="B5637" s="2">
        <v>160.0</v>
      </c>
      <c r="C5637" s="2" t="s">
        <v>154</v>
      </c>
    </row>
    <row r="5638">
      <c r="A5638" s="1">
        <v>43590.436494803245</v>
      </c>
      <c r="B5638" s="2">
        <v>720.0</v>
      </c>
      <c r="C5638" s="2" t="s">
        <v>155</v>
      </c>
      <c r="D5638" s="2" t="s">
        <v>5</v>
      </c>
    </row>
    <row r="5639">
      <c r="A5639" s="1">
        <v>43590.436926967595</v>
      </c>
      <c r="B5639" s="2">
        <v>114.0</v>
      </c>
      <c r="C5639" s="2" t="s">
        <v>15</v>
      </c>
    </row>
    <row r="5640">
      <c r="A5640" s="1">
        <v>43590.43702399306</v>
      </c>
      <c r="B5640" s="3" t="s">
        <v>9</v>
      </c>
      <c r="C5640" s="2" t="s">
        <v>10</v>
      </c>
    </row>
    <row r="5641">
      <c r="A5641" s="1">
        <v>43590.437063136575</v>
      </c>
      <c r="B5641" s="2">
        <v>721.0</v>
      </c>
      <c r="C5641" s="2" t="s">
        <v>156</v>
      </c>
      <c r="D5641" s="2" t="s">
        <v>5</v>
      </c>
    </row>
    <row r="5642">
      <c r="A5642" s="1">
        <v>43590.43728820602</v>
      </c>
      <c r="B5642" s="2">
        <v>708.0</v>
      </c>
      <c r="C5642" s="2" t="s">
        <v>4</v>
      </c>
      <c r="D5642" s="2" t="s">
        <v>5</v>
      </c>
    </row>
    <row r="5643">
      <c r="A5643" s="1">
        <v>43590.43732416666</v>
      </c>
      <c r="B5643" s="2">
        <v>711.0</v>
      </c>
      <c r="C5643" s="2" t="s">
        <v>8</v>
      </c>
      <c r="D5643" s="2" t="s">
        <v>5</v>
      </c>
    </row>
    <row r="5644">
      <c r="A5644" s="1">
        <v>43590.43748995371</v>
      </c>
      <c r="B5644" s="2">
        <v>708.0</v>
      </c>
      <c r="C5644" s="2" t="s">
        <v>4</v>
      </c>
      <c r="D5644" s="2" t="s">
        <v>5</v>
      </c>
    </row>
    <row r="5645">
      <c r="A5645" s="1">
        <v>43590.43781662037</v>
      </c>
      <c r="B5645" s="2">
        <v>124.0</v>
      </c>
      <c r="C5645" s="2" t="s">
        <v>107</v>
      </c>
    </row>
    <row r="5646">
      <c r="A5646" s="1">
        <v>43590.438137708334</v>
      </c>
      <c r="B5646" s="3" t="s">
        <v>103</v>
      </c>
      <c r="C5646" s="2" t="s">
        <v>104</v>
      </c>
    </row>
    <row r="5647">
      <c r="A5647" s="1">
        <v>43590.43845266204</v>
      </c>
      <c r="B5647" s="2">
        <v>611.0</v>
      </c>
      <c r="C5647" s="2" t="s">
        <v>143</v>
      </c>
    </row>
    <row r="5648">
      <c r="A5648" s="1">
        <v>43590.44066890047</v>
      </c>
      <c r="B5648" s="2">
        <v>732.0</v>
      </c>
      <c r="C5648" s="2" t="s">
        <v>102</v>
      </c>
      <c r="D5648" s="2" t="s">
        <v>5</v>
      </c>
    </row>
    <row r="5649">
      <c r="A5649" s="1">
        <v>43590.440911631944</v>
      </c>
      <c r="B5649" s="2">
        <v>612.0</v>
      </c>
      <c r="C5649" s="2" t="s">
        <v>214</v>
      </c>
    </row>
    <row r="5650">
      <c r="A5650" s="1">
        <v>43590.44132866898</v>
      </c>
      <c r="B5650" s="2">
        <v>229.0</v>
      </c>
      <c r="C5650" s="2" t="s">
        <v>86</v>
      </c>
    </row>
    <row r="5651">
      <c r="A5651" s="1">
        <v>43590.4416041088</v>
      </c>
      <c r="B5651" s="2">
        <v>257.0</v>
      </c>
      <c r="C5651" s="2" t="s">
        <v>27</v>
      </c>
    </row>
    <row r="5652">
      <c r="A5652" s="1">
        <v>43590.442808356485</v>
      </c>
      <c r="B5652" s="2">
        <v>147.0</v>
      </c>
      <c r="C5652" s="2" t="s">
        <v>100</v>
      </c>
    </row>
    <row r="5653">
      <c r="A5653" s="1">
        <v>43590.444998067134</v>
      </c>
      <c r="B5653" s="2">
        <v>602.0</v>
      </c>
      <c r="C5653" s="2" t="s">
        <v>131</v>
      </c>
    </row>
    <row r="5654">
      <c r="A5654" s="1">
        <v>43590.44500622685</v>
      </c>
      <c r="B5654" s="2">
        <v>259.0</v>
      </c>
      <c r="C5654" s="2" t="s">
        <v>66</v>
      </c>
    </row>
    <row r="5655">
      <c r="A5655" s="1">
        <v>43590.445051006944</v>
      </c>
      <c r="B5655" s="2">
        <v>602.0</v>
      </c>
      <c r="C5655" s="2" t="s">
        <v>131</v>
      </c>
    </row>
    <row r="5656">
      <c r="A5656" s="1">
        <v>43590.44538716435</v>
      </c>
      <c r="B5656" s="2">
        <v>602.0</v>
      </c>
      <c r="C5656" s="2" t="s">
        <v>131</v>
      </c>
    </row>
    <row r="5657">
      <c r="A5657" s="1">
        <v>43590.44543420139</v>
      </c>
      <c r="B5657" s="2">
        <v>268.0</v>
      </c>
      <c r="C5657" s="2" t="s">
        <v>205</v>
      </c>
    </row>
    <row r="5658">
      <c r="A5658" s="1">
        <v>43590.445477256944</v>
      </c>
      <c r="B5658" s="2">
        <v>602.0</v>
      </c>
      <c r="C5658" s="2" t="s">
        <v>131</v>
      </c>
    </row>
    <row r="5659">
      <c r="A5659" s="1">
        <v>43590.44594451389</v>
      </c>
      <c r="B5659" s="2">
        <v>198.0</v>
      </c>
      <c r="C5659" s="2" t="s">
        <v>97</v>
      </c>
    </row>
    <row r="5660">
      <c r="A5660" s="1">
        <v>43590.44609172454</v>
      </c>
      <c r="B5660" s="2">
        <v>202.0</v>
      </c>
      <c r="C5660" s="2" t="s">
        <v>130</v>
      </c>
    </row>
    <row r="5661">
      <c r="A5661" s="1">
        <v>43590.44619346065</v>
      </c>
      <c r="B5661" s="3" t="s">
        <v>94</v>
      </c>
      <c r="C5661" s="2" t="s">
        <v>95</v>
      </c>
    </row>
    <row r="5662">
      <c r="A5662" s="1">
        <v>43590.44632004629</v>
      </c>
      <c r="B5662" s="2">
        <v>676.0</v>
      </c>
      <c r="C5662" s="2" t="s">
        <v>223</v>
      </c>
    </row>
    <row r="5663">
      <c r="A5663" s="1">
        <v>43590.44640616898</v>
      </c>
      <c r="B5663" s="2">
        <v>701.0</v>
      </c>
      <c r="C5663" s="2" t="s">
        <v>93</v>
      </c>
      <c r="D5663" s="2" t="s">
        <v>5</v>
      </c>
    </row>
    <row r="5664">
      <c r="A5664" s="1">
        <v>43590.446592928245</v>
      </c>
      <c r="B5664" s="2">
        <v>267.0</v>
      </c>
      <c r="C5664" s="2" t="s">
        <v>115</v>
      </c>
    </row>
    <row r="5665">
      <c r="A5665" s="1">
        <v>43590.446699548615</v>
      </c>
      <c r="B5665" s="2">
        <v>238.0</v>
      </c>
      <c r="C5665" s="2" t="s">
        <v>35</v>
      </c>
    </row>
    <row r="5666">
      <c r="A5666" s="1">
        <v>43590.44686679398</v>
      </c>
      <c r="B5666" s="2">
        <v>641.0</v>
      </c>
      <c r="C5666" s="2" t="s">
        <v>210</v>
      </c>
    </row>
    <row r="5667">
      <c r="A5667" s="1">
        <v>43590.4470483912</v>
      </c>
      <c r="B5667" s="2">
        <v>673.0</v>
      </c>
      <c r="C5667" s="2" t="s">
        <v>189</v>
      </c>
    </row>
    <row r="5668">
      <c r="A5668" s="1">
        <v>43590.447439780095</v>
      </c>
      <c r="B5668" s="2">
        <v>624.0</v>
      </c>
      <c r="C5668" s="2" t="s">
        <v>90</v>
      </c>
    </row>
    <row r="5669">
      <c r="A5669" s="1">
        <v>43590.44755415509</v>
      </c>
      <c r="B5669" s="2">
        <v>724.0</v>
      </c>
      <c r="C5669" s="2" t="s">
        <v>91</v>
      </c>
      <c r="D5669" s="2" t="s">
        <v>5</v>
      </c>
    </row>
    <row r="5670">
      <c r="A5670" s="1">
        <v>43590.44764384259</v>
      </c>
      <c r="B5670" s="2">
        <v>725.0</v>
      </c>
      <c r="C5670" s="2" t="s">
        <v>92</v>
      </c>
      <c r="D5670" s="2" t="s">
        <v>5</v>
      </c>
    </row>
    <row r="5671">
      <c r="A5671" s="1">
        <v>43590.4647199537</v>
      </c>
      <c r="B5671" s="2">
        <v>614.0</v>
      </c>
      <c r="C5671" s="2" t="s">
        <v>76</v>
      </c>
    </row>
    <row r="5672">
      <c r="A5672" s="1">
        <v>43590.48706047454</v>
      </c>
      <c r="B5672" s="2">
        <v>655.0</v>
      </c>
      <c r="C5672" s="2" t="s">
        <v>17</v>
      </c>
    </row>
    <row r="5673">
      <c r="A5673" s="1">
        <v>43591.498341412036</v>
      </c>
      <c r="B5673" s="3" t="s">
        <v>117</v>
      </c>
      <c r="C5673" s="2" t="s">
        <v>118</v>
      </c>
    </row>
    <row r="5674">
      <c r="A5674" s="1">
        <v>43591.498428402774</v>
      </c>
      <c r="B5674" s="3" t="s">
        <v>119</v>
      </c>
      <c r="C5674" s="2" t="s">
        <v>120</v>
      </c>
    </row>
    <row r="5675">
      <c r="A5675" s="1">
        <v>43591.498595578705</v>
      </c>
      <c r="B5675" s="2">
        <v>52.0</v>
      </c>
      <c r="C5675" s="2" t="s">
        <v>41</v>
      </c>
    </row>
    <row r="5676">
      <c r="A5676" s="1">
        <v>43591.498889131944</v>
      </c>
      <c r="B5676" s="3" t="s">
        <v>78</v>
      </c>
      <c r="C5676" s="2" t="s">
        <v>79</v>
      </c>
    </row>
    <row r="5677">
      <c r="A5677" s="1">
        <v>43591.499029548606</v>
      </c>
      <c r="B5677" s="3" t="s">
        <v>111</v>
      </c>
      <c r="C5677" s="2" t="s">
        <v>112</v>
      </c>
    </row>
    <row r="5678">
      <c r="A5678" s="1">
        <v>43591.49994440972</v>
      </c>
      <c r="B5678" s="3" t="s">
        <v>51</v>
      </c>
      <c r="C5678" s="2" t="s">
        <v>52</v>
      </c>
    </row>
    <row r="5679">
      <c r="A5679" s="1">
        <v>43591.50049989583</v>
      </c>
      <c r="B5679" s="2">
        <v>126.0</v>
      </c>
      <c r="C5679" s="2" t="s">
        <v>87</v>
      </c>
    </row>
    <row r="5680">
      <c r="A5680" s="1">
        <v>43591.5012353125</v>
      </c>
      <c r="B5680" s="2">
        <v>208.0</v>
      </c>
      <c r="C5680" s="2" t="s">
        <v>182</v>
      </c>
    </row>
    <row r="5681">
      <c r="A5681" s="1">
        <v>43591.50176409722</v>
      </c>
      <c r="B5681" s="2">
        <v>260.0</v>
      </c>
      <c r="C5681" s="2" t="s">
        <v>67</v>
      </c>
    </row>
    <row r="5682">
      <c r="A5682" s="1">
        <v>43591.50209083333</v>
      </c>
      <c r="B5682" s="2">
        <v>604.0</v>
      </c>
      <c r="C5682" s="2" t="s">
        <v>36</v>
      </c>
    </row>
    <row r="5683">
      <c r="A5683" s="1">
        <v>43591.50241475695</v>
      </c>
      <c r="B5683" s="2">
        <v>618.0</v>
      </c>
      <c r="C5683" s="2" t="s">
        <v>147</v>
      </c>
    </row>
    <row r="5684">
      <c r="A5684" s="1">
        <v>43591.502871006945</v>
      </c>
      <c r="B5684" s="2">
        <v>650.0</v>
      </c>
      <c r="C5684" s="2" t="s">
        <v>213</v>
      </c>
    </row>
    <row r="5685">
      <c r="A5685" s="1">
        <v>43591.50368403935</v>
      </c>
      <c r="B5685" s="2">
        <v>709.0</v>
      </c>
      <c r="C5685" s="2" t="s">
        <v>20</v>
      </c>
      <c r="D5685" s="2" t="s">
        <v>5</v>
      </c>
    </row>
    <row r="5686">
      <c r="A5686" s="1">
        <v>43591.50379108796</v>
      </c>
      <c r="B5686" s="2">
        <v>710.0</v>
      </c>
      <c r="C5686" s="2" t="s">
        <v>21</v>
      </c>
      <c r="D5686" s="2" t="s">
        <v>5</v>
      </c>
    </row>
    <row r="5687">
      <c r="A5687" s="1">
        <v>43591.50394065972</v>
      </c>
      <c r="B5687" s="2">
        <v>713.0</v>
      </c>
      <c r="C5687" s="2" t="s">
        <v>121</v>
      </c>
      <c r="D5687" s="2" t="s">
        <v>5</v>
      </c>
    </row>
    <row r="5688">
      <c r="A5688" s="1">
        <v>43591.503997928245</v>
      </c>
      <c r="B5688" s="2">
        <v>714.0</v>
      </c>
      <c r="C5688" s="2" t="s">
        <v>122</v>
      </c>
      <c r="D5688" s="2" t="s">
        <v>5</v>
      </c>
    </row>
    <row r="5689">
      <c r="A5689" s="1">
        <v>43591.50417105324</v>
      </c>
      <c r="B5689" s="2">
        <v>723.0</v>
      </c>
      <c r="C5689" s="2" t="s">
        <v>84</v>
      </c>
      <c r="D5689" s="2" t="s">
        <v>5</v>
      </c>
    </row>
    <row r="5690">
      <c r="A5690" s="1">
        <v>43591.50427965278</v>
      </c>
      <c r="B5690" s="2">
        <v>726.0</v>
      </c>
      <c r="C5690" s="2" t="s">
        <v>101</v>
      </c>
      <c r="D5690" s="2" t="s">
        <v>5</v>
      </c>
    </row>
    <row r="5691">
      <c r="A5691" s="1">
        <v>43591.50468416666</v>
      </c>
      <c r="C5691" s="2" t="s">
        <v>19</v>
      </c>
    </row>
    <row r="5692">
      <c r="A5692" s="1">
        <v>43591.599103622684</v>
      </c>
      <c r="B5692" s="3" t="s">
        <v>22</v>
      </c>
      <c r="C5692" s="2" t="s">
        <v>23</v>
      </c>
    </row>
    <row r="5693">
      <c r="A5693" s="1">
        <v>43591.59941957176</v>
      </c>
      <c r="B5693" s="3" t="s">
        <v>111</v>
      </c>
      <c r="C5693" s="2" t="s">
        <v>112</v>
      </c>
    </row>
    <row r="5694">
      <c r="A5694" s="1">
        <v>43591.59954964121</v>
      </c>
      <c r="B5694" s="3" t="s">
        <v>78</v>
      </c>
      <c r="C5694" s="2" t="s">
        <v>79</v>
      </c>
    </row>
    <row r="5695">
      <c r="A5695" s="1">
        <v>43591.60065503472</v>
      </c>
      <c r="B5695" s="2">
        <v>650.0</v>
      </c>
      <c r="C5695" s="2" t="s">
        <v>213</v>
      </c>
    </row>
    <row r="5696">
      <c r="A5696" s="1">
        <v>43591.6013483912</v>
      </c>
      <c r="B5696" s="2">
        <v>603.0</v>
      </c>
      <c r="C5696" s="2" t="s">
        <v>40</v>
      </c>
    </row>
    <row r="5697">
      <c r="A5697" s="1">
        <v>43591.6035352662</v>
      </c>
      <c r="B5697" s="2">
        <v>260.0</v>
      </c>
      <c r="C5697" s="2" t="s">
        <v>67</v>
      </c>
    </row>
    <row r="5698">
      <c r="A5698" s="1">
        <v>43591.60375643519</v>
      </c>
      <c r="B5698" s="3" t="s">
        <v>119</v>
      </c>
      <c r="C5698" s="2" t="s">
        <v>120</v>
      </c>
    </row>
    <row r="5699">
      <c r="A5699" s="1">
        <v>43591.60470261574</v>
      </c>
      <c r="B5699" s="3" t="s">
        <v>117</v>
      </c>
      <c r="C5699" s="2" t="s">
        <v>118</v>
      </c>
    </row>
    <row r="5700">
      <c r="A5700" s="1">
        <v>43591.605930370366</v>
      </c>
      <c r="B5700" s="2">
        <v>709.0</v>
      </c>
      <c r="C5700" s="2" t="s">
        <v>20</v>
      </c>
      <c r="D5700" s="2" t="s">
        <v>5</v>
      </c>
    </row>
    <row r="5701">
      <c r="A5701" s="1">
        <v>43591.60611497685</v>
      </c>
      <c r="B5701" s="2">
        <v>675.0</v>
      </c>
      <c r="C5701" s="2" t="s">
        <v>222</v>
      </c>
    </row>
    <row r="5702">
      <c r="A5702" s="1">
        <v>43591.606187488425</v>
      </c>
      <c r="B5702" s="2">
        <v>677.0</v>
      </c>
      <c r="C5702" s="2" t="s">
        <v>224</v>
      </c>
    </row>
    <row r="5703">
      <c r="A5703" s="1">
        <v>43591.60644166666</v>
      </c>
      <c r="B5703" s="2">
        <v>208.0</v>
      </c>
      <c r="C5703" s="2" t="s">
        <v>182</v>
      </c>
    </row>
    <row r="5704">
      <c r="A5704" s="1">
        <v>43591.60669126158</v>
      </c>
      <c r="B5704" s="2">
        <v>52.0</v>
      </c>
      <c r="C5704" s="2" t="s">
        <v>41</v>
      </c>
    </row>
    <row r="5705">
      <c r="A5705" s="1">
        <v>43591.60698575231</v>
      </c>
      <c r="B5705" s="3" t="s">
        <v>88</v>
      </c>
      <c r="C5705" s="2" t="s">
        <v>89</v>
      </c>
    </row>
    <row r="5706">
      <c r="A5706" s="1">
        <v>43591.60711861111</v>
      </c>
      <c r="B5706" s="3" t="s">
        <v>51</v>
      </c>
      <c r="C5706" s="2" t="s">
        <v>52</v>
      </c>
    </row>
    <row r="5707">
      <c r="A5707" s="1">
        <v>43591.607251319445</v>
      </c>
      <c r="B5707" s="3" t="s">
        <v>98</v>
      </c>
      <c r="C5707" s="2" t="s">
        <v>99</v>
      </c>
    </row>
    <row r="5708">
      <c r="A5708" s="1">
        <v>43591.60781716435</v>
      </c>
      <c r="B5708" s="2">
        <v>126.0</v>
      </c>
      <c r="C5708" s="2" t="s">
        <v>87</v>
      </c>
    </row>
    <row r="5709">
      <c r="A5709" s="1">
        <v>43591.60794931713</v>
      </c>
      <c r="B5709" s="3" t="s">
        <v>22</v>
      </c>
      <c r="C5709" s="2" t="s">
        <v>23</v>
      </c>
    </row>
    <row r="5710">
      <c r="A5710" s="1">
        <v>43591.608746875005</v>
      </c>
      <c r="B5710" s="2">
        <v>663.0</v>
      </c>
      <c r="C5710" s="2" t="s">
        <v>109</v>
      </c>
    </row>
    <row r="5711">
      <c r="A5711" s="1">
        <v>43591.60918694444</v>
      </c>
      <c r="B5711" s="2">
        <v>740.0</v>
      </c>
      <c r="C5711" s="2" t="s">
        <v>221</v>
      </c>
      <c r="D5711" s="2" t="s">
        <v>5</v>
      </c>
    </row>
    <row r="5712">
      <c r="A5712" s="1">
        <v>43591.609812800925</v>
      </c>
      <c r="B5712" s="2">
        <v>210.0</v>
      </c>
      <c r="C5712" s="2" t="s">
        <v>64</v>
      </c>
    </row>
    <row r="5713">
      <c r="A5713" s="1">
        <v>43591.61021126158</v>
      </c>
      <c r="B5713" s="2">
        <v>716.0</v>
      </c>
      <c r="C5713" s="2" t="s">
        <v>123</v>
      </c>
      <c r="D5713" s="2" t="s">
        <v>5</v>
      </c>
    </row>
    <row r="5714">
      <c r="A5714" s="1">
        <v>43591.6103637037</v>
      </c>
      <c r="B5714" s="2">
        <v>702.0</v>
      </c>
      <c r="C5714" s="2" t="s">
        <v>96</v>
      </c>
      <c r="D5714" s="2" t="s">
        <v>5</v>
      </c>
    </row>
    <row r="5715">
      <c r="A5715" s="1">
        <v>43591.61053760417</v>
      </c>
      <c r="B5715" s="2">
        <v>726.0</v>
      </c>
      <c r="C5715" s="2" t="s">
        <v>101</v>
      </c>
      <c r="D5715" s="2" t="s">
        <v>5</v>
      </c>
    </row>
    <row r="5716">
      <c r="A5716" s="1">
        <v>43591.61060400463</v>
      </c>
      <c r="B5716" s="2">
        <v>723.0</v>
      </c>
      <c r="C5716" s="2" t="s">
        <v>84</v>
      </c>
      <c r="D5716" s="2" t="s">
        <v>5</v>
      </c>
    </row>
    <row r="5717">
      <c r="A5717" s="1">
        <v>43591.61082826389</v>
      </c>
      <c r="B5717" s="2">
        <v>710.0</v>
      </c>
      <c r="C5717" s="2" t="s">
        <v>21</v>
      </c>
      <c r="D5717" s="2" t="s">
        <v>5</v>
      </c>
    </row>
    <row r="5718">
      <c r="A5718" s="1">
        <v>43591.61090505787</v>
      </c>
      <c r="B5718" s="2">
        <v>713.0</v>
      </c>
      <c r="C5718" s="2" t="s">
        <v>121</v>
      </c>
      <c r="D5718" s="2" t="s">
        <v>5</v>
      </c>
    </row>
    <row r="5719">
      <c r="A5719" s="1">
        <v>43591.610987858796</v>
      </c>
      <c r="B5719" s="2">
        <v>714.0</v>
      </c>
      <c r="C5719" s="2" t="s">
        <v>122</v>
      </c>
      <c r="D5719" s="2" t="s">
        <v>5</v>
      </c>
    </row>
    <row r="5720">
      <c r="A5720" s="1">
        <v>43591.656625185184</v>
      </c>
      <c r="B5720" s="3" t="s">
        <v>22</v>
      </c>
      <c r="C5720" s="2" t="s">
        <v>23</v>
      </c>
    </row>
    <row r="5721">
      <c r="A5721" s="1">
        <v>43591.65681743056</v>
      </c>
      <c r="B5721" s="3" t="s">
        <v>111</v>
      </c>
      <c r="C5721" s="2" t="s">
        <v>112</v>
      </c>
    </row>
    <row r="5722">
      <c r="A5722" s="1">
        <v>43591.656934756946</v>
      </c>
      <c r="B5722" s="2">
        <v>650.0</v>
      </c>
      <c r="C5722" s="2" t="s">
        <v>213</v>
      </c>
    </row>
    <row r="5723">
      <c r="A5723" s="1">
        <v>43591.65901833333</v>
      </c>
      <c r="C5723" s="2" t="s">
        <v>19</v>
      </c>
    </row>
    <row r="5724">
      <c r="A5724" s="1">
        <v>43591.659476643516</v>
      </c>
      <c r="B5724" s="2">
        <v>607.0</v>
      </c>
      <c r="C5724" s="2" t="s">
        <v>68</v>
      </c>
    </row>
    <row r="5725">
      <c r="A5725" s="1">
        <v>43591.66058319445</v>
      </c>
      <c r="B5725" s="3" t="s">
        <v>22</v>
      </c>
      <c r="C5725" s="2" t="s">
        <v>23</v>
      </c>
    </row>
    <row r="5726">
      <c r="A5726" s="1">
        <v>43591.66123896991</v>
      </c>
      <c r="B5726" s="3" t="s">
        <v>22</v>
      </c>
      <c r="C5726" s="2" t="s">
        <v>23</v>
      </c>
    </row>
    <row r="5727">
      <c r="A5727" s="1">
        <v>43591.66347300926</v>
      </c>
      <c r="B5727" s="3" t="s">
        <v>22</v>
      </c>
      <c r="C5727" s="2" t="s">
        <v>23</v>
      </c>
    </row>
    <row r="5728">
      <c r="A5728" s="1">
        <v>43591.663655868055</v>
      </c>
      <c r="B5728" s="3" t="s">
        <v>111</v>
      </c>
      <c r="C5728" s="2" t="s">
        <v>112</v>
      </c>
    </row>
    <row r="5729">
      <c r="A5729" s="1">
        <v>43591.66400462963</v>
      </c>
      <c r="B5729" s="2">
        <v>650.0</v>
      </c>
      <c r="C5729" s="2" t="s">
        <v>213</v>
      </c>
    </row>
    <row r="5730">
      <c r="A5730" s="1">
        <v>43591.668050821754</v>
      </c>
      <c r="B5730" s="2">
        <v>612.0</v>
      </c>
      <c r="C5730" s="2" t="s">
        <v>214</v>
      </c>
    </row>
    <row r="5731">
      <c r="A5731" s="1">
        <v>43591.66856104167</v>
      </c>
      <c r="B5731" s="3" t="s">
        <v>22</v>
      </c>
      <c r="C5731" s="2" t="s">
        <v>23</v>
      </c>
    </row>
    <row r="5732">
      <c r="A5732" s="1">
        <v>43591.66875341436</v>
      </c>
      <c r="B5732" s="3" t="s">
        <v>111</v>
      </c>
      <c r="C5732" s="2" t="s">
        <v>112</v>
      </c>
    </row>
    <row r="5733">
      <c r="A5733" s="1">
        <v>43591.66904766204</v>
      </c>
      <c r="B5733" s="2">
        <v>603.0</v>
      </c>
      <c r="C5733" s="2" t="s">
        <v>40</v>
      </c>
    </row>
    <row r="5734">
      <c r="A5734" s="1">
        <v>43591.669280925926</v>
      </c>
      <c r="B5734" s="3" t="s">
        <v>78</v>
      </c>
      <c r="C5734" s="2" t="s">
        <v>79</v>
      </c>
    </row>
    <row r="5735">
      <c r="A5735" s="1">
        <v>43591.67349136574</v>
      </c>
      <c r="B5735" s="3" t="s">
        <v>44</v>
      </c>
      <c r="C5735" s="2" t="s">
        <v>45</v>
      </c>
    </row>
    <row r="5736">
      <c r="A5736" s="1">
        <v>43591.67458630787</v>
      </c>
      <c r="C5736" s="2" t="s">
        <v>19</v>
      </c>
    </row>
    <row r="5737">
      <c r="A5737" s="1">
        <v>43591.674871678246</v>
      </c>
      <c r="B5737" s="2">
        <v>193.0</v>
      </c>
      <c r="C5737" s="2" t="s">
        <v>30</v>
      </c>
    </row>
    <row r="5738">
      <c r="A5738" s="1">
        <v>43591.67524592593</v>
      </c>
      <c r="B5738" s="3" t="s">
        <v>11</v>
      </c>
      <c r="C5738" s="2" t="s">
        <v>12</v>
      </c>
    </row>
    <row r="5739">
      <c r="A5739" s="1">
        <v>43591.67552402778</v>
      </c>
      <c r="B5739" s="2">
        <v>260.0</v>
      </c>
      <c r="C5739" s="2" t="s">
        <v>67</v>
      </c>
    </row>
    <row r="5740">
      <c r="A5740" s="1">
        <v>43591.67571872685</v>
      </c>
      <c r="B5740" s="3" t="s">
        <v>117</v>
      </c>
      <c r="C5740" s="2" t="s">
        <v>118</v>
      </c>
    </row>
    <row r="5741">
      <c r="A5741" s="1">
        <v>43591.67584189815</v>
      </c>
      <c r="B5741" s="3" t="s">
        <v>119</v>
      </c>
      <c r="C5741" s="2" t="s">
        <v>120</v>
      </c>
    </row>
    <row r="5742">
      <c r="A5742" s="1">
        <v>43591.6759962037</v>
      </c>
      <c r="B5742" s="2">
        <v>709.0</v>
      </c>
      <c r="C5742" s="2" t="s">
        <v>20</v>
      </c>
      <c r="D5742" s="2" t="s">
        <v>5</v>
      </c>
    </row>
    <row r="5743">
      <c r="A5743" s="1">
        <v>43591.676206759264</v>
      </c>
      <c r="B5743" s="2">
        <v>677.0</v>
      </c>
      <c r="C5743" s="2" t="s">
        <v>224</v>
      </c>
    </row>
    <row r="5744">
      <c r="A5744" s="1">
        <v>43591.67636439815</v>
      </c>
      <c r="B5744" s="2">
        <v>675.0</v>
      </c>
      <c r="C5744" s="2" t="s">
        <v>222</v>
      </c>
    </row>
    <row r="5745">
      <c r="A5745" s="1">
        <v>43591.67648069444</v>
      </c>
      <c r="B5745" s="2">
        <v>208.0</v>
      </c>
      <c r="C5745" s="2" t="s">
        <v>182</v>
      </c>
    </row>
    <row r="5746">
      <c r="A5746" s="1">
        <v>43591.6768756713</v>
      </c>
      <c r="B5746" s="2">
        <v>52.0</v>
      </c>
      <c r="C5746" s="2" t="s">
        <v>41</v>
      </c>
    </row>
    <row r="5747">
      <c r="A5747" s="1">
        <v>43591.677174375</v>
      </c>
      <c r="B5747" s="3" t="s">
        <v>88</v>
      </c>
      <c r="C5747" s="2" t="s">
        <v>89</v>
      </c>
    </row>
    <row r="5748">
      <c r="A5748" s="1">
        <v>43591.67731</v>
      </c>
      <c r="B5748" s="3" t="s">
        <v>51</v>
      </c>
      <c r="C5748" s="2" t="s">
        <v>52</v>
      </c>
    </row>
    <row r="5749">
      <c r="A5749" s="1">
        <v>43591.67762366898</v>
      </c>
      <c r="B5749" s="3" t="s">
        <v>98</v>
      </c>
      <c r="C5749" s="2" t="s">
        <v>99</v>
      </c>
    </row>
    <row r="5750">
      <c r="A5750" s="1">
        <v>43591.677794664356</v>
      </c>
      <c r="B5750" s="2">
        <v>126.0</v>
      </c>
      <c r="C5750" s="2" t="s">
        <v>87</v>
      </c>
    </row>
    <row r="5751">
      <c r="A5751" s="1">
        <v>43591.6784471875</v>
      </c>
      <c r="B5751" s="2">
        <v>229.0</v>
      </c>
      <c r="C5751" s="2" t="s">
        <v>86</v>
      </c>
    </row>
    <row r="5752">
      <c r="A5752" s="1">
        <v>43591.67930497685</v>
      </c>
      <c r="B5752" s="2">
        <v>663.0</v>
      </c>
      <c r="C5752" s="2" t="s">
        <v>109</v>
      </c>
    </row>
    <row r="5753">
      <c r="A5753" s="1">
        <v>43591.67975408565</v>
      </c>
      <c r="B5753" s="2">
        <v>210.0</v>
      </c>
      <c r="C5753" s="2" t="s">
        <v>64</v>
      </c>
    </row>
    <row r="5754">
      <c r="A5754" s="1">
        <v>43591.67988927083</v>
      </c>
      <c r="B5754" s="2">
        <v>716.0</v>
      </c>
      <c r="C5754" s="2" t="s">
        <v>123</v>
      </c>
      <c r="D5754" s="2" t="s">
        <v>5</v>
      </c>
    </row>
    <row r="5755">
      <c r="A5755" s="1">
        <v>43591.68021663194</v>
      </c>
      <c r="B5755" s="2">
        <v>702.0</v>
      </c>
      <c r="C5755" s="2" t="s">
        <v>96</v>
      </c>
      <c r="D5755" s="2" t="s">
        <v>5</v>
      </c>
    </row>
    <row r="5756">
      <c r="A5756" s="1">
        <v>43591.68037565972</v>
      </c>
      <c r="B5756" s="2">
        <v>726.0</v>
      </c>
      <c r="C5756" s="2" t="s">
        <v>101</v>
      </c>
      <c r="D5756" s="2" t="s">
        <v>5</v>
      </c>
    </row>
    <row r="5757">
      <c r="A5757" s="1">
        <v>43591.68050971065</v>
      </c>
      <c r="B5757" s="2">
        <v>723.0</v>
      </c>
      <c r="C5757" s="2" t="s">
        <v>84</v>
      </c>
      <c r="D5757" s="2" t="s">
        <v>5</v>
      </c>
    </row>
    <row r="5758">
      <c r="A5758" s="1">
        <v>43591.68066435185</v>
      </c>
      <c r="B5758" s="2">
        <v>723.0</v>
      </c>
      <c r="C5758" s="2" t="s">
        <v>84</v>
      </c>
      <c r="D5758" s="2" t="s">
        <v>5</v>
      </c>
    </row>
    <row r="5759">
      <c r="A5759" s="1">
        <v>43591.68088006944</v>
      </c>
      <c r="B5759" s="2">
        <v>710.0</v>
      </c>
      <c r="C5759" s="2" t="s">
        <v>21</v>
      </c>
      <c r="D5759" s="2" t="s">
        <v>5</v>
      </c>
    </row>
    <row r="5760">
      <c r="A5760" s="1">
        <v>43591.68131702546</v>
      </c>
      <c r="B5760" s="2">
        <v>713.0</v>
      </c>
      <c r="C5760" s="2" t="s">
        <v>121</v>
      </c>
      <c r="D5760" s="2" t="s">
        <v>5</v>
      </c>
    </row>
    <row r="5761">
      <c r="A5761" s="1">
        <v>43591.681360682865</v>
      </c>
      <c r="B5761" s="2">
        <v>714.0</v>
      </c>
      <c r="C5761" s="2" t="s">
        <v>122</v>
      </c>
      <c r="D5761" s="2" t="s">
        <v>5</v>
      </c>
    </row>
    <row r="5762">
      <c r="A5762" s="1">
        <v>43591.68152052083</v>
      </c>
      <c r="B5762" s="2">
        <v>740.0</v>
      </c>
      <c r="C5762" s="2" t="s">
        <v>221</v>
      </c>
      <c r="D5762" s="2" t="s">
        <v>5</v>
      </c>
    </row>
    <row r="5763">
      <c r="A5763" s="1">
        <v>43591.68235293981</v>
      </c>
      <c r="B5763" s="2">
        <v>209.0</v>
      </c>
      <c r="C5763" s="2" t="s">
        <v>219</v>
      </c>
    </row>
    <row r="5764">
      <c r="A5764" s="1">
        <v>43591.682848136574</v>
      </c>
      <c r="C5764" s="2" t="s">
        <v>19</v>
      </c>
    </row>
    <row r="5765">
      <c r="A5765" s="1">
        <v>43594.381088055554</v>
      </c>
      <c r="B5765" s="2">
        <v>734.0</v>
      </c>
      <c r="C5765" s="2" t="s">
        <v>63</v>
      </c>
      <c r="D5765" s="2" t="s">
        <v>5</v>
      </c>
    </row>
    <row r="5766">
      <c r="A5766" s="1">
        <v>43594.38123216435</v>
      </c>
      <c r="B5766" s="2">
        <v>259.0</v>
      </c>
      <c r="C5766" s="2" t="s">
        <v>66</v>
      </c>
    </row>
    <row r="5767">
      <c r="A5767" s="1">
        <v>43594.38129020833</v>
      </c>
      <c r="B5767" s="2">
        <v>734.0</v>
      </c>
      <c r="C5767" s="2" t="s">
        <v>63</v>
      </c>
      <c r="D5767" s="2" t="s">
        <v>5</v>
      </c>
    </row>
    <row r="5768">
      <c r="A5768" s="1">
        <v>43597.406297037036</v>
      </c>
      <c r="B5768" s="2">
        <v>167.0</v>
      </c>
      <c r="C5768" s="2" t="s">
        <v>39</v>
      </c>
    </row>
    <row r="5769">
      <c r="A5769" s="1">
        <v>43597.42167480324</v>
      </c>
      <c r="B5769" s="2">
        <v>655.0</v>
      </c>
      <c r="C5769" s="2" t="s">
        <v>17</v>
      </c>
    </row>
    <row r="5770">
      <c r="A5770" s="1">
        <v>43597.42167793981</v>
      </c>
      <c r="B5770" s="2">
        <v>735.0</v>
      </c>
      <c r="C5770" s="2" t="s">
        <v>37</v>
      </c>
      <c r="D5770" s="2" t="s">
        <v>5</v>
      </c>
    </row>
    <row r="5771">
      <c r="A5771" s="1">
        <v>43597.42176359954</v>
      </c>
      <c r="B5771" s="2">
        <v>655.0</v>
      </c>
      <c r="C5771" s="2" t="s">
        <v>17</v>
      </c>
    </row>
    <row r="5772">
      <c r="A5772" s="1">
        <v>43597.42180069444</v>
      </c>
      <c r="B5772" s="2">
        <v>655.0</v>
      </c>
      <c r="C5772" s="2" t="s">
        <v>17</v>
      </c>
    </row>
    <row r="5773">
      <c r="A5773" s="1">
        <v>43597.422275289355</v>
      </c>
      <c r="B5773" s="2">
        <v>262.0</v>
      </c>
      <c r="C5773" s="2" t="s">
        <v>28</v>
      </c>
    </row>
    <row r="5774">
      <c r="A5774" s="1">
        <v>43597.42250940972</v>
      </c>
      <c r="B5774" s="2">
        <v>723.0</v>
      </c>
      <c r="C5774" s="2" t="s">
        <v>84</v>
      </c>
      <c r="D5774" s="2" t="s">
        <v>5</v>
      </c>
    </row>
    <row r="5775">
      <c r="A5775" s="1">
        <v>43597.42271074074</v>
      </c>
      <c r="B5775" s="3" t="s">
        <v>78</v>
      </c>
      <c r="C5775" s="2" t="s">
        <v>79</v>
      </c>
    </row>
    <row r="5776">
      <c r="A5776" s="1">
        <v>43597.422917199074</v>
      </c>
      <c r="B5776" s="3" t="s">
        <v>82</v>
      </c>
      <c r="C5776" s="2" t="s">
        <v>83</v>
      </c>
    </row>
    <row r="5777">
      <c r="A5777" s="1">
        <v>43597.429503506944</v>
      </c>
      <c r="B5777" s="2">
        <v>244.0</v>
      </c>
      <c r="C5777" s="2" t="s">
        <v>38</v>
      </c>
    </row>
    <row r="5778">
      <c r="A5778" s="1">
        <v>43597.4295931713</v>
      </c>
      <c r="B5778" s="2">
        <v>705.0</v>
      </c>
      <c r="C5778" s="2" t="s">
        <v>168</v>
      </c>
      <c r="D5778" s="2" t="s">
        <v>5</v>
      </c>
    </row>
    <row r="5779">
      <c r="A5779" s="1">
        <v>43597.42974723379</v>
      </c>
      <c r="B5779" s="2">
        <v>113.0</v>
      </c>
      <c r="C5779" s="2" t="s">
        <v>29</v>
      </c>
    </row>
    <row r="5780">
      <c r="A5780" s="1">
        <v>43597.430138275464</v>
      </c>
      <c r="B5780" s="2">
        <v>257.0</v>
      </c>
      <c r="C5780" s="2" t="s">
        <v>27</v>
      </c>
    </row>
    <row r="5781">
      <c r="A5781" s="1">
        <v>43597.43056334491</v>
      </c>
      <c r="B5781" s="2">
        <v>607.0</v>
      </c>
      <c r="C5781" s="2" t="s">
        <v>68</v>
      </c>
    </row>
    <row r="5782">
      <c r="A5782" s="1">
        <v>43597.430756354166</v>
      </c>
      <c r="B5782" s="2">
        <v>740.0</v>
      </c>
      <c r="C5782" s="2" t="s">
        <v>221</v>
      </c>
      <c r="D5782" s="2" t="s">
        <v>5</v>
      </c>
    </row>
    <row r="5783">
      <c r="A5783" s="1">
        <v>43597.43086008102</v>
      </c>
      <c r="B5783" s="2">
        <v>734.0</v>
      </c>
      <c r="C5783" s="2" t="s">
        <v>63</v>
      </c>
      <c r="D5783" s="2" t="s">
        <v>5</v>
      </c>
    </row>
    <row r="5784">
      <c r="A5784" s="1">
        <v>43597.43093685185</v>
      </c>
      <c r="B5784" s="2">
        <v>259.0</v>
      </c>
      <c r="C5784" s="2" t="s">
        <v>66</v>
      </c>
    </row>
    <row r="5785">
      <c r="A5785" s="1">
        <v>43597.43099126157</v>
      </c>
      <c r="B5785" s="2">
        <v>260.0</v>
      </c>
      <c r="C5785" s="2" t="s">
        <v>67</v>
      </c>
    </row>
    <row r="5786">
      <c r="A5786" s="1">
        <v>43597.431052685184</v>
      </c>
      <c r="B5786" s="2">
        <v>267.0</v>
      </c>
      <c r="C5786" s="2" t="s">
        <v>115</v>
      </c>
    </row>
    <row r="5787">
      <c r="A5787" s="1">
        <v>43597.43212506945</v>
      </c>
      <c r="B5787" s="2">
        <v>165.0</v>
      </c>
      <c r="C5787" s="2" t="s">
        <v>50</v>
      </c>
    </row>
    <row r="5788">
      <c r="A5788" s="1">
        <v>43597.43231122685</v>
      </c>
      <c r="B5788" s="2">
        <v>618.0</v>
      </c>
      <c r="C5788" s="2" t="s">
        <v>147</v>
      </c>
    </row>
    <row r="5789">
      <c r="A5789" s="1">
        <v>43597.43378789352</v>
      </c>
      <c r="B5789" s="2">
        <v>175.0</v>
      </c>
      <c r="C5789" s="2" t="s">
        <v>69</v>
      </c>
    </row>
    <row r="5790">
      <c r="A5790" s="1">
        <v>43597.43416483796</v>
      </c>
      <c r="B5790" s="3" t="s">
        <v>55</v>
      </c>
      <c r="C5790" s="2" t="s">
        <v>56</v>
      </c>
    </row>
    <row r="5791">
      <c r="A5791" s="1">
        <v>43597.4342783912</v>
      </c>
      <c r="B5791" s="2">
        <v>613.0</v>
      </c>
      <c r="C5791" s="2" t="s">
        <v>124</v>
      </c>
    </row>
    <row r="5792">
      <c r="A5792" s="1">
        <v>43597.43444483796</v>
      </c>
      <c r="B5792" s="2">
        <v>193.0</v>
      </c>
      <c r="C5792" s="2" t="s">
        <v>30</v>
      </c>
    </row>
    <row r="5793">
      <c r="A5793" s="1">
        <v>43597.434720150464</v>
      </c>
      <c r="B5793" s="2">
        <v>707.0</v>
      </c>
      <c r="C5793" s="2" t="s">
        <v>57</v>
      </c>
      <c r="D5793" s="2" t="s">
        <v>5</v>
      </c>
    </row>
    <row r="5794">
      <c r="A5794" s="1">
        <v>43597.43473059028</v>
      </c>
      <c r="B5794" s="3" t="s">
        <v>126</v>
      </c>
      <c r="C5794" s="2" t="s">
        <v>127</v>
      </c>
    </row>
    <row r="5795">
      <c r="A5795" s="1">
        <v>43597.434764861115</v>
      </c>
      <c r="B5795" s="3" t="s">
        <v>159</v>
      </c>
      <c r="C5795" s="2" t="s">
        <v>160</v>
      </c>
    </row>
    <row r="5796">
      <c r="A5796" s="1">
        <v>43597.434790416664</v>
      </c>
      <c r="B5796" s="3" t="s">
        <v>11</v>
      </c>
      <c r="C5796" s="2" t="s">
        <v>12</v>
      </c>
    </row>
    <row r="5797">
      <c r="A5797" s="1">
        <v>43597.434807060185</v>
      </c>
      <c r="B5797" s="2">
        <v>52.0</v>
      </c>
      <c r="C5797" s="2" t="s">
        <v>41</v>
      </c>
    </row>
    <row r="5798">
      <c r="A5798" s="1">
        <v>43597.43494548611</v>
      </c>
      <c r="B5798" s="2">
        <v>716.0</v>
      </c>
      <c r="C5798" s="2" t="s">
        <v>123</v>
      </c>
      <c r="D5798" s="2" t="s">
        <v>5</v>
      </c>
    </row>
    <row r="5799">
      <c r="A5799" s="1">
        <v>43597.43500774306</v>
      </c>
      <c r="B5799" s="2">
        <v>214.0</v>
      </c>
      <c r="C5799" s="2" t="s">
        <v>47</v>
      </c>
    </row>
    <row r="5800">
      <c r="A5800" s="1">
        <v>43597.435066770835</v>
      </c>
      <c r="B5800" s="2">
        <v>229.0</v>
      </c>
      <c r="C5800" s="2" t="s">
        <v>86</v>
      </c>
    </row>
    <row r="5801">
      <c r="A5801" s="1">
        <v>43597.43519055555</v>
      </c>
      <c r="B5801" s="2">
        <v>611.0</v>
      </c>
      <c r="C5801" s="2" t="s">
        <v>143</v>
      </c>
    </row>
    <row r="5802">
      <c r="A5802" s="1">
        <v>43597.43571457176</v>
      </c>
      <c r="B5802" s="3" t="s">
        <v>55</v>
      </c>
      <c r="C5802" s="2" t="s">
        <v>56</v>
      </c>
    </row>
    <row r="5803">
      <c r="A5803" s="1">
        <v>43597.436002118055</v>
      </c>
      <c r="B5803" s="2">
        <v>267.0</v>
      </c>
      <c r="C5803" s="2" t="s">
        <v>115</v>
      </c>
    </row>
    <row r="5804">
      <c r="A5804" s="1">
        <v>43597.43623947917</v>
      </c>
      <c r="B5804" s="3" t="s">
        <v>98</v>
      </c>
      <c r="C5804" s="2" t="s">
        <v>99</v>
      </c>
    </row>
    <row r="5805">
      <c r="A5805" s="1">
        <v>43597.436473078706</v>
      </c>
      <c r="B5805" s="2">
        <v>147.0</v>
      </c>
      <c r="C5805" s="2" t="s">
        <v>100</v>
      </c>
    </row>
    <row r="5806">
      <c r="A5806" s="1">
        <v>43597.43677266204</v>
      </c>
      <c r="B5806" s="2">
        <v>667.0</v>
      </c>
      <c r="C5806" s="2" t="s">
        <v>73</v>
      </c>
    </row>
    <row r="5807">
      <c r="A5807" s="1">
        <v>43597.436868993056</v>
      </c>
      <c r="B5807" s="2">
        <v>706.0</v>
      </c>
      <c r="C5807" s="2" t="s">
        <v>149</v>
      </c>
      <c r="D5807" s="2" t="s">
        <v>5</v>
      </c>
    </row>
    <row r="5808">
      <c r="A5808" s="1">
        <v>43597.43691586806</v>
      </c>
      <c r="B5808" s="2">
        <v>147.0</v>
      </c>
      <c r="C5808" s="2" t="s">
        <v>100</v>
      </c>
    </row>
    <row r="5809">
      <c r="A5809" s="1">
        <v>43597.436954282406</v>
      </c>
      <c r="B5809" s="3" t="s">
        <v>150</v>
      </c>
      <c r="C5809" s="2" t="s">
        <v>151</v>
      </c>
    </row>
    <row r="5810">
      <c r="A5810" s="1">
        <v>43597.437085972226</v>
      </c>
      <c r="B5810" s="2">
        <v>726.0</v>
      </c>
      <c r="C5810" s="2" t="s">
        <v>101</v>
      </c>
      <c r="D5810" s="2" t="s">
        <v>5</v>
      </c>
    </row>
    <row r="5811">
      <c r="A5811" s="1">
        <v>43597.43710951389</v>
      </c>
      <c r="B5811" s="2">
        <v>215.0</v>
      </c>
      <c r="C5811" s="2" t="s">
        <v>137</v>
      </c>
    </row>
    <row r="5812">
      <c r="A5812" s="1">
        <v>43597.43725650463</v>
      </c>
      <c r="B5812" s="3" t="s">
        <v>159</v>
      </c>
      <c r="C5812" s="2" t="s">
        <v>160</v>
      </c>
    </row>
    <row r="5813">
      <c r="A5813" s="1">
        <v>43597.43725891203</v>
      </c>
      <c r="B5813" s="2">
        <v>726.0</v>
      </c>
      <c r="C5813" s="2" t="s">
        <v>101</v>
      </c>
      <c r="D5813" s="2" t="s">
        <v>5</v>
      </c>
    </row>
    <row r="5814">
      <c r="A5814" s="1">
        <v>43597.437399884264</v>
      </c>
      <c r="B5814" s="2">
        <v>732.0</v>
      </c>
      <c r="C5814" s="2" t="s">
        <v>102</v>
      </c>
      <c r="D5814" s="2" t="s">
        <v>5</v>
      </c>
    </row>
    <row r="5815">
      <c r="A5815" s="1">
        <v>43597.43756423611</v>
      </c>
      <c r="B5815" s="2">
        <v>733.0</v>
      </c>
      <c r="C5815" s="2" t="s">
        <v>110</v>
      </c>
      <c r="D5815" s="2" t="s">
        <v>5</v>
      </c>
    </row>
    <row r="5816">
      <c r="A5816" s="1">
        <v>43597.43757137732</v>
      </c>
      <c r="B5816" s="2">
        <v>667.0</v>
      </c>
      <c r="C5816" s="2" t="s">
        <v>73</v>
      </c>
    </row>
    <row r="5817">
      <c r="A5817" s="1">
        <v>43597.43796498842</v>
      </c>
      <c r="B5817" s="2">
        <v>736.0</v>
      </c>
      <c r="C5817" s="2" t="s">
        <v>175</v>
      </c>
      <c r="D5817" s="2" t="s">
        <v>5</v>
      </c>
    </row>
    <row r="5818">
      <c r="A5818" s="1">
        <v>43597.437997245375</v>
      </c>
      <c r="B5818" s="2">
        <v>663.0</v>
      </c>
      <c r="C5818" s="2" t="s">
        <v>109</v>
      </c>
    </row>
    <row r="5819">
      <c r="A5819" s="1">
        <v>43597.43811362269</v>
      </c>
      <c r="B5819" s="2">
        <v>737.0</v>
      </c>
      <c r="C5819" s="2" t="s">
        <v>176</v>
      </c>
      <c r="D5819" s="2" t="s">
        <v>5</v>
      </c>
    </row>
    <row r="5820">
      <c r="A5820" s="1">
        <v>43597.438124340275</v>
      </c>
      <c r="B5820" s="3" t="s">
        <v>80</v>
      </c>
      <c r="C5820" s="2" t="s">
        <v>81</v>
      </c>
    </row>
    <row r="5821">
      <c r="A5821" s="1">
        <v>43597.43832412037</v>
      </c>
      <c r="B5821" s="2">
        <v>648.0</v>
      </c>
      <c r="C5821" s="2" t="s">
        <v>207</v>
      </c>
    </row>
    <row r="5822">
      <c r="A5822" s="1">
        <v>43597.43838482639</v>
      </c>
      <c r="B5822" s="2">
        <v>649.0</v>
      </c>
      <c r="C5822" s="2" t="s">
        <v>177</v>
      </c>
    </row>
    <row r="5823">
      <c r="A5823" s="1">
        <v>43597.43849547453</v>
      </c>
      <c r="B5823" s="3" t="s">
        <v>44</v>
      </c>
      <c r="C5823" s="2" t="s">
        <v>45</v>
      </c>
    </row>
    <row r="5824">
      <c r="A5824" s="1">
        <v>43597.43861953703</v>
      </c>
      <c r="B5824" s="2">
        <v>114.0</v>
      </c>
      <c r="C5824" s="2" t="s">
        <v>15</v>
      </c>
    </row>
    <row r="5825">
      <c r="A5825" s="1">
        <v>43597.43868486111</v>
      </c>
      <c r="B5825" s="3" t="s">
        <v>9</v>
      </c>
      <c r="C5825" s="2" t="s">
        <v>10</v>
      </c>
    </row>
    <row r="5826">
      <c r="A5826" s="1">
        <v>43597.43924927083</v>
      </c>
      <c r="B5826" s="2">
        <v>604.0</v>
      </c>
      <c r="C5826" s="2" t="s">
        <v>36</v>
      </c>
    </row>
    <row r="5827">
      <c r="A5827" s="1">
        <v>43597.43965388889</v>
      </c>
      <c r="B5827" s="2">
        <v>198.0</v>
      </c>
      <c r="C5827" s="2" t="s">
        <v>97</v>
      </c>
    </row>
    <row r="5828">
      <c r="A5828" s="1">
        <v>43597.43970203704</v>
      </c>
      <c r="B5828" s="2">
        <v>268.0</v>
      </c>
      <c r="C5828" s="2" t="s">
        <v>205</v>
      </c>
    </row>
    <row r="5829">
      <c r="A5829" s="1">
        <v>43597.43980447917</v>
      </c>
      <c r="B5829" s="2">
        <v>198.0</v>
      </c>
      <c r="C5829" s="2" t="s">
        <v>97</v>
      </c>
    </row>
    <row r="5830">
      <c r="A5830" s="1">
        <v>43597.43980931713</v>
      </c>
      <c r="B5830" s="2">
        <v>702.0</v>
      </c>
      <c r="C5830" s="2" t="s">
        <v>96</v>
      </c>
      <c r="D5830" s="2" t="s">
        <v>5</v>
      </c>
    </row>
    <row r="5831">
      <c r="A5831" s="1">
        <v>43597.4398500463</v>
      </c>
      <c r="B5831" s="2">
        <v>198.0</v>
      </c>
      <c r="C5831" s="2" t="s">
        <v>97</v>
      </c>
    </row>
    <row r="5832">
      <c r="A5832" s="1">
        <v>43597.44006006945</v>
      </c>
      <c r="B5832" s="3" t="s">
        <v>94</v>
      </c>
      <c r="C5832" s="2" t="s">
        <v>95</v>
      </c>
    </row>
    <row r="5833">
      <c r="A5833" s="1">
        <v>43597.44049793981</v>
      </c>
      <c r="B5833" s="3" t="s">
        <v>74</v>
      </c>
      <c r="C5833" s="2" t="s">
        <v>75</v>
      </c>
    </row>
    <row r="5834">
      <c r="A5834" s="1">
        <v>43597.44098452546</v>
      </c>
      <c r="B5834" s="2">
        <v>126.0</v>
      </c>
      <c r="C5834" s="2" t="s">
        <v>87</v>
      </c>
    </row>
    <row r="5835">
      <c r="A5835" s="1">
        <v>43597.44372027778</v>
      </c>
      <c r="B5835" s="2">
        <v>625.0</v>
      </c>
      <c r="C5835" s="2" t="s">
        <v>136</v>
      </c>
    </row>
    <row r="5836">
      <c r="A5836" s="1">
        <v>43597.44472944444</v>
      </c>
      <c r="B5836" s="2">
        <v>655.0</v>
      </c>
      <c r="C5836" s="2" t="s">
        <v>17</v>
      </c>
    </row>
    <row r="5837">
      <c r="A5837" s="1">
        <v>43597.44519780093</v>
      </c>
      <c r="B5837" s="2">
        <v>624.0</v>
      </c>
      <c r="C5837" s="2" t="s">
        <v>90</v>
      </c>
    </row>
    <row r="5838">
      <c r="A5838" s="1">
        <v>43597.445428067134</v>
      </c>
      <c r="B5838" s="2">
        <v>625.0</v>
      </c>
      <c r="C5838" s="2" t="s">
        <v>136</v>
      </c>
    </row>
    <row r="5839">
      <c r="A5839" s="1">
        <v>43597.44661803241</v>
      </c>
      <c r="B5839" s="3" t="s">
        <v>113</v>
      </c>
      <c r="C5839" s="2" t="s">
        <v>114</v>
      </c>
    </row>
    <row r="5840">
      <c r="A5840" s="1">
        <v>43597.446791979164</v>
      </c>
      <c r="B5840" s="2">
        <v>126.0</v>
      </c>
      <c r="C5840" s="2" t="s">
        <v>87</v>
      </c>
    </row>
    <row r="5841">
      <c r="A5841" s="1">
        <v>43597.44697826389</v>
      </c>
      <c r="B5841" s="2">
        <v>101.0</v>
      </c>
      <c r="C5841" s="2" t="s">
        <v>108</v>
      </c>
    </row>
    <row r="5842">
      <c r="A5842" s="1">
        <v>43597.4471003588</v>
      </c>
      <c r="B5842" s="2">
        <v>719.0</v>
      </c>
      <c r="C5842" s="2" t="s">
        <v>106</v>
      </c>
      <c r="D5842" s="2" t="s">
        <v>5</v>
      </c>
    </row>
    <row r="5843">
      <c r="A5843" s="1">
        <v>43597.44719709491</v>
      </c>
      <c r="B5843" s="2">
        <v>718.0</v>
      </c>
      <c r="C5843" s="2" t="s">
        <v>105</v>
      </c>
      <c r="D5843" s="2" t="s">
        <v>5</v>
      </c>
    </row>
    <row r="5844">
      <c r="A5844" s="1">
        <v>43597.452839641206</v>
      </c>
      <c r="B5844" s="2">
        <v>238.0</v>
      </c>
      <c r="C5844" s="2" t="s">
        <v>35</v>
      </c>
    </row>
    <row r="5845">
      <c r="A5845" s="1">
        <v>43597.47857199074</v>
      </c>
      <c r="B5845" s="3" t="s">
        <v>42</v>
      </c>
      <c r="C5845" s="2" t="s">
        <v>43</v>
      </c>
    </row>
    <row r="5846">
      <c r="A5846" s="1">
        <v>43597.509154363426</v>
      </c>
      <c r="B5846" s="3" t="s">
        <v>117</v>
      </c>
      <c r="C5846" s="2" t="s">
        <v>118</v>
      </c>
    </row>
    <row r="5847">
      <c r="A5847" s="1">
        <v>43597.5093712963</v>
      </c>
      <c r="B5847" s="3" t="s">
        <v>119</v>
      </c>
      <c r="C5847" s="2" t="s">
        <v>120</v>
      </c>
    </row>
    <row r="5848">
      <c r="A5848" s="1">
        <v>43597.50954506945</v>
      </c>
      <c r="B5848" s="3" t="s">
        <v>13</v>
      </c>
      <c r="C5848" s="2" t="s">
        <v>14</v>
      </c>
    </row>
    <row r="5849">
      <c r="A5849" s="1">
        <v>43597.509745358795</v>
      </c>
      <c r="B5849" s="3" t="s">
        <v>103</v>
      </c>
      <c r="C5849" s="2" t="s">
        <v>104</v>
      </c>
    </row>
    <row r="5850">
      <c r="A5850" s="1">
        <v>43597.509907569445</v>
      </c>
      <c r="B5850" s="3" t="s">
        <v>51</v>
      </c>
      <c r="C5850" s="2" t="s">
        <v>52</v>
      </c>
    </row>
    <row r="5851">
      <c r="A5851" s="1">
        <v>43597.51011700231</v>
      </c>
      <c r="B5851" s="3" t="s">
        <v>32</v>
      </c>
      <c r="C5851" s="2" t="s">
        <v>33</v>
      </c>
    </row>
    <row r="5852">
      <c r="A5852" s="1">
        <v>43597.510491759254</v>
      </c>
      <c r="B5852" s="2">
        <v>124.0</v>
      </c>
      <c r="C5852" s="2" t="s">
        <v>107</v>
      </c>
    </row>
    <row r="5853">
      <c r="A5853" s="1">
        <v>43597.510718460646</v>
      </c>
      <c r="B5853" s="2">
        <v>160.0</v>
      </c>
      <c r="C5853" s="2" t="s">
        <v>154</v>
      </c>
    </row>
    <row r="5854">
      <c r="A5854" s="1">
        <v>43597.51185715278</v>
      </c>
      <c r="B5854" s="2">
        <v>675.0</v>
      </c>
      <c r="C5854" s="2" t="s">
        <v>222</v>
      </c>
    </row>
    <row r="5855">
      <c r="A5855" s="1">
        <v>43597.51220054398</v>
      </c>
      <c r="B5855" s="2">
        <v>708.0</v>
      </c>
      <c r="C5855" s="2" t="s">
        <v>4</v>
      </c>
      <c r="D5855" s="2" t="s">
        <v>5</v>
      </c>
    </row>
    <row r="5856">
      <c r="A5856" s="1">
        <v>43597.51233261574</v>
      </c>
      <c r="B5856" s="2">
        <v>709.0</v>
      </c>
      <c r="C5856" s="2" t="s">
        <v>20</v>
      </c>
      <c r="D5856" s="2" t="s">
        <v>5</v>
      </c>
    </row>
    <row r="5857">
      <c r="A5857" s="1">
        <v>43597.51244788195</v>
      </c>
      <c r="B5857" s="2">
        <v>710.0</v>
      </c>
      <c r="C5857" s="2" t="s">
        <v>21</v>
      </c>
      <c r="D5857" s="2" t="s">
        <v>5</v>
      </c>
    </row>
    <row r="5858">
      <c r="A5858" s="1">
        <v>43597.51258844907</v>
      </c>
      <c r="B5858" s="2">
        <v>713.0</v>
      </c>
      <c r="C5858" s="2" t="s">
        <v>121</v>
      </c>
      <c r="D5858" s="2" t="s">
        <v>5</v>
      </c>
    </row>
    <row r="5859">
      <c r="A5859" s="1">
        <v>43597.51266768519</v>
      </c>
      <c r="B5859" s="2">
        <v>714.0</v>
      </c>
      <c r="C5859" s="2" t="s">
        <v>122</v>
      </c>
      <c r="D5859" s="2" t="s">
        <v>5</v>
      </c>
    </row>
    <row r="5860">
      <c r="A5860" s="1">
        <v>43599.419772256944</v>
      </c>
      <c r="B5860" s="2">
        <v>602.0</v>
      </c>
      <c r="C5860" s="2" t="s">
        <v>131</v>
      </c>
    </row>
    <row r="5861">
      <c r="A5861" s="1">
        <v>43599.42024898148</v>
      </c>
      <c r="B5861" s="2">
        <v>720.0</v>
      </c>
      <c r="C5861" s="2" t="s">
        <v>155</v>
      </c>
      <c r="D5861" s="2" t="s">
        <v>5</v>
      </c>
    </row>
    <row r="5862">
      <c r="A5862" s="1">
        <v>43599.42140229167</v>
      </c>
      <c r="B5862" s="2">
        <v>721.0</v>
      </c>
      <c r="C5862" s="2" t="s">
        <v>156</v>
      </c>
      <c r="D5862" s="2" t="s">
        <v>5</v>
      </c>
    </row>
    <row r="5863">
      <c r="A5863" s="1">
        <v>43599.421839421295</v>
      </c>
      <c r="B5863" s="2">
        <v>729.0</v>
      </c>
      <c r="C5863" s="2" t="s">
        <v>54</v>
      </c>
      <c r="D5863" s="2" t="s">
        <v>5</v>
      </c>
    </row>
    <row r="5864">
      <c r="A5864" s="1">
        <v>43599.42229290509</v>
      </c>
      <c r="B5864" s="2">
        <v>701.0</v>
      </c>
      <c r="C5864" s="2" t="s">
        <v>93</v>
      </c>
      <c r="D5864" s="2" t="s">
        <v>5</v>
      </c>
    </row>
    <row r="5865">
      <c r="A5865" s="1">
        <v>43599.42290971064</v>
      </c>
      <c r="B5865" s="2">
        <v>724.0</v>
      </c>
      <c r="C5865" s="2" t="s">
        <v>91</v>
      </c>
      <c r="D5865" s="2" t="s">
        <v>5</v>
      </c>
    </row>
    <row r="5866">
      <c r="A5866" s="1">
        <v>43599.42297630787</v>
      </c>
      <c r="B5866" s="2">
        <v>725.0</v>
      </c>
      <c r="C5866" s="2" t="s">
        <v>92</v>
      </c>
      <c r="D5866" s="2" t="s">
        <v>5</v>
      </c>
    </row>
    <row r="5867">
      <c r="A5867" s="1">
        <v>43602.585312256946</v>
      </c>
      <c r="B5867" s="2">
        <v>609.0</v>
      </c>
      <c r="C5867" s="2" t="s">
        <v>179</v>
      </c>
    </row>
    <row r="5868">
      <c r="A5868" s="1">
        <v>43602.58915626157</v>
      </c>
      <c r="B5868" s="2">
        <v>609.0</v>
      </c>
      <c r="C5868" s="2" t="s">
        <v>179</v>
      </c>
    </row>
    <row r="5869">
      <c r="A5869" s="1">
        <v>43602.58921604167</v>
      </c>
      <c r="B5869" s="2">
        <v>609.0</v>
      </c>
      <c r="C5869" s="2" t="s">
        <v>179</v>
      </c>
    </row>
    <row r="5870">
      <c r="A5870" s="1">
        <v>43602.58935283565</v>
      </c>
      <c r="B5870" s="2">
        <v>609.0</v>
      </c>
      <c r="C5870" s="2" t="s">
        <v>179</v>
      </c>
    </row>
    <row r="5871">
      <c r="A5871" s="1">
        <v>43602.61083917824</v>
      </c>
      <c r="B5871" s="2">
        <v>113.0</v>
      </c>
      <c r="C5871" s="2" t="s">
        <v>29</v>
      </c>
    </row>
    <row r="5872">
      <c r="A5872" s="1">
        <v>43602.61095431713</v>
      </c>
      <c r="B5872" s="2">
        <v>661.0</v>
      </c>
      <c r="C5872" s="2" t="s">
        <v>153</v>
      </c>
    </row>
    <row r="5873">
      <c r="A5873" s="1">
        <v>43602.61106405093</v>
      </c>
      <c r="B5873" s="2">
        <v>153.0</v>
      </c>
      <c r="C5873" s="2" t="s">
        <v>148</v>
      </c>
    </row>
    <row r="5874">
      <c r="A5874" s="1">
        <v>43602.611169606476</v>
      </c>
      <c r="B5874" s="2">
        <v>705.0</v>
      </c>
      <c r="C5874" s="2" t="s">
        <v>168</v>
      </c>
      <c r="D5874" s="2" t="s">
        <v>5</v>
      </c>
    </row>
    <row r="5875">
      <c r="A5875" s="1">
        <v>43602.611439479166</v>
      </c>
      <c r="B5875" s="2">
        <v>268.0</v>
      </c>
      <c r="C5875" s="2" t="s">
        <v>205</v>
      </c>
    </row>
    <row r="5876">
      <c r="A5876" s="1">
        <v>43602.61159777778</v>
      </c>
      <c r="C5876" s="2" t="s">
        <v>202</v>
      </c>
    </row>
    <row r="5877">
      <c r="A5877" s="1">
        <v>43604.402961388885</v>
      </c>
      <c r="B5877" s="2">
        <v>165.0</v>
      </c>
      <c r="C5877" s="2" t="s">
        <v>50</v>
      </c>
    </row>
    <row r="5878">
      <c r="A5878" s="1">
        <v>43604.404192222224</v>
      </c>
      <c r="B5878" s="2">
        <v>619.0</v>
      </c>
      <c r="C5878" s="2" t="s">
        <v>46</v>
      </c>
    </row>
    <row r="5879">
      <c r="A5879" s="1">
        <v>43604.404720729166</v>
      </c>
      <c r="B5879" s="2">
        <v>246.0</v>
      </c>
      <c r="C5879" s="2" t="s">
        <v>26</v>
      </c>
    </row>
    <row r="5880">
      <c r="A5880" s="1">
        <v>43604.40864940972</v>
      </c>
      <c r="B5880" s="2">
        <v>722.0</v>
      </c>
      <c r="C5880" s="2" t="s">
        <v>25</v>
      </c>
      <c r="D5880" s="2" t="s">
        <v>5</v>
      </c>
    </row>
    <row r="5881">
      <c r="A5881" s="1">
        <v>43604.40971204861</v>
      </c>
      <c r="B5881" s="2">
        <v>602.0</v>
      </c>
      <c r="C5881" s="2" t="s">
        <v>131</v>
      </c>
    </row>
    <row r="5882">
      <c r="A5882" s="1">
        <v>43604.41004011574</v>
      </c>
      <c r="B5882" s="2">
        <v>231.0</v>
      </c>
      <c r="C5882" s="2" t="s">
        <v>61</v>
      </c>
    </row>
    <row r="5883">
      <c r="A5883" s="1">
        <v>43604.41011518519</v>
      </c>
      <c r="B5883" s="3" t="s">
        <v>159</v>
      </c>
      <c r="C5883" s="2" t="s">
        <v>160</v>
      </c>
    </row>
    <row r="5884">
      <c r="A5884" s="1">
        <v>43604.420345011575</v>
      </c>
      <c r="B5884" s="2">
        <v>193.0</v>
      </c>
      <c r="C5884" s="2" t="s">
        <v>30</v>
      </c>
    </row>
    <row r="5885">
      <c r="A5885" s="1">
        <v>43604.422074988426</v>
      </c>
      <c r="B5885" s="3" t="s">
        <v>159</v>
      </c>
      <c r="C5885" s="2" t="s">
        <v>160</v>
      </c>
    </row>
    <row r="5886">
      <c r="A5886" s="1">
        <v>43604.42660878472</v>
      </c>
      <c r="B5886" s="2">
        <v>158.0</v>
      </c>
      <c r="C5886" s="2" t="s">
        <v>62</v>
      </c>
    </row>
    <row r="5887">
      <c r="A5887" s="1">
        <v>43604.42704609953</v>
      </c>
      <c r="B5887" s="2">
        <v>113.0</v>
      </c>
      <c r="C5887" s="2" t="s">
        <v>29</v>
      </c>
    </row>
    <row r="5888">
      <c r="A5888" s="1">
        <v>43604.427371087964</v>
      </c>
      <c r="B5888" s="2">
        <v>253.0</v>
      </c>
      <c r="C5888" s="2" t="s">
        <v>138</v>
      </c>
    </row>
    <row r="5889">
      <c r="A5889" s="1">
        <v>43604.42758953704</v>
      </c>
      <c r="B5889" s="2">
        <v>219.0</v>
      </c>
      <c r="C5889" s="2" t="s">
        <v>31</v>
      </c>
    </row>
    <row r="5890">
      <c r="A5890" s="1">
        <v>43604.427719178246</v>
      </c>
      <c r="B5890" s="2">
        <v>632.0</v>
      </c>
      <c r="C5890" s="2" t="s">
        <v>146</v>
      </c>
    </row>
    <row r="5891">
      <c r="A5891" s="1">
        <v>43604.42774640046</v>
      </c>
      <c r="B5891" s="2">
        <v>253.0</v>
      </c>
      <c r="C5891" s="2" t="s">
        <v>138</v>
      </c>
    </row>
    <row r="5892">
      <c r="A5892" s="1">
        <v>43604.42792446759</v>
      </c>
      <c r="B5892" s="2">
        <v>201.0</v>
      </c>
      <c r="C5892" s="2" t="s">
        <v>70</v>
      </c>
    </row>
    <row r="5893">
      <c r="A5893" s="1">
        <v>43604.42801988426</v>
      </c>
      <c r="B5893" s="2">
        <v>618.0</v>
      </c>
      <c r="C5893" s="2" t="s">
        <v>147</v>
      </c>
    </row>
    <row r="5894">
      <c r="A5894" s="1">
        <v>43604.42832028936</v>
      </c>
      <c r="B5894" s="2">
        <v>262.0</v>
      </c>
      <c r="C5894" s="2" t="s">
        <v>28</v>
      </c>
    </row>
    <row r="5895">
      <c r="A5895" s="1">
        <v>43604.428701377314</v>
      </c>
      <c r="B5895" s="3" t="s">
        <v>22</v>
      </c>
      <c r="C5895" s="2" t="s">
        <v>23</v>
      </c>
    </row>
    <row r="5896">
      <c r="A5896" s="1">
        <v>43604.42880206018</v>
      </c>
      <c r="B5896" s="2">
        <v>210.0</v>
      </c>
      <c r="C5896" s="2" t="s">
        <v>64</v>
      </c>
    </row>
    <row r="5897">
      <c r="A5897" s="1">
        <v>43604.429024212965</v>
      </c>
      <c r="B5897" s="2">
        <v>244.0</v>
      </c>
      <c r="C5897" s="2" t="s">
        <v>38</v>
      </c>
    </row>
    <row r="5898">
      <c r="A5898" s="1">
        <v>43604.42914579861</v>
      </c>
      <c r="B5898" s="2">
        <v>175.0</v>
      </c>
      <c r="C5898" s="2" t="s">
        <v>69</v>
      </c>
    </row>
    <row r="5899">
      <c r="A5899" s="1">
        <v>43604.42922416667</v>
      </c>
      <c r="B5899" s="2">
        <v>613.0</v>
      </c>
      <c r="C5899" s="2" t="s">
        <v>124</v>
      </c>
    </row>
    <row r="5900">
      <c r="A5900" s="1">
        <v>43604.42962556713</v>
      </c>
      <c r="B5900" s="3" t="s">
        <v>111</v>
      </c>
      <c r="C5900" s="2" t="s">
        <v>112</v>
      </c>
    </row>
    <row r="5901">
      <c r="A5901" s="1">
        <v>43604.4312359375</v>
      </c>
      <c r="B5901" s="2">
        <v>167.0</v>
      </c>
      <c r="C5901" s="2" t="s">
        <v>39</v>
      </c>
    </row>
    <row r="5902">
      <c r="A5902" s="1">
        <v>43604.43132606482</v>
      </c>
      <c r="B5902" s="2">
        <v>229.0</v>
      </c>
      <c r="C5902" s="2" t="s">
        <v>86</v>
      </c>
    </row>
    <row r="5903">
      <c r="A5903" s="1">
        <v>43604.431526863424</v>
      </c>
      <c r="B5903" s="2">
        <v>603.0</v>
      </c>
      <c r="C5903" s="2" t="s">
        <v>40</v>
      </c>
    </row>
    <row r="5904">
      <c r="A5904" s="1">
        <v>43604.43172317129</v>
      </c>
      <c r="B5904" s="2">
        <v>614.0</v>
      </c>
      <c r="C5904" s="2" t="s">
        <v>76</v>
      </c>
    </row>
    <row r="5905">
      <c r="A5905" s="1">
        <v>43604.43194659722</v>
      </c>
      <c r="B5905" s="2">
        <v>238.0</v>
      </c>
      <c r="C5905" s="2" t="s">
        <v>35</v>
      </c>
    </row>
    <row r="5906">
      <c r="A5906" s="1">
        <v>43604.43205358797</v>
      </c>
      <c r="B5906" s="2">
        <v>254.0</v>
      </c>
      <c r="C5906" s="2" t="s">
        <v>132</v>
      </c>
    </row>
    <row r="5907">
      <c r="A5907" s="1">
        <v>43604.433160451386</v>
      </c>
      <c r="B5907" s="2">
        <v>173.0</v>
      </c>
      <c r="C5907" s="2" t="s">
        <v>24</v>
      </c>
    </row>
    <row r="5908">
      <c r="A5908" s="1">
        <v>43604.43327479166</v>
      </c>
      <c r="B5908" s="3" t="s">
        <v>32</v>
      </c>
      <c r="C5908" s="2" t="s">
        <v>33</v>
      </c>
    </row>
    <row r="5909">
      <c r="A5909" s="1">
        <v>43604.4334837037</v>
      </c>
      <c r="B5909" s="2">
        <v>160.0</v>
      </c>
      <c r="C5909" s="2" t="s">
        <v>154</v>
      </c>
    </row>
    <row r="5910">
      <c r="A5910" s="1">
        <v>43604.43378136574</v>
      </c>
      <c r="B5910" s="3" t="s">
        <v>162</v>
      </c>
      <c r="C5910" s="2" t="s">
        <v>163</v>
      </c>
    </row>
    <row r="5911">
      <c r="A5911" s="1">
        <v>43604.43383299769</v>
      </c>
      <c r="B5911" s="2">
        <v>720.0</v>
      </c>
      <c r="C5911" s="2" t="s">
        <v>155</v>
      </c>
      <c r="D5911" s="2" t="s">
        <v>5</v>
      </c>
    </row>
    <row r="5912">
      <c r="A5912" s="1">
        <v>43604.43393643518</v>
      </c>
      <c r="B5912" s="2">
        <v>673.0</v>
      </c>
      <c r="C5912" s="2" t="s">
        <v>189</v>
      </c>
    </row>
    <row r="5913">
      <c r="A5913" s="1">
        <v>43604.43560266204</v>
      </c>
      <c r="B5913" s="3" t="s">
        <v>80</v>
      </c>
      <c r="C5913" s="2" t="s">
        <v>81</v>
      </c>
    </row>
    <row r="5914">
      <c r="A5914" s="1">
        <v>43604.43572358796</v>
      </c>
      <c r="B5914" s="2">
        <v>653.0</v>
      </c>
      <c r="C5914" s="2" t="s">
        <v>77</v>
      </c>
    </row>
    <row r="5915">
      <c r="A5915" s="1">
        <v>43604.435870925925</v>
      </c>
      <c r="B5915" s="3" t="s">
        <v>9</v>
      </c>
      <c r="C5915" s="2" t="s">
        <v>10</v>
      </c>
    </row>
    <row r="5916">
      <c r="A5916" s="1">
        <v>43604.4359884375</v>
      </c>
      <c r="B5916" s="2">
        <v>667.0</v>
      </c>
      <c r="C5916" s="2" t="s">
        <v>73</v>
      </c>
    </row>
    <row r="5917">
      <c r="A5917" s="1">
        <v>43604.43600965278</v>
      </c>
      <c r="B5917" s="3" t="s">
        <v>13</v>
      </c>
      <c r="C5917" s="2" t="s">
        <v>14</v>
      </c>
    </row>
    <row r="5918">
      <c r="A5918" s="1">
        <v>43604.436088449074</v>
      </c>
      <c r="B5918" s="2">
        <v>706.0</v>
      </c>
      <c r="C5918" s="2" t="s">
        <v>149</v>
      </c>
      <c r="D5918" s="2" t="s">
        <v>5</v>
      </c>
    </row>
    <row r="5919">
      <c r="A5919" s="1">
        <v>43604.436177407406</v>
      </c>
      <c r="B5919" s="3" t="s">
        <v>150</v>
      </c>
      <c r="C5919" s="2" t="s">
        <v>151</v>
      </c>
    </row>
    <row r="5920">
      <c r="A5920" s="1">
        <v>43604.436202847224</v>
      </c>
      <c r="B5920" s="2">
        <v>270.0</v>
      </c>
      <c r="C5920" s="2" t="s">
        <v>153</v>
      </c>
    </row>
    <row r="5921">
      <c r="A5921" s="1">
        <v>43604.43645336806</v>
      </c>
      <c r="B5921" s="2">
        <v>717.0</v>
      </c>
      <c r="C5921" s="2" t="s">
        <v>152</v>
      </c>
      <c r="D5921" s="2" t="s">
        <v>5</v>
      </c>
    </row>
    <row r="5922">
      <c r="A5922" s="1">
        <v>43604.436789444444</v>
      </c>
      <c r="B5922" s="2">
        <v>114.0</v>
      </c>
      <c r="C5922" s="2" t="s">
        <v>15</v>
      </c>
    </row>
    <row r="5923">
      <c r="A5923" s="1">
        <v>43604.436844375</v>
      </c>
      <c r="B5923" s="2">
        <v>708.0</v>
      </c>
      <c r="C5923" s="2" t="s">
        <v>4</v>
      </c>
      <c r="D5923" s="2" t="s">
        <v>5</v>
      </c>
    </row>
    <row r="5924">
      <c r="A5924" s="1">
        <v>43604.43688922454</v>
      </c>
      <c r="B5924" s="2">
        <v>709.0</v>
      </c>
      <c r="C5924" s="2" t="s">
        <v>20</v>
      </c>
      <c r="D5924" s="2" t="s">
        <v>5</v>
      </c>
    </row>
    <row r="5925">
      <c r="A5925" s="1">
        <v>43604.4369525463</v>
      </c>
      <c r="B5925" s="2">
        <v>710.0</v>
      </c>
      <c r="C5925" s="2" t="s">
        <v>21</v>
      </c>
      <c r="D5925" s="2" t="s">
        <v>5</v>
      </c>
    </row>
    <row r="5926">
      <c r="A5926" s="1">
        <v>43604.437198125</v>
      </c>
      <c r="B5926" s="3" t="s">
        <v>44</v>
      </c>
      <c r="C5926" s="2" t="s">
        <v>45</v>
      </c>
    </row>
    <row r="5927">
      <c r="A5927" s="1">
        <v>43604.43748767361</v>
      </c>
      <c r="B5927" s="3" t="s">
        <v>88</v>
      </c>
      <c r="C5927" s="2" t="s">
        <v>89</v>
      </c>
    </row>
    <row r="5928">
      <c r="A5928" s="1">
        <v>43604.43759613426</v>
      </c>
      <c r="B5928" s="2">
        <v>721.0</v>
      </c>
      <c r="C5928" s="2" t="s">
        <v>156</v>
      </c>
      <c r="D5928" s="2" t="s">
        <v>5</v>
      </c>
    </row>
    <row r="5929">
      <c r="A5929" s="1">
        <v>43604.437623715276</v>
      </c>
      <c r="B5929" s="2">
        <v>611.0</v>
      </c>
      <c r="C5929" s="2" t="s">
        <v>143</v>
      </c>
    </row>
    <row r="5930">
      <c r="A5930" s="1">
        <v>43604.43775482639</v>
      </c>
      <c r="B5930" s="2">
        <v>208.0</v>
      </c>
      <c r="C5930" s="2" t="s">
        <v>182</v>
      </c>
    </row>
    <row r="5931">
      <c r="A5931" s="1">
        <v>43604.437827037036</v>
      </c>
      <c r="B5931" s="2">
        <v>607.0</v>
      </c>
      <c r="C5931" s="2" t="s">
        <v>68</v>
      </c>
    </row>
    <row r="5932">
      <c r="A5932" s="1">
        <v>43604.43791104166</v>
      </c>
      <c r="B5932" s="2">
        <v>172.0</v>
      </c>
      <c r="C5932" s="2" t="s">
        <v>65</v>
      </c>
    </row>
    <row r="5933">
      <c r="A5933" s="1">
        <v>43604.4379953125</v>
      </c>
      <c r="B5933" s="3" t="s">
        <v>88</v>
      </c>
      <c r="C5933" s="2" t="s">
        <v>89</v>
      </c>
    </row>
    <row r="5934">
      <c r="A5934" s="1">
        <v>43604.43803560185</v>
      </c>
      <c r="B5934" s="2">
        <v>208.0</v>
      </c>
      <c r="C5934" s="2" t="s">
        <v>182</v>
      </c>
    </row>
    <row r="5935">
      <c r="A5935" s="1">
        <v>43604.43804125</v>
      </c>
      <c r="B5935" s="2">
        <v>611.0</v>
      </c>
      <c r="C5935" s="2" t="s">
        <v>143</v>
      </c>
    </row>
    <row r="5936">
      <c r="A5936" s="1">
        <v>43604.438211643515</v>
      </c>
      <c r="B5936" s="2">
        <v>677.0</v>
      </c>
      <c r="C5936" s="2" t="s">
        <v>224</v>
      </c>
    </row>
    <row r="5937">
      <c r="A5937" s="1">
        <v>43604.43824782407</v>
      </c>
      <c r="B5937" s="3" t="s">
        <v>88</v>
      </c>
      <c r="C5937" s="2" t="s">
        <v>89</v>
      </c>
    </row>
    <row r="5938">
      <c r="A5938" s="1">
        <v>43604.438268356476</v>
      </c>
      <c r="B5938" s="3" t="s">
        <v>44</v>
      </c>
      <c r="C5938" s="2" t="s">
        <v>45</v>
      </c>
    </row>
    <row r="5939">
      <c r="A5939" s="1">
        <v>43604.43828767361</v>
      </c>
      <c r="B5939" s="2">
        <v>710.0</v>
      </c>
      <c r="C5939" s="2" t="s">
        <v>21</v>
      </c>
      <c r="D5939" s="2" t="s">
        <v>5</v>
      </c>
    </row>
    <row r="5940">
      <c r="A5940" s="1">
        <v>43604.43830635417</v>
      </c>
      <c r="B5940" s="2">
        <v>709.0</v>
      </c>
      <c r="C5940" s="2" t="s">
        <v>20</v>
      </c>
      <c r="D5940" s="2" t="s">
        <v>5</v>
      </c>
    </row>
    <row r="5941">
      <c r="A5941" s="1">
        <v>43604.43832951389</v>
      </c>
      <c r="B5941" s="2">
        <v>708.0</v>
      </c>
      <c r="C5941" s="2" t="s">
        <v>4</v>
      </c>
      <c r="D5941" s="2" t="s">
        <v>5</v>
      </c>
    </row>
    <row r="5942">
      <c r="A5942" s="1">
        <v>43604.43835060185</v>
      </c>
      <c r="B5942" s="2">
        <v>653.0</v>
      </c>
      <c r="C5942" s="2" t="s">
        <v>77</v>
      </c>
    </row>
    <row r="5943">
      <c r="A5943" s="1">
        <v>43604.4385590625</v>
      </c>
      <c r="B5943" s="2">
        <v>736.0</v>
      </c>
      <c r="C5943" s="2" t="s">
        <v>175</v>
      </c>
      <c r="D5943" s="2" t="s">
        <v>5</v>
      </c>
    </row>
    <row r="5944">
      <c r="A5944" s="1">
        <v>43604.43862730324</v>
      </c>
      <c r="B5944" s="2">
        <v>737.0</v>
      </c>
      <c r="C5944" s="2" t="s">
        <v>176</v>
      </c>
      <c r="D5944" s="2" t="s">
        <v>5</v>
      </c>
    </row>
    <row r="5945">
      <c r="A5945" s="1">
        <v>43604.43877835648</v>
      </c>
      <c r="B5945" s="2">
        <v>648.0</v>
      </c>
      <c r="C5945" s="2" t="s">
        <v>207</v>
      </c>
    </row>
    <row r="5946">
      <c r="A5946" s="1">
        <v>43604.4388391088</v>
      </c>
      <c r="B5946" s="2">
        <v>649.0</v>
      </c>
      <c r="C5946" s="2" t="s">
        <v>177</v>
      </c>
    </row>
    <row r="5947">
      <c r="A5947" s="1">
        <v>43604.43890393518</v>
      </c>
      <c r="B5947" s="3" t="s">
        <v>78</v>
      </c>
      <c r="C5947" s="2" t="s">
        <v>79</v>
      </c>
    </row>
    <row r="5948">
      <c r="A5948" s="1">
        <v>43604.43902689815</v>
      </c>
      <c r="B5948" s="2">
        <v>723.0</v>
      </c>
      <c r="C5948" s="2" t="s">
        <v>84</v>
      </c>
      <c r="D5948" s="2" t="s">
        <v>5</v>
      </c>
    </row>
    <row r="5949">
      <c r="A5949" s="1">
        <v>43604.439142083334</v>
      </c>
      <c r="B5949" s="2">
        <v>648.0</v>
      </c>
      <c r="C5949" s="2" t="s">
        <v>207</v>
      </c>
    </row>
    <row r="5950">
      <c r="A5950" s="1">
        <v>43604.439303969906</v>
      </c>
      <c r="B5950" s="2">
        <v>737.0</v>
      </c>
      <c r="C5950" s="2" t="s">
        <v>176</v>
      </c>
      <c r="D5950" s="2" t="s">
        <v>5</v>
      </c>
    </row>
    <row r="5951">
      <c r="A5951" s="1">
        <v>43604.43932550926</v>
      </c>
      <c r="B5951" s="2">
        <v>736.0</v>
      </c>
      <c r="C5951" s="2" t="s">
        <v>175</v>
      </c>
      <c r="D5951" s="2" t="s">
        <v>5</v>
      </c>
    </row>
    <row r="5952">
      <c r="A5952" s="1">
        <v>43604.43985920139</v>
      </c>
      <c r="B5952" s="2">
        <v>624.0</v>
      </c>
      <c r="C5952" s="2" t="s">
        <v>90</v>
      </c>
    </row>
    <row r="5953">
      <c r="A5953" s="1">
        <v>43604.440159328704</v>
      </c>
      <c r="B5953" s="3" t="s">
        <v>74</v>
      </c>
      <c r="C5953" s="2" t="s">
        <v>75</v>
      </c>
    </row>
    <row r="5954">
      <c r="A5954" s="1">
        <v>43604.44050690973</v>
      </c>
      <c r="B5954" s="2">
        <v>267.0</v>
      </c>
      <c r="C5954" s="2" t="s">
        <v>115</v>
      </c>
    </row>
    <row r="5955">
      <c r="A5955" s="1">
        <v>43604.44051825232</v>
      </c>
      <c r="B5955" s="2">
        <v>675.0</v>
      </c>
      <c r="C5955" s="2" t="s">
        <v>222</v>
      </c>
    </row>
    <row r="5956">
      <c r="A5956" s="1">
        <v>43604.44052052083</v>
      </c>
      <c r="B5956" s="2">
        <v>675.0</v>
      </c>
      <c r="C5956" s="2" t="s">
        <v>222</v>
      </c>
    </row>
    <row r="5957">
      <c r="A5957" s="1">
        <v>43604.4412443287</v>
      </c>
      <c r="B5957" s="2">
        <v>655.0</v>
      </c>
      <c r="C5957" s="2" t="s">
        <v>17</v>
      </c>
    </row>
    <row r="5958">
      <c r="A5958" s="1">
        <v>43604.44149946759</v>
      </c>
      <c r="B5958" s="2">
        <v>52.0</v>
      </c>
      <c r="C5958" s="2" t="s">
        <v>41</v>
      </c>
    </row>
    <row r="5959">
      <c r="A5959" s="1">
        <v>43604.44237133102</v>
      </c>
      <c r="B5959" s="3" t="s">
        <v>42</v>
      </c>
      <c r="C5959" s="2" t="s">
        <v>43</v>
      </c>
    </row>
    <row r="5960">
      <c r="A5960" s="1">
        <v>43604.44238543982</v>
      </c>
      <c r="B5960" s="2">
        <v>663.0</v>
      </c>
      <c r="C5960" s="2" t="s">
        <v>109</v>
      </c>
    </row>
    <row r="5961">
      <c r="A5961" s="1">
        <v>43604.442674756945</v>
      </c>
      <c r="B5961" s="3" t="s">
        <v>98</v>
      </c>
      <c r="C5961" s="2" t="s">
        <v>99</v>
      </c>
    </row>
    <row r="5962">
      <c r="A5962" s="1">
        <v>43604.44271454861</v>
      </c>
      <c r="B5962" s="2">
        <v>147.0</v>
      </c>
      <c r="C5962" s="2" t="s">
        <v>100</v>
      </c>
    </row>
    <row r="5963">
      <c r="A5963" s="1">
        <v>43604.44296576389</v>
      </c>
      <c r="B5963" s="2">
        <v>726.0</v>
      </c>
      <c r="C5963" s="2" t="s">
        <v>101</v>
      </c>
      <c r="D5963" s="2" t="s">
        <v>5</v>
      </c>
    </row>
    <row r="5964">
      <c r="A5964" s="1">
        <v>43604.443124722224</v>
      </c>
      <c r="B5964" s="2">
        <v>732.0</v>
      </c>
      <c r="C5964" s="2" t="s">
        <v>102</v>
      </c>
      <c r="D5964" s="2" t="s">
        <v>5</v>
      </c>
    </row>
    <row r="5965">
      <c r="A5965" s="1">
        <v>43604.44567162037</v>
      </c>
      <c r="B5965" s="2">
        <v>716.0</v>
      </c>
      <c r="C5965" s="2" t="s">
        <v>123</v>
      </c>
      <c r="D5965" s="2" t="s">
        <v>5</v>
      </c>
    </row>
    <row r="5966">
      <c r="A5966" s="1">
        <v>43604.4460634375</v>
      </c>
      <c r="B5966" s="3" t="s">
        <v>11</v>
      </c>
      <c r="C5966" s="2" t="s">
        <v>12</v>
      </c>
    </row>
    <row r="5967">
      <c r="A5967" s="1">
        <v>43604.4462996875</v>
      </c>
      <c r="B5967" s="2">
        <v>701.0</v>
      </c>
      <c r="C5967" s="2" t="s">
        <v>93</v>
      </c>
      <c r="D5967" s="2" t="s">
        <v>5</v>
      </c>
    </row>
    <row r="5968">
      <c r="A5968" s="1">
        <v>43604.44837865741</v>
      </c>
      <c r="B5968" s="2">
        <v>215.0</v>
      </c>
      <c r="C5968" s="2" t="s">
        <v>137</v>
      </c>
    </row>
    <row r="5969">
      <c r="A5969" s="1">
        <v>43604.45038743055</v>
      </c>
      <c r="B5969" s="2">
        <v>126.0</v>
      </c>
      <c r="C5969" s="2" t="s">
        <v>87</v>
      </c>
    </row>
    <row r="5970">
      <c r="A5970" s="1">
        <v>43604.45938246528</v>
      </c>
      <c r="B5970" s="2">
        <v>259.0</v>
      </c>
      <c r="C5970" s="2" t="s">
        <v>66</v>
      </c>
    </row>
    <row r="5971">
      <c r="A5971" s="1">
        <v>43604.45950328704</v>
      </c>
      <c r="B5971" s="2">
        <v>734.0</v>
      </c>
      <c r="C5971" s="2" t="s">
        <v>63</v>
      </c>
      <c r="D5971" s="2" t="s">
        <v>5</v>
      </c>
    </row>
    <row r="5972">
      <c r="A5972" s="1">
        <v>43604.45958415509</v>
      </c>
      <c r="B5972" s="2">
        <v>260.0</v>
      </c>
      <c r="C5972" s="2" t="s">
        <v>67</v>
      </c>
    </row>
    <row r="5973">
      <c r="A5973" s="1">
        <v>43604.83749549769</v>
      </c>
      <c r="B5973" s="3" t="s">
        <v>42</v>
      </c>
      <c r="C5973" s="2" t="s">
        <v>43</v>
      </c>
    </row>
    <row r="5974">
      <c r="A5974" s="1">
        <v>43605.492653043984</v>
      </c>
      <c r="B5974" s="3" t="s">
        <v>51</v>
      </c>
      <c r="C5974" s="2" t="s">
        <v>52</v>
      </c>
    </row>
    <row r="5975">
      <c r="A5975" s="1">
        <v>43605.49312251157</v>
      </c>
      <c r="B5975" s="2">
        <v>141.0</v>
      </c>
      <c r="C5975" s="2" t="s">
        <v>53</v>
      </c>
    </row>
    <row r="5976">
      <c r="A5976" s="1">
        <v>43605.49379266203</v>
      </c>
      <c r="B5976" s="2">
        <v>198.0</v>
      </c>
      <c r="C5976" s="2" t="s">
        <v>97</v>
      </c>
    </row>
    <row r="5977">
      <c r="A5977" s="1">
        <v>43605.49421747685</v>
      </c>
      <c r="B5977" s="2">
        <v>214.0</v>
      </c>
      <c r="C5977" s="2" t="s">
        <v>47</v>
      </c>
    </row>
    <row r="5978">
      <c r="A5978" s="1">
        <v>43605.494452060186</v>
      </c>
      <c r="B5978" s="2">
        <v>231.0</v>
      </c>
      <c r="C5978" s="2" t="s">
        <v>61</v>
      </c>
    </row>
    <row r="5979">
      <c r="A5979" s="1">
        <v>43605.49500180555</v>
      </c>
      <c r="B5979" s="2">
        <v>268.0</v>
      </c>
      <c r="C5979" s="2" t="s">
        <v>205</v>
      </c>
    </row>
    <row r="5980">
      <c r="A5980" s="1">
        <v>43605.49583559028</v>
      </c>
      <c r="B5980" s="2">
        <v>641.0</v>
      </c>
      <c r="C5980" s="2" t="s">
        <v>210</v>
      </c>
    </row>
    <row r="5981">
      <c r="A5981" s="1">
        <v>43605.49603978009</v>
      </c>
      <c r="B5981" s="2">
        <v>650.0</v>
      </c>
      <c r="C5981" s="2" t="s">
        <v>213</v>
      </c>
    </row>
    <row r="5982">
      <c r="A5982" s="1">
        <v>43605.642002465276</v>
      </c>
      <c r="B5982" s="3" t="s">
        <v>42</v>
      </c>
      <c r="C5982" s="2" t="s">
        <v>43</v>
      </c>
    </row>
    <row r="5983">
      <c r="A5983" s="1">
        <v>43605.66631267361</v>
      </c>
      <c r="B5983" s="2">
        <v>702.0</v>
      </c>
      <c r="C5983" s="2" t="s">
        <v>96</v>
      </c>
      <c r="D5983" s="2" t="s">
        <v>5</v>
      </c>
    </row>
    <row r="5984">
      <c r="A5984" s="1">
        <v>43605.66722012732</v>
      </c>
      <c r="B5984" s="2">
        <v>707.0</v>
      </c>
      <c r="C5984" s="2" t="s">
        <v>57</v>
      </c>
      <c r="D5984" s="2" t="s">
        <v>5</v>
      </c>
    </row>
    <row r="5985">
      <c r="A5985" s="1">
        <v>43605.66735094908</v>
      </c>
      <c r="B5985" s="2">
        <v>729.0</v>
      </c>
      <c r="C5985" s="2" t="s">
        <v>54</v>
      </c>
      <c r="D5985" s="2" t="s">
        <v>5</v>
      </c>
    </row>
    <row r="5986">
      <c r="A5986" s="1">
        <v>43606.57966884259</v>
      </c>
      <c r="B5986" s="2">
        <v>656.0</v>
      </c>
      <c r="C5986" s="2" t="s">
        <v>144</v>
      </c>
    </row>
    <row r="5987">
      <c r="A5987" s="1">
        <v>43606.89168739584</v>
      </c>
      <c r="B5987" s="2">
        <v>650.0</v>
      </c>
      <c r="C5987" s="2" t="s">
        <v>213</v>
      </c>
    </row>
    <row r="5988">
      <c r="A5988" s="1">
        <v>43606.94771628472</v>
      </c>
      <c r="B5988" s="2">
        <v>650.0</v>
      </c>
      <c r="C5988" s="2" t="s">
        <v>213</v>
      </c>
    </row>
    <row r="5989">
      <c r="A5989" s="1">
        <v>43611.41816680555</v>
      </c>
      <c r="B5989" s="2">
        <v>167.0</v>
      </c>
      <c r="C5989" s="2" t="s">
        <v>39</v>
      </c>
    </row>
    <row r="5990">
      <c r="A5990" s="1">
        <v>43611.41992216435</v>
      </c>
      <c r="B5990" s="2">
        <v>603.0</v>
      </c>
      <c r="C5990" s="2" t="s">
        <v>40</v>
      </c>
    </row>
    <row r="5991">
      <c r="A5991" s="1">
        <v>43611.419987013884</v>
      </c>
      <c r="B5991" s="3" t="s">
        <v>74</v>
      </c>
      <c r="C5991" s="2" t="s">
        <v>75</v>
      </c>
    </row>
    <row r="5992">
      <c r="A5992" s="1">
        <v>43611.42012969907</v>
      </c>
      <c r="B5992" s="2">
        <v>238.0</v>
      </c>
      <c r="C5992" s="2" t="s">
        <v>35</v>
      </c>
    </row>
    <row r="5993">
      <c r="A5993" s="1">
        <v>43611.42073025463</v>
      </c>
      <c r="B5993" s="2">
        <v>735.0</v>
      </c>
      <c r="C5993" s="2" t="s">
        <v>37</v>
      </c>
      <c r="D5993" s="2" t="s">
        <v>5</v>
      </c>
    </row>
    <row r="5994">
      <c r="A5994" s="1">
        <v>43611.42100377315</v>
      </c>
      <c r="B5994" s="2">
        <v>655.0</v>
      </c>
      <c r="C5994" s="2" t="s">
        <v>17</v>
      </c>
    </row>
    <row r="5995">
      <c r="A5995" s="1">
        <v>43611.42121748843</v>
      </c>
      <c r="B5995" s="3" t="s">
        <v>159</v>
      </c>
      <c r="C5995" s="2" t="s">
        <v>160</v>
      </c>
    </row>
    <row r="5996">
      <c r="A5996" s="1">
        <v>43611.422390555555</v>
      </c>
      <c r="B5996" s="2">
        <v>614.0</v>
      </c>
      <c r="C5996" s="2" t="s">
        <v>76</v>
      </c>
    </row>
    <row r="5997">
      <c r="A5997" s="1">
        <v>43611.42279019676</v>
      </c>
      <c r="B5997" s="2">
        <v>267.0</v>
      </c>
      <c r="C5997" s="2" t="s">
        <v>115</v>
      </c>
    </row>
    <row r="5998">
      <c r="A5998" s="1">
        <v>43611.42522356482</v>
      </c>
      <c r="B5998" s="3" t="s">
        <v>42</v>
      </c>
      <c r="C5998" s="2" t="s">
        <v>43</v>
      </c>
    </row>
    <row r="5999">
      <c r="A5999" s="1">
        <v>43611.42733148148</v>
      </c>
      <c r="B5999" s="2">
        <v>158.0</v>
      </c>
      <c r="C5999" s="2" t="s">
        <v>62</v>
      </c>
    </row>
    <row r="6000">
      <c r="A6000" s="1">
        <v>43611.42737788195</v>
      </c>
      <c r="B6000" s="2">
        <v>175.0</v>
      </c>
      <c r="C6000" s="2" t="s">
        <v>69</v>
      </c>
    </row>
    <row r="6001">
      <c r="A6001" s="1">
        <v>43611.427438680555</v>
      </c>
      <c r="B6001" s="2">
        <v>613.0</v>
      </c>
      <c r="C6001" s="2" t="s">
        <v>124</v>
      </c>
    </row>
    <row r="6002">
      <c r="A6002" s="1">
        <v>43611.427554953705</v>
      </c>
      <c r="B6002" s="3" t="s">
        <v>32</v>
      </c>
      <c r="C6002" s="2" t="s">
        <v>33</v>
      </c>
    </row>
    <row r="6003">
      <c r="A6003" s="1">
        <v>43611.427631921295</v>
      </c>
      <c r="B6003" s="2">
        <v>214.0</v>
      </c>
      <c r="C6003" s="2" t="s">
        <v>47</v>
      </c>
    </row>
    <row r="6004">
      <c r="A6004" s="1">
        <v>43611.42772100694</v>
      </c>
      <c r="B6004" s="2">
        <v>231.0</v>
      </c>
      <c r="C6004" s="2" t="s">
        <v>61</v>
      </c>
    </row>
    <row r="6005">
      <c r="A6005" s="1">
        <v>43611.42784017361</v>
      </c>
      <c r="B6005" s="2">
        <v>722.0</v>
      </c>
      <c r="C6005" s="2" t="s">
        <v>25</v>
      </c>
      <c r="D6005" s="2" t="s">
        <v>5</v>
      </c>
    </row>
    <row r="6006">
      <c r="A6006" s="1">
        <v>43611.427885717596</v>
      </c>
      <c r="B6006" s="2">
        <v>173.0</v>
      </c>
      <c r="C6006" s="2" t="s">
        <v>24</v>
      </c>
    </row>
    <row r="6007">
      <c r="A6007" s="1">
        <v>43611.427962789356</v>
      </c>
      <c r="B6007" s="2">
        <v>246.0</v>
      </c>
      <c r="C6007" s="2" t="s">
        <v>26</v>
      </c>
    </row>
    <row r="6008">
      <c r="A6008" s="1">
        <v>43611.42806204861</v>
      </c>
      <c r="B6008" s="3" t="s">
        <v>88</v>
      </c>
      <c r="C6008" s="2" t="s">
        <v>89</v>
      </c>
    </row>
    <row r="6009">
      <c r="A6009" s="1">
        <v>43611.42841177083</v>
      </c>
      <c r="B6009" s="2">
        <v>172.0</v>
      </c>
      <c r="C6009" s="2" t="s">
        <v>65</v>
      </c>
    </row>
    <row r="6010">
      <c r="A6010" s="1">
        <v>43611.42955021991</v>
      </c>
      <c r="B6010" s="2">
        <v>219.0</v>
      </c>
      <c r="C6010" s="2" t="s">
        <v>31</v>
      </c>
    </row>
    <row r="6011">
      <c r="A6011" s="1">
        <v>43611.42959803241</v>
      </c>
      <c r="B6011" s="2">
        <v>165.0</v>
      </c>
      <c r="C6011" s="2" t="s">
        <v>50</v>
      </c>
    </row>
    <row r="6012">
      <c r="A6012" s="1">
        <v>43611.42976655092</v>
      </c>
      <c r="B6012" s="2">
        <v>210.0</v>
      </c>
      <c r="C6012" s="2" t="s">
        <v>64</v>
      </c>
    </row>
    <row r="6013">
      <c r="A6013" s="1">
        <v>43611.42986021991</v>
      </c>
      <c r="B6013" s="2">
        <v>740.0</v>
      </c>
      <c r="C6013" s="2" t="s">
        <v>221</v>
      </c>
      <c r="D6013" s="2" t="s">
        <v>5</v>
      </c>
    </row>
    <row r="6014">
      <c r="A6014" s="1">
        <v>43611.42990472222</v>
      </c>
      <c r="B6014" s="2">
        <v>246.0</v>
      </c>
      <c r="C6014" s="2" t="s">
        <v>26</v>
      </c>
    </row>
    <row r="6015">
      <c r="A6015" s="1">
        <v>43611.429908125</v>
      </c>
      <c r="B6015" s="2">
        <v>193.0</v>
      </c>
      <c r="C6015" s="2" t="s">
        <v>30</v>
      </c>
    </row>
    <row r="6016">
      <c r="A6016" s="1">
        <v>43611.42997064815</v>
      </c>
      <c r="B6016" s="3" t="s">
        <v>98</v>
      </c>
      <c r="C6016" s="2" t="s">
        <v>99</v>
      </c>
    </row>
    <row r="6017">
      <c r="A6017" s="1">
        <v>43611.42998011574</v>
      </c>
      <c r="B6017" s="2">
        <v>246.0</v>
      </c>
      <c r="C6017" s="2" t="s">
        <v>26</v>
      </c>
    </row>
    <row r="6018">
      <c r="A6018" s="1">
        <v>43611.430054791665</v>
      </c>
      <c r="B6018" s="2">
        <v>147.0</v>
      </c>
      <c r="C6018" s="2" t="s">
        <v>100</v>
      </c>
    </row>
    <row r="6019">
      <c r="A6019" s="1">
        <v>43611.43013908565</v>
      </c>
      <c r="B6019" s="2">
        <v>726.0</v>
      </c>
      <c r="C6019" s="2" t="s">
        <v>101</v>
      </c>
      <c r="D6019" s="2" t="s">
        <v>5</v>
      </c>
    </row>
    <row r="6020">
      <c r="A6020" s="1">
        <v>43611.430202372685</v>
      </c>
      <c r="B6020" s="2">
        <v>732.0</v>
      </c>
      <c r="C6020" s="2" t="s">
        <v>102</v>
      </c>
      <c r="D6020" s="2" t="s">
        <v>5</v>
      </c>
    </row>
    <row r="6021">
      <c r="A6021" s="1">
        <v>43611.430310138894</v>
      </c>
      <c r="B6021" s="2">
        <v>193.0</v>
      </c>
      <c r="C6021" s="2" t="s">
        <v>30</v>
      </c>
    </row>
    <row r="6022">
      <c r="A6022" s="1">
        <v>43611.43038603009</v>
      </c>
      <c r="B6022" s="3" t="s">
        <v>22</v>
      </c>
      <c r="C6022" s="2" t="s">
        <v>23</v>
      </c>
    </row>
    <row r="6023">
      <c r="A6023" s="1">
        <v>43611.430776759255</v>
      </c>
      <c r="B6023" s="2">
        <v>113.0</v>
      </c>
      <c r="C6023" s="2" t="s">
        <v>29</v>
      </c>
    </row>
    <row r="6024">
      <c r="A6024" s="1">
        <v>43611.43112271991</v>
      </c>
      <c r="B6024" s="2">
        <v>201.0</v>
      </c>
      <c r="C6024" s="2" t="s">
        <v>70</v>
      </c>
    </row>
    <row r="6025">
      <c r="A6025" s="1">
        <v>43611.43184799769</v>
      </c>
      <c r="B6025" s="3" t="s">
        <v>13</v>
      </c>
      <c r="C6025" s="2" t="s">
        <v>14</v>
      </c>
    </row>
    <row r="6026">
      <c r="A6026" s="1">
        <v>43611.43215847222</v>
      </c>
      <c r="B6026" s="2">
        <v>736.0</v>
      </c>
      <c r="C6026" s="2" t="s">
        <v>175</v>
      </c>
      <c r="D6026" s="2" t="s">
        <v>5</v>
      </c>
    </row>
    <row r="6027">
      <c r="A6027" s="1">
        <v>43611.43222170139</v>
      </c>
      <c r="B6027" s="2">
        <v>737.0</v>
      </c>
      <c r="C6027" s="2" t="s">
        <v>176</v>
      </c>
      <c r="D6027" s="2" t="s">
        <v>5</v>
      </c>
    </row>
    <row r="6028">
      <c r="A6028" s="1">
        <v>43611.43235434028</v>
      </c>
      <c r="B6028" s="2">
        <v>648.0</v>
      </c>
      <c r="C6028" s="2" t="s">
        <v>207</v>
      </c>
    </row>
    <row r="6029">
      <c r="A6029" s="1">
        <v>43611.432486377314</v>
      </c>
      <c r="B6029" s="2">
        <v>649.0</v>
      </c>
      <c r="C6029" s="2" t="s">
        <v>177</v>
      </c>
    </row>
    <row r="6030">
      <c r="A6030" s="1">
        <v>43611.43271070602</v>
      </c>
      <c r="B6030" s="2">
        <v>160.0</v>
      </c>
      <c r="C6030" s="2" t="s">
        <v>154</v>
      </c>
    </row>
    <row r="6031">
      <c r="A6031" s="1">
        <v>43611.43279414352</v>
      </c>
      <c r="B6031" s="2">
        <v>663.0</v>
      </c>
      <c r="C6031" s="2" t="s">
        <v>109</v>
      </c>
    </row>
    <row r="6032">
      <c r="A6032" s="1">
        <v>43611.43288540509</v>
      </c>
      <c r="B6032" s="2">
        <v>733.0</v>
      </c>
      <c r="C6032" s="2" t="s">
        <v>110</v>
      </c>
      <c r="D6032" s="2" t="s">
        <v>5</v>
      </c>
    </row>
    <row r="6033">
      <c r="A6033" s="1">
        <v>43611.432982453705</v>
      </c>
      <c r="B6033" s="3" t="s">
        <v>51</v>
      </c>
      <c r="C6033" s="2" t="s">
        <v>52</v>
      </c>
    </row>
    <row r="6034">
      <c r="A6034" s="1">
        <v>43611.43307518518</v>
      </c>
      <c r="B6034" s="2">
        <v>208.0</v>
      </c>
      <c r="C6034" s="2" t="s">
        <v>182</v>
      </c>
    </row>
    <row r="6035">
      <c r="A6035" s="1">
        <v>43611.43399460649</v>
      </c>
      <c r="B6035" s="2">
        <v>114.0</v>
      </c>
      <c r="C6035" s="2" t="s">
        <v>15</v>
      </c>
    </row>
    <row r="6036">
      <c r="A6036" s="1">
        <v>43611.43430171296</v>
      </c>
      <c r="B6036" s="3" t="s">
        <v>9</v>
      </c>
      <c r="C6036" s="2" t="s">
        <v>10</v>
      </c>
    </row>
    <row r="6037">
      <c r="A6037" s="1">
        <v>43611.43434927083</v>
      </c>
      <c r="B6037" s="2">
        <v>650.0</v>
      </c>
      <c r="C6037" s="2" t="s">
        <v>213</v>
      </c>
    </row>
    <row r="6038">
      <c r="A6038" s="1">
        <v>43611.434476678245</v>
      </c>
      <c r="B6038" s="3" t="s">
        <v>11</v>
      </c>
      <c r="C6038" s="2" t="s">
        <v>12</v>
      </c>
    </row>
    <row r="6039">
      <c r="A6039" s="1">
        <v>43611.43456700232</v>
      </c>
      <c r="B6039" s="2">
        <v>716.0</v>
      </c>
      <c r="C6039" s="2" t="s">
        <v>123</v>
      </c>
      <c r="D6039" s="2" t="s">
        <v>5</v>
      </c>
    </row>
    <row r="6040">
      <c r="A6040" s="1">
        <v>43611.43465923611</v>
      </c>
      <c r="B6040" s="3" t="s">
        <v>82</v>
      </c>
      <c r="C6040" s="2" t="s">
        <v>83</v>
      </c>
    </row>
    <row r="6041">
      <c r="A6041" s="1">
        <v>43611.434776458336</v>
      </c>
      <c r="B6041" s="3" t="s">
        <v>78</v>
      </c>
      <c r="C6041" s="2" t="s">
        <v>79</v>
      </c>
    </row>
    <row r="6042">
      <c r="A6042" s="1">
        <v>43611.434881215275</v>
      </c>
      <c r="B6042" s="2">
        <v>723.0</v>
      </c>
      <c r="C6042" s="2" t="s">
        <v>84</v>
      </c>
      <c r="D6042" s="2" t="s">
        <v>5</v>
      </c>
    </row>
    <row r="6043">
      <c r="A6043" s="1">
        <v>43611.43492755787</v>
      </c>
      <c r="B6043" s="2">
        <v>723.0</v>
      </c>
      <c r="C6043" s="2" t="s">
        <v>84</v>
      </c>
      <c r="D6043" s="2" t="s">
        <v>5</v>
      </c>
    </row>
    <row r="6044">
      <c r="A6044" s="1">
        <v>43611.43508876157</v>
      </c>
      <c r="B6044" s="3" t="s">
        <v>111</v>
      </c>
      <c r="C6044" s="2" t="s">
        <v>112</v>
      </c>
    </row>
    <row r="6045">
      <c r="A6045" s="1">
        <v>43611.43511655093</v>
      </c>
      <c r="B6045" s="2">
        <v>253.0</v>
      </c>
      <c r="C6045" s="2" t="s">
        <v>138</v>
      </c>
    </row>
    <row r="6046">
      <c r="A6046" s="1">
        <v>43611.43535296296</v>
      </c>
      <c r="B6046" s="2">
        <v>229.0</v>
      </c>
      <c r="C6046" s="2" t="s">
        <v>86</v>
      </c>
    </row>
    <row r="6047">
      <c r="A6047" s="1">
        <v>43611.435520810184</v>
      </c>
      <c r="B6047" s="2">
        <v>708.0</v>
      </c>
      <c r="C6047" s="2" t="s">
        <v>4</v>
      </c>
      <c r="D6047" s="2" t="s">
        <v>5</v>
      </c>
    </row>
    <row r="6048">
      <c r="A6048" s="1">
        <v>43611.435595891206</v>
      </c>
      <c r="B6048" s="2">
        <v>709.0</v>
      </c>
      <c r="C6048" s="2" t="s">
        <v>20</v>
      </c>
      <c r="D6048" s="2" t="s">
        <v>5</v>
      </c>
    </row>
    <row r="6049">
      <c r="A6049" s="1">
        <v>43611.435657696755</v>
      </c>
      <c r="B6049" s="2">
        <v>710.0</v>
      </c>
      <c r="C6049" s="2" t="s">
        <v>21</v>
      </c>
      <c r="D6049" s="2" t="s">
        <v>5</v>
      </c>
    </row>
    <row r="6050">
      <c r="A6050" s="1">
        <v>43611.43575481481</v>
      </c>
      <c r="B6050" s="2">
        <v>262.0</v>
      </c>
      <c r="C6050" s="2" t="s">
        <v>28</v>
      </c>
    </row>
    <row r="6051">
      <c r="A6051" s="1">
        <v>43611.436701875005</v>
      </c>
      <c r="B6051" s="3" t="s">
        <v>55</v>
      </c>
      <c r="C6051" s="2" t="s">
        <v>56</v>
      </c>
    </row>
    <row r="6052">
      <c r="A6052" s="1">
        <v>43611.4369005787</v>
      </c>
      <c r="B6052" s="2">
        <v>707.0</v>
      </c>
      <c r="C6052" s="2" t="s">
        <v>57</v>
      </c>
      <c r="D6052" s="2" t="s">
        <v>5</v>
      </c>
    </row>
    <row r="6053">
      <c r="A6053" s="1">
        <v>43611.437344826394</v>
      </c>
      <c r="B6053" s="2">
        <v>141.0</v>
      </c>
      <c r="C6053" s="2" t="s">
        <v>53</v>
      </c>
    </row>
    <row r="6054">
      <c r="A6054" s="1">
        <v>43611.43814039352</v>
      </c>
      <c r="B6054" s="2">
        <v>602.0</v>
      </c>
      <c r="C6054" s="2" t="s">
        <v>131</v>
      </c>
    </row>
    <row r="6055">
      <c r="A6055" s="1">
        <v>43611.43817057871</v>
      </c>
      <c r="B6055" s="2">
        <v>52.0</v>
      </c>
      <c r="C6055" s="2" t="s">
        <v>41</v>
      </c>
    </row>
    <row r="6056">
      <c r="A6056" s="1">
        <v>43611.438250949075</v>
      </c>
      <c r="B6056" s="3" t="s">
        <v>103</v>
      </c>
      <c r="C6056" s="2" t="s">
        <v>104</v>
      </c>
    </row>
    <row r="6057">
      <c r="A6057" s="1">
        <v>43611.43841207176</v>
      </c>
      <c r="B6057" s="2">
        <v>141.0</v>
      </c>
      <c r="C6057" s="2" t="s">
        <v>53</v>
      </c>
    </row>
    <row r="6058">
      <c r="A6058" s="1">
        <v>43611.438836898145</v>
      </c>
      <c r="B6058" s="2">
        <v>729.0</v>
      </c>
      <c r="C6058" s="2" t="s">
        <v>54</v>
      </c>
      <c r="D6058" s="2" t="s">
        <v>5</v>
      </c>
    </row>
    <row r="6059">
      <c r="A6059" s="1">
        <v>43611.43885050926</v>
      </c>
      <c r="B6059" s="2">
        <v>677.0</v>
      </c>
      <c r="C6059" s="2" t="s">
        <v>224</v>
      </c>
    </row>
    <row r="6060">
      <c r="A6060" s="1">
        <v>43611.438977962964</v>
      </c>
      <c r="B6060" s="2">
        <v>641.0</v>
      </c>
      <c r="C6060" s="2" t="s">
        <v>210</v>
      </c>
    </row>
    <row r="6061">
      <c r="A6061" s="1">
        <v>43611.43967582176</v>
      </c>
      <c r="B6061" s="2">
        <v>126.0</v>
      </c>
      <c r="C6061" s="2" t="s">
        <v>87</v>
      </c>
    </row>
    <row r="6062">
      <c r="A6062" s="1">
        <v>43611.43980395833</v>
      </c>
      <c r="B6062" s="2">
        <v>268.0</v>
      </c>
      <c r="C6062" s="2" t="s">
        <v>205</v>
      </c>
    </row>
    <row r="6063">
      <c r="A6063" s="1">
        <v>43611.44319666667</v>
      </c>
      <c r="B6063" s="3" t="s">
        <v>44</v>
      </c>
      <c r="C6063" s="2" t="s">
        <v>45</v>
      </c>
    </row>
    <row r="6064">
      <c r="A6064" s="1">
        <v>43611.443673182876</v>
      </c>
      <c r="B6064" s="2">
        <v>734.0</v>
      </c>
      <c r="C6064" s="2" t="s">
        <v>63</v>
      </c>
      <c r="D6064" s="2" t="s">
        <v>5</v>
      </c>
    </row>
    <row r="6065">
      <c r="A6065" s="1">
        <v>43611.44377005787</v>
      </c>
      <c r="B6065" s="2">
        <v>259.0</v>
      </c>
      <c r="C6065" s="2" t="s">
        <v>66</v>
      </c>
    </row>
    <row r="6066">
      <c r="A6066" s="1">
        <v>43611.44385091435</v>
      </c>
      <c r="B6066" s="2">
        <v>260.0</v>
      </c>
      <c r="C6066" s="2" t="s">
        <v>67</v>
      </c>
    </row>
    <row r="6067">
      <c r="A6067" s="1">
        <v>43611.44575697917</v>
      </c>
      <c r="B6067" s="3" t="s">
        <v>80</v>
      </c>
      <c r="C6067" s="2" t="s">
        <v>81</v>
      </c>
    </row>
    <row r="6068">
      <c r="A6068" s="1">
        <v>43611.44651525463</v>
      </c>
      <c r="B6068" s="2">
        <v>198.0</v>
      </c>
      <c r="C6068" s="2" t="s">
        <v>97</v>
      </c>
    </row>
    <row r="6069">
      <c r="A6069" s="1">
        <v>43611.44700799769</v>
      </c>
      <c r="B6069" s="2">
        <v>611.0</v>
      </c>
      <c r="C6069" s="2" t="s">
        <v>143</v>
      </c>
    </row>
    <row r="6070">
      <c r="A6070" s="1">
        <v>43611.44745386574</v>
      </c>
      <c r="B6070" s="2">
        <v>675.0</v>
      </c>
      <c r="C6070" s="2" t="s">
        <v>222</v>
      </c>
    </row>
    <row r="6071">
      <c r="A6071" s="1">
        <v>43611.456353078705</v>
      </c>
      <c r="B6071" s="3" t="s">
        <v>150</v>
      </c>
      <c r="C6071" s="2" t="s">
        <v>151</v>
      </c>
    </row>
    <row r="6072">
      <c r="A6072" s="1">
        <v>43611.4566952662</v>
      </c>
      <c r="B6072" s="2">
        <v>706.0</v>
      </c>
      <c r="C6072" s="2" t="s">
        <v>149</v>
      </c>
      <c r="D6072" s="2" t="s">
        <v>5</v>
      </c>
    </row>
    <row r="6073">
      <c r="A6073" s="1">
        <v>43611.45677398148</v>
      </c>
      <c r="B6073" s="2">
        <v>157.0</v>
      </c>
      <c r="C6073" s="2" t="s">
        <v>141</v>
      </c>
    </row>
    <row r="6074">
      <c r="A6074" s="1">
        <v>43611.45680905093</v>
      </c>
      <c r="B6074" s="3" t="s">
        <v>150</v>
      </c>
      <c r="C6074" s="2" t="s">
        <v>151</v>
      </c>
    </row>
    <row r="6075">
      <c r="A6075" s="1">
        <v>43611.4569533912</v>
      </c>
      <c r="B6075" s="2">
        <v>705.0</v>
      </c>
      <c r="C6075" s="2" t="s">
        <v>168</v>
      </c>
      <c r="D6075" s="2" t="s">
        <v>5</v>
      </c>
    </row>
    <row r="6076">
      <c r="A6076" s="1">
        <v>43611.45707092593</v>
      </c>
      <c r="B6076" s="2">
        <v>259.0</v>
      </c>
      <c r="C6076" s="2" t="s">
        <v>66</v>
      </c>
    </row>
    <row r="6077">
      <c r="A6077" s="1">
        <v>43611.45722844907</v>
      </c>
      <c r="B6077" s="2">
        <v>706.0</v>
      </c>
      <c r="C6077" s="2" t="s">
        <v>149</v>
      </c>
      <c r="D6077" s="2" t="s">
        <v>5</v>
      </c>
    </row>
    <row r="6078">
      <c r="A6078" s="1">
        <v>43611.81299416667</v>
      </c>
      <c r="B6078" s="2">
        <v>219.0</v>
      </c>
      <c r="C6078" s="2" t="s">
        <v>31</v>
      </c>
    </row>
    <row r="6079">
      <c r="A6079" s="1">
        <v>43612.42618704861</v>
      </c>
      <c r="B6079" s="2">
        <v>237.0</v>
      </c>
      <c r="C6079" s="2" t="s">
        <v>140</v>
      </c>
    </row>
    <row r="6080">
      <c r="A6080" s="1">
        <v>43612.42636565972</v>
      </c>
      <c r="B6080" s="2">
        <v>721.0</v>
      </c>
      <c r="C6080" s="2" t="s">
        <v>156</v>
      </c>
      <c r="D6080" s="2" t="s">
        <v>5</v>
      </c>
    </row>
    <row r="6081">
      <c r="A6081" s="1">
        <v>43612.427227569446</v>
      </c>
      <c r="B6081" s="2">
        <v>670.0</v>
      </c>
      <c r="C6081" s="2" t="s">
        <v>139</v>
      </c>
    </row>
    <row r="6082">
      <c r="A6082" s="1">
        <v>43612.42727738426</v>
      </c>
      <c r="B6082" s="2">
        <v>671.0</v>
      </c>
      <c r="C6082" s="2" t="s">
        <v>129</v>
      </c>
    </row>
    <row r="6083">
      <c r="A6083" s="1">
        <v>43612.42760355324</v>
      </c>
      <c r="B6083" s="2">
        <v>236.0</v>
      </c>
      <c r="C6083" s="2" t="s">
        <v>142</v>
      </c>
    </row>
    <row r="6084">
      <c r="A6084" s="1">
        <v>43612.428136365736</v>
      </c>
      <c r="B6084" s="3" t="s">
        <v>126</v>
      </c>
      <c r="C6084" s="2" t="s">
        <v>127</v>
      </c>
    </row>
    <row r="6085">
      <c r="A6085" s="1">
        <v>43614.57422753472</v>
      </c>
      <c r="B6085" s="2">
        <v>219.0</v>
      </c>
      <c r="C6085" s="2" t="s">
        <v>31</v>
      </c>
    </row>
    <row r="6086">
      <c r="A6086" s="1">
        <v>43616.053589247684</v>
      </c>
      <c r="B6086" s="2">
        <v>219.0</v>
      </c>
      <c r="C6086" s="2" t="s">
        <v>31</v>
      </c>
    </row>
    <row r="6087">
      <c r="A6087" s="1">
        <v>43618.39823702547</v>
      </c>
      <c r="B6087" s="2">
        <v>167.0</v>
      </c>
      <c r="C6087" s="2" t="s">
        <v>39</v>
      </c>
    </row>
    <row r="6088">
      <c r="A6088" s="1">
        <v>43618.413531134254</v>
      </c>
      <c r="B6088" s="2">
        <v>252.0</v>
      </c>
      <c r="C6088" s="2" t="s">
        <v>34</v>
      </c>
    </row>
    <row r="6089">
      <c r="A6089" s="1">
        <v>43618.41455716435</v>
      </c>
      <c r="B6089" s="2">
        <v>252.0</v>
      </c>
      <c r="C6089" s="2" t="s">
        <v>34</v>
      </c>
    </row>
    <row r="6090">
      <c r="A6090" s="1">
        <v>43618.41840693287</v>
      </c>
      <c r="B6090" s="2">
        <v>614.0</v>
      </c>
      <c r="C6090" s="2" t="s">
        <v>76</v>
      </c>
    </row>
    <row r="6091">
      <c r="A6091" s="1">
        <v>43618.419695370365</v>
      </c>
      <c r="B6091" s="2">
        <v>253.0</v>
      </c>
      <c r="C6091" s="2" t="s">
        <v>138</v>
      </c>
    </row>
    <row r="6092">
      <c r="A6092" s="1">
        <v>43618.41986929398</v>
      </c>
      <c r="B6092" s="2">
        <v>602.0</v>
      </c>
      <c r="C6092" s="2" t="s">
        <v>131</v>
      </c>
    </row>
    <row r="6093">
      <c r="A6093" s="1">
        <v>43618.42000164352</v>
      </c>
      <c r="B6093" s="2">
        <v>52.0</v>
      </c>
      <c r="C6093" s="2" t="s">
        <v>41</v>
      </c>
    </row>
    <row r="6094">
      <c r="A6094" s="1">
        <v>43618.42024747685</v>
      </c>
      <c r="B6094" s="3" t="s">
        <v>159</v>
      </c>
      <c r="C6094" s="2" t="s">
        <v>160</v>
      </c>
    </row>
    <row r="6095">
      <c r="A6095" s="1">
        <v>43618.42107783565</v>
      </c>
      <c r="B6095" s="2">
        <v>141.0</v>
      </c>
      <c r="C6095" s="2" t="s">
        <v>53</v>
      </c>
    </row>
    <row r="6096">
      <c r="A6096" s="1">
        <v>43618.421598761575</v>
      </c>
      <c r="B6096" s="2">
        <v>253.0</v>
      </c>
      <c r="C6096" s="2" t="s">
        <v>138</v>
      </c>
    </row>
    <row r="6097">
      <c r="A6097" s="1">
        <v>43618.42162414352</v>
      </c>
      <c r="B6097" s="2">
        <v>614.0</v>
      </c>
      <c r="C6097" s="2" t="s">
        <v>76</v>
      </c>
    </row>
    <row r="6098">
      <c r="A6098" s="1">
        <v>43618.42163896991</v>
      </c>
      <c r="B6098" s="2">
        <v>252.0</v>
      </c>
      <c r="C6098" s="2" t="s">
        <v>34</v>
      </c>
    </row>
    <row r="6099">
      <c r="A6099" s="1">
        <v>43618.421928055555</v>
      </c>
      <c r="B6099" s="2">
        <v>219.0</v>
      </c>
      <c r="C6099" s="2" t="s">
        <v>31</v>
      </c>
    </row>
    <row r="6100">
      <c r="A6100" s="1">
        <v>43618.42201439815</v>
      </c>
      <c r="B6100" s="2">
        <v>238.0</v>
      </c>
      <c r="C6100" s="2" t="s">
        <v>35</v>
      </c>
    </row>
    <row r="6101">
      <c r="A6101" s="1">
        <v>43618.42219653935</v>
      </c>
      <c r="B6101" s="2">
        <v>735.0</v>
      </c>
      <c r="C6101" s="2" t="s">
        <v>37</v>
      </c>
      <c r="D6101" s="2" t="s">
        <v>5</v>
      </c>
    </row>
    <row r="6102">
      <c r="A6102" s="1">
        <v>43618.42255905093</v>
      </c>
      <c r="B6102" s="2">
        <v>189.0</v>
      </c>
      <c r="C6102" s="2" t="s">
        <v>128</v>
      </c>
    </row>
    <row r="6103">
      <c r="A6103" s="1">
        <v>43618.42282553241</v>
      </c>
      <c r="B6103" s="2">
        <v>603.0</v>
      </c>
      <c r="C6103" s="2" t="s">
        <v>40</v>
      </c>
    </row>
    <row r="6104">
      <c r="A6104" s="1">
        <v>43618.423915949075</v>
      </c>
      <c r="B6104" s="2">
        <v>165.0</v>
      </c>
      <c r="C6104" s="2" t="s">
        <v>50</v>
      </c>
    </row>
    <row r="6105">
      <c r="A6105" s="1">
        <v>43618.424965196755</v>
      </c>
      <c r="B6105" s="2">
        <v>254.0</v>
      </c>
      <c r="C6105" s="2" t="s">
        <v>132</v>
      </c>
    </row>
    <row r="6106">
      <c r="A6106" s="1">
        <v>43618.42564570602</v>
      </c>
      <c r="B6106" s="2">
        <v>244.0</v>
      </c>
      <c r="C6106" s="2" t="s">
        <v>38</v>
      </c>
    </row>
    <row r="6107">
      <c r="A6107" s="1">
        <v>43618.42571811343</v>
      </c>
      <c r="B6107" s="2">
        <v>740.0</v>
      </c>
      <c r="C6107" s="2" t="s">
        <v>221</v>
      </c>
      <c r="D6107" s="2" t="s">
        <v>5</v>
      </c>
    </row>
    <row r="6108">
      <c r="A6108" s="1">
        <v>43618.42578696759</v>
      </c>
      <c r="B6108" s="2">
        <v>607.0</v>
      </c>
      <c r="C6108" s="2" t="s">
        <v>68</v>
      </c>
    </row>
    <row r="6109">
      <c r="A6109" s="1">
        <v>43618.42878771991</v>
      </c>
      <c r="B6109" s="2">
        <v>231.0</v>
      </c>
      <c r="C6109" s="2" t="s">
        <v>61</v>
      </c>
    </row>
    <row r="6110">
      <c r="A6110" s="1">
        <v>43618.42895054398</v>
      </c>
      <c r="B6110" s="2">
        <v>231.0</v>
      </c>
      <c r="C6110" s="2" t="s">
        <v>61</v>
      </c>
    </row>
    <row r="6111">
      <c r="A6111" s="1">
        <v>43618.42895528935</v>
      </c>
      <c r="B6111" s="2">
        <v>231.0</v>
      </c>
      <c r="C6111" s="2" t="s">
        <v>61</v>
      </c>
    </row>
    <row r="6112">
      <c r="A6112" s="1">
        <v>43618.42909006945</v>
      </c>
      <c r="B6112" s="2">
        <v>231.0</v>
      </c>
      <c r="C6112" s="2" t="s">
        <v>61</v>
      </c>
    </row>
    <row r="6113">
      <c r="A6113" s="1">
        <v>43618.42909990741</v>
      </c>
      <c r="B6113" s="2">
        <v>231.0</v>
      </c>
      <c r="C6113" s="2" t="s">
        <v>61</v>
      </c>
    </row>
    <row r="6114">
      <c r="A6114" s="1">
        <v>43618.429203506945</v>
      </c>
      <c r="B6114" s="2">
        <v>231.0</v>
      </c>
      <c r="C6114" s="2" t="s">
        <v>61</v>
      </c>
    </row>
    <row r="6115">
      <c r="A6115" s="1">
        <v>43618.429277766205</v>
      </c>
      <c r="B6115" s="2">
        <v>231.0</v>
      </c>
      <c r="C6115" s="2" t="s">
        <v>61</v>
      </c>
    </row>
    <row r="6116">
      <c r="A6116" s="1">
        <v>43618.42939225695</v>
      </c>
      <c r="B6116" s="2">
        <v>231.0</v>
      </c>
      <c r="C6116" s="2" t="s">
        <v>61</v>
      </c>
    </row>
    <row r="6117">
      <c r="A6117" s="1">
        <v>43618.429981875</v>
      </c>
      <c r="B6117" s="3" t="s">
        <v>32</v>
      </c>
      <c r="C6117" s="2" t="s">
        <v>33</v>
      </c>
    </row>
    <row r="6118">
      <c r="A6118" s="1">
        <v>43618.430283333335</v>
      </c>
      <c r="B6118" s="2">
        <v>173.0</v>
      </c>
      <c r="C6118" s="2" t="s">
        <v>24</v>
      </c>
    </row>
    <row r="6119">
      <c r="A6119" s="1">
        <v>43618.43073086806</v>
      </c>
      <c r="B6119" s="2">
        <v>214.0</v>
      </c>
      <c r="C6119" s="2" t="s">
        <v>47</v>
      </c>
    </row>
    <row r="6120">
      <c r="A6120" s="1">
        <v>43618.43091734954</v>
      </c>
      <c r="B6120" s="3" t="s">
        <v>22</v>
      </c>
      <c r="C6120" s="2" t="s">
        <v>23</v>
      </c>
    </row>
    <row r="6121">
      <c r="A6121" s="1">
        <v>43618.43098185185</v>
      </c>
      <c r="B6121" s="3" t="s">
        <v>162</v>
      </c>
      <c r="C6121" s="2" t="s">
        <v>163</v>
      </c>
    </row>
    <row r="6122">
      <c r="A6122" s="1">
        <v>43618.431289050925</v>
      </c>
      <c r="B6122" s="2">
        <v>113.0</v>
      </c>
      <c r="C6122" s="2" t="s">
        <v>29</v>
      </c>
    </row>
    <row r="6123">
      <c r="A6123" s="1">
        <v>43618.43141405092</v>
      </c>
      <c r="B6123" s="2">
        <v>201.0</v>
      </c>
      <c r="C6123" s="2" t="s">
        <v>70</v>
      </c>
    </row>
    <row r="6124">
      <c r="A6124" s="1">
        <v>43618.431522893516</v>
      </c>
      <c r="B6124" s="3" t="s">
        <v>80</v>
      </c>
      <c r="C6124" s="2" t="s">
        <v>81</v>
      </c>
    </row>
    <row r="6125">
      <c r="A6125" s="1">
        <v>43618.43179351852</v>
      </c>
      <c r="B6125" s="2">
        <v>613.0</v>
      </c>
      <c r="C6125" s="2" t="s">
        <v>124</v>
      </c>
    </row>
    <row r="6126">
      <c r="A6126" s="1">
        <v>43618.4318074537</v>
      </c>
      <c r="B6126" s="2">
        <v>193.0</v>
      </c>
      <c r="C6126" s="2" t="s">
        <v>30</v>
      </c>
    </row>
    <row r="6127">
      <c r="A6127" s="1">
        <v>43618.43188965278</v>
      </c>
      <c r="B6127" s="2">
        <v>720.0</v>
      </c>
      <c r="C6127" s="2" t="s">
        <v>155</v>
      </c>
      <c r="D6127" s="2" t="s">
        <v>5</v>
      </c>
    </row>
    <row r="6128">
      <c r="A6128" s="1">
        <v>43618.43208626157</v>
      </c>
      <c r="B6128" s="2">
        <v>721.0</v>
      </c>
      <c r="C6128" s="2" t="s">
        <v>156</v>
      </c>
      <c r="D6128" s="2" t="s">
        <v>5</v>
      </c>
    </row>
    <row r="6129">
      <c r="A6129" s="1">
        <v>43618.432154525464</v>
      </c>
      <c r="B6129" s="2">
        <v>175.0</v>
      </c>
      <c r="C6129" s="2" t="s">
        <v>69</v>
      </c>
    </row>
    <row r="6130">
      <c r="A6130" s="1">
        <v>43618.43218743056</v>
      </c>
      <c r="B6130" s="2">
        <v>160.0</v>
      </c>
      <c r="C6130" s="2" t="s">
        <v>154</v>
      </c>
    </row>
    <row r="6131">
      <c r="A6131" s="1">
        <v>43618.43237285879</v>
      </c>
      <c r="B6131" s="2">
        <v>175.0</v>
      </c>
      <c r="C6131" s="2" t="s">
        <v>69</v>
      </c>
    </row>
    <row r="6132">
      <c r="A6132" s="1">
        <v>43618.43251559028</v>
      </c>
      <c r="B6132" s="2">
        <v>613.0</v>
      </c>
      <c r="C6132" s="2" t="s">
        <v>124</v>
      </c>
    </row>
    <row r="6133">
      <c r="A6133" s="1">
        <v>43618.43261721065</v>
      </c>
      <c r="B6133" s="2">
        <v>613.0</v>
      </c>
      <c r="C6133" s="2" t="s">
        <v>124</v>
      </c>
    </row>
    <row r="6134">
      <c r="A6134" s="1">
        <v>43618.43318262731</v>
      </c>
      <c r="B6134" s="3" t="s">
        <v>32</v>
      </c>
      <c r="C6134" s="2" t="s">
        <v>33</v>
      </c>
    </row>
    <row r="6135">
      <c r="A6135" s="1">
        <v>43618.43320557871</v>
      </c>
      <c r="B6135" s="3" t="s">
        <v>32</v>
      </c>
      <c r="C6135" s="2" t="s">
        <v>33</v>
      </c>
    </row>
    <row r="6136">
      <c r="A6136" s="1">
        <v>43618.43325497685</v>
      </c>
      <c r="B6136" s="3" t="s">
        <v>32</v>
      </c>
      <c r="C6136" s="2" t="s">
        <v>33</v>
      </c>
    </row>
    <row r="6137">
      <c r="A6137" s="1">
        <v>43618.4339912963</v>
      </c>
      <c r="B6137" s="3" t="s">
        <v>32</v>
      </c>
      <c r="C6137" s="2" t="s">
        <v>33</v>
      </c>
    </row>
    <row r="6138">
      <c r="A6138" s="1">
        <v>43618.43400998843</v>
      </c>
      <c r="B6138" s="3" t="s">
        <v>51</v>
      </c>
      <c r="C6138" s="2" t="s">
        <v>52</v>
      </c>
    </row>
    <row r="6139">
      <c r="A6139" s="1">
        <v>43618.43405473379</v>
      </c>
      <c r="B6139" s="3" t="s">
        <v>32</v>
      </c>
      <c r="C6139" s="2" t="s">
        <v>33</v>
      </c>
    </row>
    <row r="6140">
      <c r="A6140" s="1">
        <v>43618.43503616899</v>
      </c>
      <c r="B6140" s="2">
        <v>270.0</v>
      </c>
      <c r="C6140" s="2" t="s">
        <v>153</v>
      </c>
    </row>
    <row r="6141">
      <c r="A6141" s="1">
        <v>43618.43539738426</v>
      </c>
      <c r="B6141" s="2">
        <v>717.0</v>
      </c>
      <c r="C6141" s="2" t="s">
        <v>152</v>
      </c>
      <c r="D6141" s="2" t="s">
        <v>5</v>
      </c>
    </row>
    <row r="6142">
      <c r="A6142" s="1">
        <v>43618.43546846065</v>
      </c>
      <c r="B6142" s="3" t="s">
        <v>51</v>
      </c>
      <c r="C6142" s="2" t="s">
        <v>52</v>
      </c>
    </row>
    <row r="6143">
      <c r="A6143" s="1">
        <v>43618.43614127315</v>
      </c>
      <c r="B6143" s="3" t="s">
        <v>32</v>
      </c>
      <c r="C6143" s="2" t="s">
        <v>33</v>
      </c>
    </row>
    <row r="6144">
      <c r="A6144" s="1">
        <v>43618.436141620376</v>
      </c>
      <c r="B6144" s="3" t="s">
        <v>51</v>
      </c>
      <c r="C6144" s="2" t="s">
        <v>52</v>
      </c>
    </row>
    <row r="6145">
      <c r="A6145" s="1">
        <v>43618.43621209491</v>
      </c>
      <c r="B6145" s="3" t="s">
        <v>32</v>
      </c>
      <c r="C6145" s="2" t="s">
        <v>33</v>
      </c>
    </row>
    <row r="6146">
      <c r="A6146" s="1">
        <v>43618.436334976854</v>
      </c>
      <c r="B6146" s="3" t="s">
        <v>74</v>
      </c>
      <c r="C6146" s="2" t="s">
        <v>75</v>
      </c>
    </row>
    <row r="6147">
      <c r="A6147" s="1">
        <v>43618.43696740741</v>
      </c>
      <c r="B6147" s="2">
        <v>246.0</v>
      </c>
      <c r="C6147" s="2" t="s">
        <v>26</v>
      </c>
    </row>
    <row r="6148">
      <c r="A6148" s="1">
        <v>43618.4371699537</v>
      </c>
      <c r="B6148" s="2">
        <v>722.0</v>
      </c>
      <c r="C6148" s="2" t="s">
        <v>25</v>
      </c>
      <c r="D6148" s="2" t="s">
        <v>5</v>
      </c>
    </row>
    <row r="6149">
      <c r="A6149" s="1">
        <v>43618.437413645835</v>
      </c>
      <c r="B6149" s="2">
        <v>631.0</v>
      </c>
      <c r="C6149" s="2" t="s">
        <v>178</v>
      </c>
    </row>
    <row r="6150">
      <c r="A6150" s="1">
        <v>43618.43751002315</v>
      </c>
      <c r="B6150" s="2">
        <v>655.0</v>
      </c>
      <c r="C6150" s="2" t="s">
        <v>17</v>
      </c>
    </row>
    <row r="6151">
      <c r="A6151" s="1">
        <v>43618.437539398146</v>
      </c>
      <c r="B6151" s="2">
        <v>738.0</v>
      </c>
      <c r="C6151" s="2" t="s">
        <v>161</v>
      </c>
    </row>
    <row r="6152">
      <c r="A6152" s="1">
        <v>43618.437623125</v>
      </c>
      <c r="B6152" s="2">
        <v>718.0</v>
      </c>
      <c r="C6152" s="2" t="s">
        <v>105</v>
      </c>
      <c r="D6152" s="2" t="s">
        <v>5</v>
      </c>
    </row>
    <row r="6153">
      <c r="A6153" s="1">
        <v>43618.437730011574</v>
      </c>
      <c r="B6153" s="2">
        <v>719.0</v>
      </c>
      <c r="C6153" s="2" t="s">
        <v>106</v>
      </c>
      <c r="D6153" s="2" t="s">
        <v>5</v>
      </c>
    </row>
    <row r="6154">
      <c r="A6154" s="1">
        <v>43618.43781824074</v>
      </c>
      <c r="B6154" s="3" t="s">
        <v>78</v>
      </c>
      <c r="C6154" s="2" t="s">
        <v>79</v>
      </c>
    </row>
    <row r="6155">
      <c r="A6155" s="1">
        <v>43618.43787751158</v>
      </c>
      <c r="B6155" s="2">
        <v>101.0</v>
      </c>
      <c r="C6155" s="2" t="s">
        <v>108</v>
      </c>
    </row>
    <row r="6156">
      <c r="A6156" s="1">
        <v>43618.4379909375</v>
      </c>
      <c r="B6156" s="3" t="s">
        <v>113</v>
      </c>
      <c r="C6156" s="2" t="s">
        <v>114</v>
      </c>
    </row>
    <row r="6157">
      <c r="A6157" s="1">
        <v>43618.43799694444</v>
      </c>
      <c r="B6157" s="2">
        <v>723.0</v>
      </c>
      <c r="C6157" s="2" t="s">
        <v>84</v>
      </c>
      <c r="D6157" s="2" t="s">
        <v>5</v>
      </c>
    </row>
    <row r="6158">
      <c r="A6158" s="1">
        <v>43618.43813664352</v>
      </c>
      <c r="B6158" s="3" t="s">
        <v>103</v>
      </c>
      <c r="C6158" s="2" t="s">
        <v>104</v>
      </c>
    </row>
    <row r="6159">
      <c r="A6159" s="1">
        <v>43618.43814841435</v>
      </c>
      <c r="B6159" s="2">
        <v>625.0</v>
      </c>
      <c r="C6159" s="2" t="s">
        <v>136</v>
      </c>
    </row>
    <row r="6160">
      <c r="A6160" s="1">
        <v>43618.438250555555</v>
      </c>
      <c r="B6160" s="2">
        <v>172.0</v>
      </c>
      <c r="C6160" s="2" t="s">
        <v>65</v>
      </c>
    </row>
    <row r="6161">
      <c r="A6161" s="1">
        <v>43618.438260995375</v>
      </c>
      <c r="B6161" s="2">
        <v>215.0</v>
      </c>
      <c r="C6161" s="2" t="s">
        <v>137</v>
      </c>
    </row>
    <row r="6162">
      <c r="A6162" s="1">
        <v>43618.43834126157</v>
      </c>
      <c r="B6162" s="2">
        <v>734.0</v>
      </c>
      <c r="C6162" s="2" t="s">
        <v>63</v>
      </c>
      <c r="D6162" s="2" t="s">
        <v>5</v>
      </c>
    </row>
    <row r="6163">
      <c r="A6163" s="1">
        <v>43618.43834496528</v>
      </c>
      <c r="B6163" s="2">
        <v>210.0</v>
      </c>
      <c r="C6163" s="2" t="s">
        <v>64</v>
      </c>
    </row>
    <row r="6164">
      <c r="A6164" s="1">
        <v>43618.43843189815</v>
      </c>
      <c r="B6164" s="2">
        <v>259.0</v>
      </c>
      <c r="C6164" s="2" t="s">
        <v>66</v>
      </c>
    </row>
    <row r="6165">
      <c r="A6165" s="1">
        <v>43618.43848865741</v>
      </c>
      <c r="B6165" s="2">
        <v>648.0</v>
      </c>
      <c r="C6165" s="2" t="s">
        <v>207</v>
      </c>
    </row>
    <row r="6166">
      <c r="A6166" s="1">
        <v>43618.4385540625</v>
      </c>
      <c r="B6166" s="2">
        <v>649.0</v>
      </c>
      <c r="C6166" s="2" t="s">
        <v>177</v>
      </c>
    </row>
    <row r="6167">
      <c r="A6167" s="1">
        <v>43618.43855518519</v>
      </c>
      <c r="B6167" s="2">
        <v>260.0</v>
      </c>
      <c r="C6167" s="2" t="s">
        <v>67</v>
      </c>
    </row>
    <row r="6168">
      <c r="A6168" s="1">
        <v>43618.43864115741</v>
      </c>
      <c r="B6168" s="2">
        <v>267.0</v>
      </c>
      <c r="C6168" s="2" t="s">
        <v>115</v>
      </c>
    </row>
    <row r="6169">
      <c r="A6169" s="1">
        <v>43618.43867318287</v>
      </c>
      <c r="B6169" s="2">
        <v>611.0</v>
      </c>
      <c r="C6169" s="2" t="s">
        <v>143</v>
      </c>
    </row>
    <row r="6170">
      <c r="A6170" s="1">
        <v>43618.438770775465</v>
      </c>
      <c r="B6170" s="2">
        <v>124.0</v>
      </c>
      <c r="C6170" s="2" t="s">
        <v>107</v>
      </c>
    </row>
    <row r="6171">
      <c r="A6171" s="1">
        <v>43618.43883932871</v>
      </c>
      <c r="B6171" s="3" t="s">
        <v>88</v>
      </c>
      <c r="C6171" s="2" t="s">
        <v>89</v>
      </c>
    </row>
    <row r="6172">
      <c r="A6172" s="1">
        <v>43618.438949421296</v>
      </c>
      <c r="B6172" s="2">
        <v>262.0</v>
      </c>
      <c r="C6172" s="2" t="s">
        <v>28</v>
      </c>
    </row>
    <row r="6173">
      <c r="A6173" s="1">
        <v>43618.439700821764</v>
      </c>
      <c r="B6173" s="2">
        <v>229.0</v>
      </c>
      <c r="C6173" s="2" t="s">
        <v>86</v>
      </c>
    </row>
    <row r="6174">
      <c r="A6174" s="1">
        <v>43618.44052469908</v>
      </c>
      <c r="B6174" s="2">
        <v>641.0</v>
      </c>
      <c r="C6174" s="2" t="s">
        <v>210</v>
      </c>
    </row>
    <row r="6175">
      <c r="A6175" s="1">
        <v>43618.44176836805</v>
      </c>
      <c r="B6175" s="2">
        <v>208.0</v>
      </c>
      <c r="C6175" s="2" t="s">
        <v>182</v>
      </c>
    </row>
    <row r="6176">
      <c r="A6176" s="1">
        <v>43618.442856180554</v>
      </c>
      <c r="B6176" s="3" t="s">
        <v>98</v>
      </c>
      <c r="C6176" s="2" t="s">
        <v>99</v>
      </c>
    </row>
    <row r="6177">
      <c r="A6177" s="1">
        <v>43618.442975439815</v>
      </c>
      <c r="B6177" s="2">
        <v>147.0</v>
      </c>
      <c r="C6177" s="2" t="s">
        <v>100</v>
      </c>
    </row>
    <row r="6178">
      <c r="A6178" s="1">
        <v>43618.44310858796</v>
      </c>
      <c r="B6178" s="2">
        <v>726.0</v>
      </c>
      <c r="C6178" s="2" t="s">
        <v>101</v>
      </c>
      <c r="D6178" s="2" t="s">
        <v>5</v>
      </c>
    </row>
    <row r="6179">
      <c r="A6179" s="1">
        <v>43618.443173402775</v>
      </c>
      <c r="B6179" s="2">
        <v>732.0</v>
      </c>
      <c r="C6179" s="2" t="s">
        <v>102</v>
      </c>
      <c r="D6179" s="2" t="s">
        <v>5</v>
      </c>
    </row>
    <row r="6180">
      <c r="A6180" s="1">
        <v>43618.44393800926</v>
      </c>
      <c r="B6180" s="2">
        <v>675.0</v>
      </c>
      <c r="C6180" s="2" t="s">
        <v>222</v>
      </c>
    </row>
    <row r="6181">
      <c r="A6181" s="1">
        <v>43618.450824444444</v>
      </c>
      <c r="B6181" s="3" t="s">
        <v>51</v>
      </c>
      <c r="C6181" s="2" t="s">
        <v>52</v>
      </c>
    </row>
    <row r="6182">
      <c r="A6182" s="1">
        <v>43618.45156318287</v>
      </c>
      <c r="B6182" s="2">
        <v>114.0</v>
      </c>
      <c r="C6182" s="2" t="s">
        <v>15</v>
      </c>
    </row>
    <row r="6183">
      <c r="A6183" s="1">
        <v>43618.451685196764</v>
      </c>
      <c r="B6183" s="3" t="s">
        <v>9</v>
      </c>
      <c r="C6183" s="2" t="s">
        <v>10</v>
      </c>
    </row>
    <row r="6184">
      <c r="A6184" s="1">
        <v>43618.45183856481</v>
      </c>
      <c r="B6184" s="2">
        <v>672.0</v>
      </c>
      <c r="C6184" s="2" t="s">
        <v>6</v>
      </c>
    </row>
    <row r="6185">
      <c r="A6185" s="1">
        <v>43618.451962708335</v>
      </c>
      <c r="B6185" s="2">
        <v>708.0</v>
      </c>
      <c r="C6185" s="2" t="s">
        <v>4</v>
      </c>
      <c r="D6185" s="2" t="s">
        <v>5</v>
      </c>
    </row>
    <row r="6186">
      <c r="A6186" s="1">
        <v>43618.45200934028</v>
      </c>
      <c r="B6186" s="2">
        <v>709.0</v>
      </c>
      <c r="C6186" s="2" t="s">
        <v>20</v>
      </c>
      <c r="D6186" s="2" t="s">
        <v>5</v>
      </c>
    </row>
    <row r="6187">
      <c r="A6187" s="1">
        <v>43618.45205733796</v>
      </c>
      <c r="B6187" s="2">
        <v>710.0</v>
      </c>
      <c r="C6187" s="2" t="s">
        <v>21</v>
      </c>
      <c r="D6187" s="2" t="s">
        <v>5</v>
      </c>
    </row>
    <row r="6188">
      <c r="A6188" s="1">
        <v>43618.543654953704</v>
      </c>
      <c r="B6188" s="2">
        <v>219.0</v>
      </c>
      <c r="C6188" s="2" t="s">
        <v>31</v>
      </c>
    </row>
    <row r="6189">
      <c r="A6189" s="1">
        <v>43619.50470105324</v>
      </c>
      <c r="B6189" s="2">
        <v>717.0</v>
      </c>
      <c r="C6189" s="2" t="s">
        <v>152</v>
      </c>
      <c r="D6189" s="2" t="s">
        <v>5</v>
      </c>
    </row>
    <row r="6190">
      <c r="A6190" s="1">
        <v>43619.505795289355</v>
      </c>
      <c r="B6190" s="2">
        <v>215.0</v>
      </c>
      <c r="C6190" s="2" t="s">
        <v>137</v>
      </c>
    </row>
    <row r="6191">
      <c r="A6191" s="1">
        <v>43619.55997993056</v>
      </c>
      <c r="B6191" s="3" t="s">
        <v>117</v>
      </c>
      <c r="C6191" s="2" t="s">
        <v>118</v>
      </c>
    </row>
    <row r="6192">
      <c r="A6192" s="1">
        <v>43619.560058055555</v>
      </c>
      <c r="B6192" s="3" t="s">
        <v>119</v>
      </c>
      <c r="C6192" s="2" t="s">
        <v>120</v>
      </c>
    </row>
    <row r="6193">
      <c r="A6193" s="1">
        <v>43619.560144143514</v>
      </c>
      <c r="B6193" s="3" t="s">
        <v>126</v>
      </c>
      <c r="C6193" s="2" t="s">
        <v>127</v>
      </c>
    </row>
    <row r="6194">
      <c r="A6194" s="1">
        <v>43619.56044361111</v>
      </c>
      <c r="B6194" s="3" t="s">
        <v>150</v>
      </c>
      <c r="C6194" s="2" t="s">
        <v>151</v>
      </c>
    </row>
    <row r="6195">
      <c r="A6195" s="1">
        <v>43619.560684571756</v>
      </c>
      <c r="B6195" s="3" t="s">
        <v>55</v>
      </c>
      <c r="C6195" s="2" t="s">
        <v>56</v>
      </c>
    </row>
    <row r="6196">
      <c r="A6196" s="1">
        <v>43619.56194922454</v>
      </c>
      <c r="B6196" s="2">
        <v>157.0</v>
      </c>
      <c r="C6196" s="2" t="s">
        <v>141</v>
      </c>
    </row>
    <row r="6197">
      <c r="A6197" s="1">
        <v>43619.56240435185</v>
      </c>
      <c r="B6197" s="2">
        <v>237.0</v>
      </c>
      <c r="C6197" s="2" t="s">
        <v>140</v>
      </c>
    </row>
    <row r="6198">
      <c r="A6198" s="1">
        <v>43619.56300390046</v>
      </c>
      <c r="B6198" s="2">
        <v>650.0</v>
      </c>
      <c r="C6198" s="2" t="s">
        <v>213</v>
      </c>
    </row>
    <row r="6199">
      <c r="A6199" s="1">
        <v>43619.577914837966</v>
      </c>
      <c r="B6199" s="2">
        <v>215.0</v>
      </c>
      <c r="C6199" s="2" t="s">
        <v>137</v>
      </c>
    </row>
    <row r="6200">
      <c r="A6200" s="1">
        <v>43619.57909274306</v>
      </c>
      <c r="B6200" s="2">
        <v>604.0</v>
      </c>
      <c r="C6200" s="2" t="s">
        <v>36</v>
      </c>
    </row>
    <row r="6201">
      <c r="A6201" s="1">
        <v>43619.579469895834</v>
      </c>
      <c r="B6201" s="2">
        <v>157.0</v>
      </c>
      <c r="C6201" s="2" t="s">
        <v>141</v>
      </c>
    </row>
    <row r="6202">
      <c r="A6202" s="1">
        <v>43619.58019061343</v>
      </c>
      <c r="B6202" s="3" t="s">
        <v>126</v>
      </c>
      <c r="C6202" s="2" t="s">
        <v>127</v>
      </c>
    </row>
    <row r="6203">
      <c r="A6203" s="1">
        <v>43619.58072013889</v>
      </c>
      <c r="B6203" s="2">
        <v>705.0</v>
      </c>
      <c r="C6203" s="2" t="s">
        <v>168</v>
      </c>
      <c r="D6203" s="2" t="s">
        <v>5</v>
      </c>
    </row>
    <row r="6204">
      <c r="A6204" s="1">
        <v>43619.581058020834</v>
      </c>
      <c r="B6204" s="3" t="s">
        <v>119</v>
      </c>
      <c r="C6204" s="2" t="s">
        <v>120</v>
      </c>
    </row>
    <row r="6205">
      <c r="A6205" s="1">
        <v>43619.58138016204</v>
      </c>
      <c r="B6205" s="3" t="s">
        <v>117</v>
      </c>
      <c r="C6205" s="2" t="s">
        <v>118</v>
      </c>
    </row>
    <row r="6206">
      <c r="A6206" s="1">
        <v>43619.58149358796</v>
      </c>
      <c r="B6206" s="2">
        <v>713.0</v>
      </c>
      <c r="C6206" s="2" t="s">
        <v>121</v>
      </c>
      <c r="D6206" s="2" t="s">
        <v>5</v>
      </c>
    </row>
    <row r="6207">
      <c r="A6207" s="1">
        <v>43619.58155538194</v>
      </c>
      <c r="B6207" s="2">
        <v>714.0</v>
      </c>
      <c r="C6207" s="2" t="s">
        <v>122</v>
      </c>
      <c r="D6207" s="2" t="s">
        <v>5</v>
      </c>
    </row>
    <row r="6208">
      <c r="A6208" s="1">
        <v>43619.58182761574</v>
      </c>
      <c r="B6208" s="3" t="s">
        <v>55</v>
      </c>
      <c r="C6208" s="2" t="s">
        <v>56</v>
      </c>
    </row>
    <row r="6209">
      <c r="A6209" s="1">
        <v>43619.58197100695</v>
      </c>
      <c r="B6209" s="2">
        <v>736.0</v>
      </c>
      <c r="C6209" s="2" t="s">
        <v>175</v>
      </c>
      <c r="D6209" s="2" t="s">
        <v>5</v>
      </c>
    </row>
    <row r="6210">
      <c r="A6210" s="1">
        <v>43619.58201100695</v>
      </c>
      <c r="B6210" s="2">
        <v>737.0</v>
      </c>
      <c r="C6210" s="2" t="s">
        <v>176</v>
      </c>
      <c r="D6210" s="2" t="s">
        <v>5</v>
      </c>
    </row>
    <row r="6211">
      <c r="A6211" s="1">
        <v>43619.58208328704</v>
      </c>
      <c r="B6211" s="2">
        <v>737.0</v>
      </c>
      <c r="C6211" s="2" t="s">
        <v>176</v>
      </c>
      <c r="D6211" s="2" t="s">
        <v>5</v>
      </c>
    </row>
    <row r="6212">
      <c r="A6212" s="1">
        <v>43619.590186064815</v>
      </c>
      <c r="B6212" s="2">
        <v>656.0</v>
      </c>
      <c r="C6212" s="2" t="s">
        <v>144</v>
      </c>
    </row>
    <row r="6213">
      <c r="A6213" s="1">
        <v>43620.68454528935</v>
      </c>
      <c r="B6213" s="2">
        <v>219.0</v>
      </c>
      <c r="C6213" s="2" t="s">
        <v>31</v>
      </c>
    </row>
    <row r="6214">
      <c r="A6214" s="1">
        <v>43621.87124862269</v>
      </c>
      <c r="B6214" s="2">
        <v>219.0</v>
      </c>
      <c r="C6214" s="2" t="s">
        <v>31</v>
      </c>
    </row>
    <row r="6215">
      <c r="A6215" s="1">
        <v>43622.222941423606</v>
      </c>
      <c r="B6215" s="2">
        <v>219.0</v>
      </c>
      <c r="C6215" s="2" t="s">
        <v>31</v>
      </c>
    </row>
    <row r="6216">
      <c r="A6216" s="1">
        <v>43623.508019201385</v>
      </c>
      <c r="B6216" s="2">
        <v>219.0</v>
      </c>
      <c r="C6216" s="2" t="s">
        <v>31</v>
      </c>
    </row>
    <row r="6217">
      <c r="A6217" s="1">
        <v>43624.53430274306</v>
      </c>
      <c r="B6217" s="2">
        <v>219.0</v>
      </c>
      <c r="C6217" s="2" t="s">
        <v>31</v>
      </c>
    </row>
    <row r="6218">
      <c r="A6218" s="1">
        <v>43624.611362766205</v>
      </c>
      <c r="B6218" s="2">
        <v>219.0</v>
      </c>
      <c r="C6218" s="2" t="s">
        <v>31</v>
      </c>
    </row>
    <row r="6219">
      <c r="A6219" s="1">
        <v>43625.4247221875</v>
      </c>
      <c r="B6219" s="2">
        <v>219.0</v>
      </c>
      <c r="C6219" s="2" t="s">
        <v>31</v>
      </c>
    </row>
    <row r="6220">
      <c r="A6220" s="1">
        <v>43625.424800416666</v>
      </c>
      <c r="B6220" s="2">
        <v>219.0</v>
      </c>
      <c r="C6220" s="2" t="s">
        <v>31</v>
      </c>
    </row>
    <row r="6221">
      <c r="A6221" s="1">
        <v>43625.429574548616</v>
      </c>
      <c r="B6221" s="2">
        <v>252.0</v>
      </c>
      <c r="C6221" s="2" t="s">
        <v>34</v>
      </c>
    </row>
    <row r="6222">
      <c r="A6222" s="1">
        <v>43625.430561354166</v>
      </c>
      <c r="B6222" s="2">
        <v>238.0</v>
      </c>
      <c r="C6222" s="2" t="s">
        <v>35</v>
      </c>
    </row>
    <row r="6223">
      <c r="A6223" s="1">
        <v>43625.43066416666</v>
      </c>
      <c r="B6223" s="2">
        <v>165.0</v>
      </c>
      <c r="C6223" s="2" t="s">
        <v>50</v>
      </c>
    </row>
    <row r="6224">
      <c r="A6224" s="1">
        <v>43625.4309440162</v>
      </c>
      <c r="B6224" s="3" t="s">
        <v>55</v>
      </c>
      <c r="C6224" s="2" t="s">
        <v>56</v>
      </c>
    </row>
    <row r="6225">
      <c r="A6225" s="1">
        <v>43625.432596909726</v>
      </c>
      <c r="B6225" s="2">
        <v>711.0</v>
      </c>
      <c r="C6225" s="2" t="s">
        <v>8</v>
      </c>
      <c r="D6225" s="2" t="s">
        <v>5</v>
      </c>
    </row>
    <row r="6226">
      <c r="A6226" s="1">
        <v>43625.43265625</v>
      </c>
      <c r="B6226" s="2">
        <v>193.0</v>
      </c>
      <c r="C6226" s="2" t="s">
        <v>30</v>
      </c>
    </row>
    <row r="6227">
      <c r="A6227" s="1">
        <v>43625.432923506945</v>
      </c>
      <c r="B6227" s="2">
        <v>173.0</v>
      </c>
      <c r="C6227" s="2" t="s">
        <v>24</v>
      </c>
    </row>
    <row r="6228">
      <c r="A6228" s="1">
        <v>43625.4330208912</v>
      </c>
      <c r="B6228" s="2">
        <v>231.0</v>
      </c>
      <c r="C6228" s="2" t="s">
        <v>61</v>
      </c>
    </row>
    <row r="6229">
      <c r="A6229" s="1">
        <v>43625.43315045139</v>
      </c>
      <c r="B6229" s="3" t="s">
        <v>32</v>
      </c>
      <c r="C6229" s="2" t="s">
        <v>33</v>
      </c>
    </row>
    <row r="6230">
      <c r="A6230" s="1">
        <v>43625.433431400466</v>
      </c>
      <c r="B6230" s="2">
        <v>193.0</v>
      </c>
      <c r="C6230" s="2" t="s">
        <v>30</v>
      </c>
    </row>
    <row r="6231">
      <c r="A6231" s="1">
        <v>43625.43351863426</v>
      </c>
      <c r="B6231" s="2">
        <v>214.0</v>
      </c>
      <c r="C6231" s="2" t="s">
        <v>47</v>
      </c>
    </row>
    <row r="6232">
      <c r="A6232" s="1">
        <v>43625.43360564815</v>
      </c>
      <c r="B6232" s="2">
        <v>114.0</v>
      </c>
      <c r="C6232" s="2" t="s">
        <v>15</v>
      </c>
    </row>
    <row r="6233">
      <c r="A6233" s="1">
        <v>43625.433714872685</v>
      </c>
      <c r="B6233" s="2">
        <v>189.0</v>
      </c>
      <c r="C6233" s="2" t="s">
        <v>128</v>
      </c>
    </row>
    <row r="6234">
      <c r="A6234" s="1">
        <v>43625.433824189815</v>
      </c>
      <c r="B6234" s="3" t="s">
        <v>9</v>
      </c>
      <c r="C6234" s="2" t="s">
        <v>10</v>
      </c>
    </row>
    <row r="6235">
      <c r="A6235" s="1">
        <v>43625.433910231484</v>
      </c>
      <c r="B6235" s="2">
        <v>52.0</v>
      </c>
      <c r="C6235" s="2" t="s">
        <v>41</v>
      </c>
    </row>
    <row r="6236">
      <c r="A6236" s="1">
        <v>43625.43409263889</v>
      </c>
      <c r="B6236" s="2">
        <v>611.0</v>
      </c>
      <c r="C6236" s="2" t="s">
        <v>143</v>
      </c>
    </row>
    <row r="6237">
      <c r="A6237" s="1">
        <v>43625.434155509254</v>
      </c>
      <c r="B6237" s="2">
        <v>736.0</v>
      </c>
      <c r="C6237" s="2" t="s">
        <v>175</v>
      </c>
      <c r="D6237" s="2" t="s">
        <v>5</v>
      </c>
    </row>
    <row r="6238">
      <c r="A6238" s="1">
        <v>43625.434228611106</v>
      </c>
      <c r="B6238" s="2">
        <v>737.0</v>
      </c>
      <c r="C6238" s="2" t="s">
        <v>176</v>
      </c>
      <c r="D6238" s="2" t="s">
        <v>5</v>
      </c>
    </row>
    <row r="6239">
      <c r="A6239" s="1">
        <v>43625.43431418981</v>
      </c>
      <c r="B6239" s="2">
        <v>734.0</v>
      </c>
      <c r="C6239" s="2" t="s">
        <v>63</v>
      </c>
      <c r="D6239" s="2" t="s">
        <v>5</v>
      </c>
    </row>
    <row r="6240">
      <c r="A6240" s="1">
        <v>43625.4344502662</v>
      </c>
      <c r="B6240" s="2">
        <v>259.0</v>
      </c>
      <c r="C6240" s="2" t="s">
        <v>66</v>
      </c>
    </row>
    <row r="6241">
      <c r="A6241" s="1">
        <v>43625.43456015046</v>
      </c>
      <c r="B6241" s="2">
        <v>260.0</v>
      </c>
      <c r="C6241" s="2" t="s">
        <v>67</v>
      </c>
    </row>
    <row r="6242">
      <c r="A6242" s="1">
        <v>43625.43471045139</v>
      </c>
      <c r="B6242" s="2">
        <v>647.0</v>
      </c>
      <c r="C6242" s="2" t="s">
        <v>217</v>
      </c>
    </row>
    <row r="6243">
      <c r="A6243" s="1">
        <v>43625.4352252199</v>
      </c>
      <c r="B6243" s="2">
        <v>648.0</v>
      </c>
      <c r="C6243" s="2" t="s">
        <v>207</v>
      </c>
    </row>
    <row r="6244">
      <c r="A6244" s="1">
        <v>43625.43524767361</v>
      </c>
      <c r="B6244" s="2">
        <v>175.0</v>
      </c>
      <c r="C6244" s="2" t="s">
        <v>69</v>
      </c>
    </row>
    <row r="6245">
      <c r="A6245" s="1">
        <v>43625.43547739583</v>
      </c>
      <c r="B6245" s="3" t="s">
        <v>44</v>
      </c>
      <c r="C6245" s="2" t="s">
        <v>45</v>
      </c>
    </row>
    <row r="6246">
      <c r="A6246" s="1">
        <v>43625.43556189815</v>
      </c>
      <c r="B6246" s="3" t="s">
        <v>88</v>
      </c>
      <c r="C6246" s="2" t="s">
        <v>89</v>
      </c>
    </row>
    <row r="6247">
      <c r="A6247" s="1">
        <v>43625.43568572917</v>
      </c>
      <c r="B6247" s="3" t="s">
        <v>22</v>
      </c>
      <c r="C6247" s="2" t="s">
        <v>23</v>
      </c>
    </row>
    <row r="6248">
      <c r="A6248" s="1">
        <v>43625.435820266204</v>
      </c>
      <c r="B6248" s="2">
        <v>158.0</v>
      </c>
      <c r="C6248" s="2" t="s">
        <v>62</v>
      </c>
    </row>
    <row r="6249">
      <c r="A6249" s="1">
        <v>43625.43590440972</v>
      </c>
      <c r="B6249" s="3" t="s">
        <v>74</v>
      </c>
      <c r="C6249" s="2" t="s">
        <v>75</v>
      </c>
    </row>
    <row r="6250">
      <c r="A6250" s="1">
        <v>43625.43604865741</v>
      </c>
      <c r="B6250" s="2">
        <v>262.0</v>
      </c>
      <c r="C6250" s="2" t="s">
        <v>28</v>
      </c>
    </row>
    <row r="6251">
      <c r="A6251" s="1">
        <v>43625.436155891206</v>
      </c>
      <c r="B6251" s="2">
        <v>137.0</v>
      </c>
      <c r="C6251" s="2" t="s">
        <v>72</v>
      </c>
    </row>
    <row r="6252">
      <c r="A6252" s="1">
        <v>43625.43626423611</v>
      </c>
      <c r="B6252" s="2">
        <v>267.0</v>
      </c>
      <c r="C6252" s="2" t="s">
        <v>115</v>
      </c>
    </row>
    <row r="6253">
      <c r="A6253" s="1">
        <v>43625.4374371875</v>
      </c>
      <c r="B6253" s="3" t="s">
        <v>82</v>
      </c>
      <c r="C6253" s="2" t="s">
        <v>83</v>
      </c>
    </row>
    <row r="6254">
      <c r="A6254" s="1">
        <v>43625.43779486111</v>
      </c>
      <c r="B6254" s="2">
        <v>719.0</v>
      </c>
      <c r="C6254" s="2" t="s">
        <v>106</v>
      </c>
      <c r="D6254" s="2" t="s">
        <v>5</v>
      </c>
    </row>
    <row r="6255">
      <c r="A6255" s="1">
        <v>43625.43785674768</v>
      </c>
      <c r="B6255" s="2">
        <v>718.0</v>
      </c>
      <c r="C6255" s="2" t="s">
        <v>105</v>
      </c>
      <c r="D6255" s="2" t="s">
        <v>5</v>
      </c>
    </row>
    <row r="6256">
      <c r="A6256" s="1">
        <v>43625.437971875</v>
      </c>
      <c r="B6256" s="2">
        <v>101.0</v>
      </c>
      <c r="C6256" s="2" t="s">
        <v>108</v>
      </c>
    </row>
    <row r="6257">
      <c r="A6257" s="1">
        <v>43625.438047442134</v>
      </c>
      <c r="B6257" s="3" t="s">
        <v>113</v>
      </c>
      <c r="C6257" s="2" t="s">
        <v>114</v>
      </c>
    </row>
    <row r="6258">
      <c r="A6258" s="1">
        <v>43625.43811877315</v>
      </c>
      <c r="B6258" s="2">
        <v>207.0</v>
      </c>
      <c r="C6258" s="2" t="s">
        <v>85</v>
      </c>
    </row>
    <row r="6259">
      <c r="A6259" s="1">
        <v>43625.438271226856</v>
      </c>
      <c r="B6259" s="3" t="s">
        <v>103</v>
      </c>
      <c r="C6259" s="2" t="s">
        <v>104</v>
      </c>
    </row>
    <row r="6260">
      <c r="A6260" s="1">
        <v>43625.43838050926</v>
      </c>
      <c r="B6260" s="2">
        <v>124.0</v>
      </c>
      <c r="C6260" s="2" t="s">
        <v>107</v>
      </c>
    </row>
    <row r="6261">
      <c r="A6261" s="1">
        <v>43625.4386737037</v>
      </c>
      <c r="B6261" s="2">
        <v>706.0</v>
      </c>
      <c r="C6261" s="2" t="s">
        <v>149</v>
      </c>
      <c r="D6261" s="2" t="s">
        <v>5</v>
      </c>
    </row>
    <row r="6262">
      <c r="A6262" s="1">
        <v>43625.43870709491</v>
      </c>
      <c r="B6262" s="2">
        <v>708.0</v>
      </c>
      <c r="C6262" s="2" t="s">
        <v>4</v>
      </c>
      <c r="D6262" s="2" t="s">
        <v>5</v>
      </c>
    </row>
    <row r="6263">
      <c r="A6263" s="1">
        <v>43625.438776145835</v>
      </c>
      <c r="B6263" s="3" t="s">
        <v>150</v>
      </c>
      <c r="C6263" s="2" t="s">
        <v>151</v>
      </c>
    </row>
    <row r="6264">
      <c r="A6264" s="1">
        <v>43625.43878493056</v>
      </c>
      <c r="B6264" s="2">
        <v>709.0</v>
      </c>
      <c r="C6264" s="2" t="s">
        <v>20</v>
      </c>
      <c r="D6264" s="2" t="s">
        <v>5</v>
      </c>
    </row>
    <row r="6265">
      <c r="A6265" s="1">
        <v>43625.43890991899</v>
      </c>
      <c r="B6265" s="2">
        <v>710.0</v>
      </c>
      <c r="C6265" s="2" t="s">
        <v>21</v>
      </c>
      <c r="D6265" s="2" t="s">
        <v>5</v>
      </c>
    </row>
    <row r="6266">
      <c r="A6266" s="1">
        <v>43625.43968152777</v>
      </c>
      <c r="B6266" s="2">
        <v>208.0</v>
      </c>
      <c r="C6266" s="2" t="s">
        <v>182</v>
      </c>
    </row>
    <row r="6267">
      <c r="A6267" s="1">
        <v>43625.43991165509</v>
      </c>
      <c r="B6267" s="2">
        <v>653.0</v>
      </c>
      <c r="C6267" s="2" t="s">
        <v>77</v>
      </c>
    </row>
    <row r="6268">
      <c r="A6268" s="1">
        <v>43625.44007481482</v>
      </c>
      <c r="B6268" s="3" t="s">
        <v>98</v>
      </c>
      <c r="C6268" s="2" t="s">
        <v>99</v>
      </c>
    </row>
    <row r="6269">
      <c r="A6269" s="1">
        <v>43625.44016806713</v>
      </c>
      <c r="B6269" s="2">
        <v>147.0</v>
      </c>
      <c r="C6269" s="2" t="s">
        <v>100</v>
      </c>
    </row>
    <row r="6270">
      <c r="A6270" s="1">
        <v>43625.440441875</v>
      </c>
      <c r="B6270" s="2">
        <v>726.0</v>
      </c>
      <c r="C6270" s="2" t="s">
        <v>101</v>
      </c>
      <c r="D6270" s="2" t="s">
        <v>5</v>
      </c>
    </row>
    <row r="6271">
      <c r="A6271" s="1">
        <v>43625.44055452546</v>
      </c>
      <c r="B6271" s="2">
        <v>732.0</v>
      </c>
      <c r="C6271" s="2" t="s">
        <v>102</v>
      </c>
      <c r="D6271" s="2" t="s">
        <v>5</v>
      </c>
    </row>
    <row r="6272">
      <c r="A6272" s="1">
        <v>43625.4406456713</v>
      </c>
      <c r="B6272" s="2">
        <v>253.0</v>
      </c>
      <c r="C6272" s="2" t="s">
        <v>138</v>
      </c>
    </row>
    <row r="6273">
      <c r="A6273" s="1">
        <v>43625.44074498843</v>
      </c>
      <c r="B6273" s="2">
        <v>677.0</v>
      </c>
      <c r="C6273" s="2" t="s">
        <v>224</v>
      </c>
    </row>
    <row r="6274">
      <c r="A6274" s="1">
        <v>43625.440850694446</v>
      </c>
      <c r="B6274" s="2">
        <v>160.0</v>
      </c>
      <c r="C6274" s="2" t="s">
        <v>154</v>
      </c>
    </row>
    <row r="6275">
      <c r="A6275" s="1">
        <v>43625.44095752315</v>
      </c>
      <c r="B6275" s="2">
        <v>257.0</v>
      </c>
      <c r="C6275" s="2" t="s">
        <v>27</v>
      </c>
    </row>
    <row r="6276">
      <c r="A6276" s="1">
        <v>43625.44109800926</v>
      </c>
      <c r="B6276" s="2">
        <v>724.0</v>
      </c>
      <c r="C6276" s="2" t="s">
        <v>91</v>
      </c>
      <c r="D6276" s="2" t="s">
        <v>5</v>
      </c>
    </row>
    <row r="6277">
      <c r="A6277" s="1">
        <v>43625.44124541667</v>
      </c>
      <c r="B6277" s="2">
        <v>624.0</v>
      </c>
      <c r="C6277" s="2" t="s">
        <v>90</v>
      </c>
    </row>
    <row r="6278">
      <c r="A6278" s="1">
        <v>43625.44137994213</v>
      </c>
      <c r="B6278" s="2">
        <v>228.0</v>
      </c>
      <c r="C6278" s="2" t="s">
        <v>135</v>
      </c>
    </row>
    <row r="6279">
      <c r="A6279" s="1">
        <v>43625.44162729167</v>
      </c>
      <c r="B6279" s="2">
        <v>257.0</v>
      </c>
      <c r="C6279" s="2" t="s">
        <v>27</v>
      </c>
    </row>
    <row r="6280">
      <c r="A6280" s="1">
        <v>43625.444014293986</v>
      </c>
      <c r="B6280" s="3" t="s">
        <v>78</v>
      </c>
      <c r="C6280" s="2" t="s">
        <v>79</v>
      </c>
    </row>
    <row r="6281">
      <c r="A6281" s="1">
        <v>43625.44418839121</v>
      </c>
      <c r="B6281" s="2">
        <v>723.0</v>
      </c>
      <c r="C6281" s="2" t="s">
        <v>84</v>
      </c>
      <c r="D6281" s="2" t="s">
        <v>5</v>
      </c>
    </row>
    <row r="6282">
      <c r="A6282" s="1">
        <v>43625.44644885417</v>
      </c>
      <c r="B6282" s="2">
        <v>126.0</v>
      </c>
      <c r="C6282" s="2" t="s">
        <v>87</v>
      </c>
    </row>
    <row r="6283">
      <c r="A6283" s="1">
        <v>43625.44697942129</v>
      </c>
      <c r="B6283" s="2">
        <v>268.0</v>
      </c>
      <c r="C6283" s="2" t="s">
        <v>205</v>
      </c>
    </row>
    <row r="6284">
      <c r="A6284" s="1">
        <v>43625.4471680787</v>
      </c>
      <c r="B6284" s="3" t="s">
        <v>126</v>
      </c>
      <c r="C6284" s="2" t="s">
        <v>127</v>
      </c>
    </row>
    <row r="6285">
      <c r="A6285" s="1">
        <v>43625.447483020835</v>
      </c>
      <c r="B6285" s="3" t="s">
        <v>94</v>
      </c>
      <c r="C6285" s="2" t="s">
        <v>95</v>
      </c>
    </row>
    <row r="6286">
      <c r="A6286" s="1">
        <v>43625.44780984954</v>
      </c>
      <c r="B6286" s="2">
        <v>702.0</v>
      </c>
      <c r="C6286" s="2" t="s">
        <v>96</v>
      </c>
      <c r="D6286" s="2" t="s">
        <v>5</v>
      </c>
    </row>
    <row r="6287">
      <c r="A6287" s="1">
        <v>43625.457837442125</v>
      </c>
      <c r="B6287" s="2">
        <v>641.0</v>
      </c>
      <c r="C6287" s="2" t="s">
        <v>210</v>
      </c>
    </row>
    <row r="6288">
      <c r="A6288" s="1">
        <v>43625.458495011575</v>
      </c>
      <c r="B6288" s="2">
        <v>209.0</v>
      </c>
      <c r="C6288" s="2" t="s">
        <v>219</v>
      </c>
    </row>
    <row r="6289">
      <c r="A6289" s="1">
        <v>43625.458714374996</v>
      </c>
      <c r="B6289" s="2">
        <v>722.0</v>
      </c>
      <c r="C6289" s="2" t="s">
        <v>25</v>
      </c>
      <c r="D6289" s="2" t="s">
        <v>5</v>
      </c>
    </row>
    <row r="6290">
      <c r="A6290" s="1">
        <v>43625.4599215162</v>
      </c>
      <c r="B6290" s="2">
        <v>631.0</v>
      </c>
      <c r="C6290" s="2" t="s">
        <v>178</v>
      </c>
    </row>
    <row r="6291">
      <c r="A6291" s="1">
        <v>43625.506366574074</v>
      </c>
      <c r="B6291" s="2">
        <v>270.0</v>
      </c>
      <c r="C6291" s="2" t="s">
        <v>153</v>
      </c>
    </row>
    <row r="6292">
      <c r="A6292" s="1">
        <v>43625.92552655093</v>
      </c>
      <c r="B6292" s="2">
        <v>252.0</v>
      </c>
      <c r="C6292" s="2" t="s">
        <v>34</v>
      </c>
    </row>
    <row r="6293">
      <c r="A6293" s="1">
        <v>43626.422689768515</v>
      </c>
      <c r="B6293" s="3" t="s">
        <v>159</v>
      </c>
      <c r="C6293" s="2" t="s">
        <v>160</v>
      </c>
    </row>
    <row r="6294">
      <c r="A6294" s="1">
        <v>43626.42893337963</v>
      </c>
      <c r="B6294" s="2">
        <v>113.0</v>
      </c>
      <c r="C6294" s="2" t="s">
        <v>29</v>
      </c>
    </row>
    <row r="6295">
      <c r="A6295" s="1">
        <v>43626.43190851852</v>
      </c>
      <c r="B6295" s="3" t="s">
        <v>22</v>
      </c>
      <c r="C6295" s="2" t="s">
        <v>23</v>
      </c>
    </row>
    <row r="6296">
      <c r="A6296" s="1">
        <v>43626.43570969907</v>
      </c>
      <c r="B6296" s="2">
        <v>244.0</v>
      </c>
      <c r="C6296" s="2" t="s">
        <v>38</v>
      </c>
    </row>
    <row r="6297">
      <c r="A6297" s="1">
        <v>43626.43848936343</v>
      </c>
      <c r="B6297" s="2">
        <v>632.0</v>
      </c>
      <c r="C6297" s="2" t="s">
        <v>146</v>
      </c>
    </row>
    <row r="6298">
      <c r="A6298" s="1">
        <v>43626.44024672454</v>
      </c>
      <c r="B6298" s="2">
        <v>738.0</v>
      </c>
      <c r="C6298" s="2" t="s">
        <v>161</v>
      </c>
    </row>
    <row r="6299">
      <c r="A6299" s="1">
        <v>43626.44117722222</v>
      </c>
      <c r="B6299" s="3" t="s">
        <v>80</v>
      </c>
      <c r="C6299" s="2" t="s">
        <v>81</v>
      </c>
    </row>
    <row r="6300">
      <c r="A6300" s="1">
        <v>43626.44286171296</v>
      </c>
      <c r="B6300" s="2">
        <v>735.0</v>
      </c>
      <c r="C6300" s="2" t="s">
        <v>37</v>
      </c>
      <c r="D6300" s="2" t="s">
        <v>5</v>
      </c>
    </row>
    <row r="6301">
      <c r="A6301" s="1">
        <v>43626.45170460649</v>
      </c>
      <c r="B6301" s="2">
        <v>649.0</v>
      </c>
      <c r="C6301" s="2" t="s">
        <v>177</v>
      </c>
    </row>
    <row r="6302">
      <c r="A6302" s="1">
        <v>43626.451969953705</v>
      </c>
      <c r="B6302" s="2">
        <v>160.0</v>
      </c>
      <c r="C6302" s="2" t="s">
        <v>154</v>
      </c>
    </row>
    <row r="6303">
      <c r="A6303" s="1">
        <v>43626.45215434028</v>
      </c>
      <c r="B6303" s="2">
        <v>229.0</v>
      </c>
      <c r="C6303" s="2" t="s">
        <v>86</v>
      </c>
    </row>
    <row r="6304">
      <c r="A6304" s="1">
        <v>43626.4524965625</v>
      </c>
      <c r="B6304" s="2">
        <v>613.0</v>
      </c>
      <c r="C6304" s="2" t="s">
        <v>124</v>
      </c>
    </row>
    <row r="6305">
      <c r="A6305" s="1">
        <v>43626.45284752315</v>
      </c>
      <c r="B6305" s="2">
        <v>625.0</v>
      </c>
      <c r="C6305" s="2" t="s">
        <v>136</v>
      </c>
    </row>
    <row r="6306">
      <c r="A6306" s="1">
        <v>43626.45315648148</v>
      </c>
      <c r="B6306" s="2">
        <v>713.0</v>
      </c>
      <c r="C6306" s="2" t="s">
        <v>121</v>
      </c>
      <c r="D6306" s="2" t="s">
        <v>5</v>
      </c>
    </row>
    <row r="6307">
      <c r="A6307" s="1">
        <v>43626.453200902775</v>
      </c>
      <c r="B6307" s="2">
        <v>714.0</v>
      </c>
      <c r="C6307" s="2" t="s">
        <v>122</v>
      </c>
      <c r="D6307" s="2" t="s">
        <v>5</v>
      </c>
    </row>
    <row r="6308">
      <c r="A6308" s="1">
        <v>43626.45347184028</v>
      </c>
      <c r="B6308" s="3" t="s">
        <v>117</v>
      </c>
      <c r="C6308" s="2" t="s">
        <v>118</v>
      </c>
    </row>
    <row r="6309">
      <c r="A6309" s="1">
        <v>43626.45357009259</v>
      </c>
      <c r="B6309" s="3" t="s">
        <v>119</v>
      </c>
      <c r="C6309" s="2" t="s">
        <v>120</v>
      </c>
    </row>
    <row r="6310">
      <c r="A6310" s="1">
        <v>43626.45478373843</v>
      </c>
      <c r="B6310" s="3" t="s">
        <v>42</v>
      </c>
      <c r="C6310" s="2" t="s">
        <v>43</v>
      </c>
    </row>
    <row r="6311">
      <c r="A6311" s="1">
        <v>43626.82923729166</v>
      </c>
      <c r="B6311" s="2">
        <v>270.0</v>
      </c>
      <c r="C6311" s="2" t="s">
        <v>153</v>
      </c>
    </row>
    <row r="6312">
      <c r="A6312" s="1">
        <v>43626.8315062037</v>
      </c>
      <c r="B6312" s="2">
        <v>270.0</v>
      </c>
      <c r="C6312" s="2" t="s">
        <v>153</v>
      </c>
    </row>
    <row r="6313">
      <c r="A6313" s="1">
        <v>43627.67327261574</v>
      </c>
      <c r="B6313" s="2">
        <v>609.0</v>
      </c>
      <c r="C6313" s="2" t="s">
        <v>179</v>
      </c>
    </row>
    <row r="6314">
      <c r="A6314" s="1">
        <v>43627.75114636574</v>
      </c>
      <c r="B6314" s="2">
        <v>270.0</v>
      </c>
      <c r="C6314" s="2" t="s">
        <v>153</v>
      </c>
    </row>
    <row r="6315">
      <c r="A6315" s="1">
        <v>43627.7514247338</v>
      </c>
      <c r="B6315" s="2">
        <v>270.0</v>
      </c>
      <c r="C6315" s="2" t="s">
        <v>153</v>
      </c>
    </row>
    <row r="6316">
      <c r="A6316" s="1">
        <v>43631.29042696759</v>
      </c>
      <c r="B6316" s="2">
        <v>270.0</v>
      </c>
      <c r="C6316" s="2" t="s">
        <v>153</v>
      </c>
    </row>
    <row r="6317">
      <c r="A6317" s="1">
        <v>43631.29244685185</v>
      </c>
      <c r="B6317" s="2">
        <v>270.0</v>
      </c>
      <c r="C6317" s="2" t="s">
        <v>153</v>
      </c>
    </row>
    <row r="6318">
      <c r="A6318" s="1">
        <v>43631.32208775463</v>
      </c>
      <c r="B6318" s="2">
        <v>270.0</v>
      </c>
      <c r="C6318" s="2" t="s">
        <v>153</v>
      </c>
    </row>
    <row r="6319">
      <c r="A6319" s="1">
        <v>43632.422245567126</v>
      </c>
      <c r="B6319" s="3" t="s">
        <v>74</v>
      </c>
      <c r="C6319" s="2" t="s">
        <v>75</v>
      </c>
    </row>
    <row r="6320">
      <c r="A6320" s="1">
        <v>43632.422806828705</v>
      </c>
      <c r="B6320" s="2">
        <v>238.0</v>
      </c>
      <c r="C6320" s="2" t="s">
        <v>35</v>
      </c>
    </row>
    <row r="6321">
      <c r="A6321" s="1">
        <v>43632.42339292824</v>
      </c>
      <c r="B6321" s="2">
        <v>208.0</v>
      </c>
      <c r="C6321" s="2" t="s">
        <v>182</v>
      </c>
    </row>
    <row r="6322">
      <c r="A6322" s="1">
        <v>43632.42355024305</v>
      </c>
      <c r="B6322" s="3" t="s">
        <v>82</v>
      </c>
      <c r="C6322" s="2" t="s">
        <v>83</v>
      </c>
    </row>
    <row r="6323">
      <c r="A6323" s="1">
        <v>43632.42366332176</v>
      </c>
      <c r="B6323" s="3" t="s">
        <v>78</v>
      </c>
      <c r="C6323" s="2" t="s">
        <v>79</v>
      </c>
    </row>
    <row r="6324">
      <c r="A6324" s="1">
        <v>43632.42381144676</v>
      </c>
      <c r="B6324" s="2">
        <v>723.0</v>
      </c>
      <c r="C6324" s="2" t="s">
        <v>84</v>
      </c>
      <c r="D6324" s="2" t="s">
        <v>5</v>
      </c>
    </row>
    <row r="6325">
      <c r="A6325" s="1">
        <v>43632.424105266204</v>
      </c>
      <c r="B6325" s="2">
        <v>238.0</v>
      </c>
      <c r="C6325" s="2" t="s">
        <v>35</v>
      </c>
    </row>
    <row r="6326">
      <c r="A6326" s="1">
        <v>43632.424106122686</v>
      </c>
      <c r="B6326" s="2">
        <v>604.0</v>
      </c>
      <c r="C6326" s="2" t="s">
        <v>36</v>
      </c>
    </row>
    <row r="6327">
      <c r="A6327" s="1">
        <v>43632.4242933912</v>
      </c>
      <c r="B6327" s="2">
        <v>602.0</v>
      </c>
      <c r="C6327" s="2" t="s">
        <v>131</v>
      </c>
    </row>
    <row r="6328">
      <c r="A6328" s="1">
        <v>43632.424333310184</v>
      </c>
      <c r="B6328" s="3" t="s">
        <v>44</v>
      </c>
      <c r="C6328" s="2" t="s">
        <v>45</v>
      </c>
    </row>
    <row r="6329">
      <c r="A6329" s="1">
        <v>43632.42543546297</v>
      </c>
      <c r="B6329" s="2">
        <v>656.0</v>
      </c>
      <c r="C6329" s="2" t="s">
        <v>144</v>
      </c>
    </row>
    <row r="6330">
      <c r="A6330" s="1">
        <v>43632.42547427083</v>
      </c>
      <c r="B6330" s="3" t="s">
        <v>80</v>
      </c>
      <c r="C6330" s="2" t="s">
        <v>81</v>
      </c>
    </row>
    <row r="6331">
      <c r="A6331" s="1">
        <v>43632.42582496528</v>
      </c>
      <c r="B6331" s="2">
        <v>649.0</v>
      </c>
      <c r="C6331" s="2" t="s">
        <v>177</v>
      </c>
    </row>
    <row r="6332">
      <c r="A6332" s="1">
        <v>43632.42639144676</v>
      </c>
      <c r="B6332" s="2">
        <v>736.0</v>
      </c>
      <c r="C6332" s="2" t="s">
        <v>175</v>
      </c>
      <c r="D6332" s="2" t="s">
        <v>5</v>
      </c>
    </row>
    <row r="6333">
      <c r="A6333" s="1">
        <v>43632.42648219907</v>
      </c>
      <c r="B6333" s="2">
        <v>737.0</v>
      </c>
      <c r="C6333" s="2" t="s">
        <v>176</v>
      </c>
      <c r="D6333" s="2" t="s">
        <v>5</v>
      </c>
    </row>
    <row r="6334">
      <c r="A6334" s="1">
        <v>43632.42662413194</v>
      </c>
      <c r="B6334" s="2">
        <v>627.0</v>
      </c>
      <c r="C6334" s="2" t="s">
        <v>134</v>
      </c>
    </row>
    <row r="6335">
      <c r="A6335" s="1">
        <v>43632.42669384259</v>
      </c>
      <c r="B6335" s="2">
        <v>648.0</v>
      </c>
      <c r="C6335" s="2" t="s">
        <v>207</v>
      </c>
    </row>
    <row r="6336">
      <c r="A6336" s="1">
        <v>43632.42831559028</v>
      </c>
      <c r="B6336" s="2">
        <v>173.0</v>
      </c>
      <c r="C6336" s="2" t="s">
        <v>24</v>
      </c>
    </row>
    <row r="6337">
      <c r="A6337" s="1">
        <v>43632.428447893515</v>
      </c>
      <c r="B6337" s="3" t="s">
        <v>32</v>
      </c>
      <c r="C6337" s="2" t="s">
        <v>33</v>
      </c>
    </row>
    <row r="6338">
      <c r="A6338" s="1">
        <v>43632.42860892361</v>
      </c>
      <c r="B6338" s="2">
        <v>253.0</v>
      </c>
      <c r="C6338" s="2" t="s">
        <v>138</v>
      </c>
    </row>
    <row r="6339">
      <c r="A6339" s="1">
        <v>43632.428845902774</v>
      </c>
      <c r="B6339" s="2">
        <v>607.0</v>
      </c>
      <c r="C6339" s="2" t="s">
        <v>68</v>
      </c>
    </row>
    <row r="6340">
      <c r="A6340" s="1">
        <v>43632.42894788194</v>
      </c>
      <c r="B6340" s="2">
        <v>740.0</v>
      </c>
      <c r="C6340" s="2" t="s">
        <v>221</v>
      </c>
      <c r="D6340" s="2" t="s">
        <v>5</v>
      </c>
    </row>
    <row r="6341">
      <c r="A6341" s="1">
        <v>43632.42911657407</v>
      </c>
      <c r="B6341" s="2">
        <v>165.0</v>
      </c>
      <c r="C6341" s="2" t="s">
        <v>50</v>
      </c>
    </row>
    <row r="6342">
      <c r="A6342" s="1">
        <v>43632.42992069444</v>
      </c>
      <c r="B6342" s="3" t="s">
        <v>159</v>
      </c>
      <c r="C6342" s="2" t="s">
        <v>160</v>
      </c>
    </row>
    <row r="6343">
      <c r="A6343" s="1">
        <v>43632.43017289352</v>
      </c>
      <c r="B6343" s="2">
        <v>193.0</v>
      </c>
      <c r="C6343" s="2" t="s">
        <v>30</v>
      </c>
    </row>
    <row r="6344">
      <c r="A6344" s="1">
        <v>43632.430935428245</v>
      </c>
      <c r="B6344" s="2">
        <v>158.0</v>
      </c>
      <c r="C6344" s="2" t="s">
        <v>62</v>
      </c>
    </row>
    <row r="6345">
      <c r="A6345" s="1">
        <v>43632.43118745371</v>
      </c>
      <c r="B6345" s="2">
        <v>259.0</v>
      </c>
      <c r="C6345" s="2" t="s">
        <v>66</v>
      </c>
    </row>
    <row r="6346">
      <c r="A6346" s="1">
        <v>43632.43223358796</v>
      </c>
      <c r="B6346" s="2">
        <v>160.0</v>
      </c>
      <c r="C6346" s="2" t="s">
        <v>154</v>
      </c>
    </row>
    <row r="6347">
      <c r="A6347" s="1">
        <v>43632.43242857639</v>
      </c>
      <c r="B6347" s="2">
        <v>147.0</v>
      </c>
      <c r="C6347" s="2" t="s">
        <v>100</v>
      </c>
    </row>
    <row r="6348">
      <c r="A6348" s="1">
        <v>43632.43256944444</v>
      </c>
      <c r="B6348" s="3" t="s">
        <v>162</v>
      </c>
      <c r="C6348" s="2" t="s">
        <v>163</v>
      </c>
    </row>
    <row r="6349">
      <c r="A6349" s="1">
        <v>43632.43268621528</v>
      </c>
      <c r="B6349" s="3" t="s">
        <v>51</v>
      </c>
      <c r="C6349" s="2" t="s">
        <v>52</v>
      </c>
    </row>
    <row r="6350">
      <c r="A6350" s="1">
        <v>43632.43291033564</v>
      </c>
      <c r="B6350" s="3" t="s">
        <v>98</v>
      </c>
      <c r="C6350" s="2" t="s">
        <v>99</v>
      </c>
    </row>
    <row r="6351">
      <c r="A6351" s="1">
        <v>43632.43341091435</v>
      </c>
      <c r="B6351" s="2">
        <v>720.0</v>
      </c>
      <c r="C6351" s="2" t="s">
        <v>155</v>
      </c>
      <c r="D6351" s="2" t="s">
        <v>5</v>
      </c>
    </row>
    <row r="6352">
      <c r="A6352" s="1">
        <v>43632.4335759838</v>
      </c>
      <c r="B6352" s="3" t="s">
        <v>111</v>
      </c>
      <c r="C6352" s="2" t="s">
        <v>112</v>
      </c>
    </row>
    <row r="6353">
      <c r="A6353" s="1">
        <v>43632.43373605324</v>
      </c>
      <c r="B6353" s="2">
        <v>613.0</v>
      </c>
      <c r="C6353" s="2" t="s">
        <v>124</v>
      </c>
    </row>
    <row r="6354">
      <c r="A6354" s="1">
        <v>43632.43381134259</v>
      </c>
      <c r="B6354" s="2">
        <v>614.0</v>
      </c>
      <c r="C6354" s="2" t="s">
        <v>76</v>
      </c>
    </row>
    <row r="6355">
      <c r="A6355" s="1">
        <v>43632.43403392361</v>
      </c>
      <c r="B6355" s="2">
        <v>726.0</v>
      </c>
      <c r="C6355" s="2" t="s">
        <v>101</v>
      </c>
      <c r="D6355" s="2" t="s">
        <v>5</v>
      </c>
    </row>
    <row r="6356">
      <c r="A6356" s="1">
        <v>43632.43417315972</v>
      </c>
      <c r="B6356" s="2">
        <v>732.0</v>
      </c>
      <c r="C6356" s="2" t="s">
        <v>102</v>
      </c>
      <c r="D6356" s="2" t="s">
        <v>5</v>
      </c>
    </row>
    <row r="6357">
      <c r="A6357" s="1">
        <v>43632.43417778936</v>
      </c>
      <c r="B6357" s="2">
        <v>267.0</v>
      </c>
      <c r="C6357" s="2" t="s">
        <v>115</v>
      </c>
    </row>
    <row r="6358">
      <c r="A6358" s="1">
        <v>43632.434533657404</v>
      </c>
      <c r="B6358" s="2">
        <v>260.0</v>
      </c>
      <c r="C6358" s="2" t="s">
        <v>67</v>
      </c>
    </row>
    <row r="6359">
      <c r="A6359" s="1">
        <v>43632.43475049769</v>
      </c>
      <c r="B6359" s="2">
        <v>738.0</v>
      </c>
      <c r="C6359" s="2" t="s">
        <v>161</v>
      </c>
    </row>
    <row r="6360">
      <c r="A6360" s="1">
        <v>43632.43476310185</v>
      </c>
      <c r="B6360" s="2">
        <v>722.0</v>
      </c>
      <c r="C6360" s="2" t="s">
        <v>25</v>
      </c>
      <c r="D6360" s="2" t="s">
        <v>5</v>
      </c>
    </row>
    <row r="6361">
      <c r="A6361" s="1">
        <v>43632.434960266204</v>
      </c>
      <c r="B6361" s="2">
        <v>611.0</v>
      </c>
      <c r="C6361" s="2" t="s">
        <v>143</v>
      </c>
    </row>
    <row r="6362">
      <c r="A6362" s="1">
        <v>43632.43509042824</v>
      </c>
      <c r="B6362" s="2">
        <v>231.0</v>
      </c>
      <c r="C6362" s="2" t="s">
        <v>61</v>
      </c>
    </row>
    <row r="6363">
      <c r="A6363" s="1">
        <v>43632.435261446764</v>
      </c>
      <c r="B6363" s="2">
        <v>631.0</v>
      </c>
      <c r="C6363" s="2" t="s">
        <v>178</v>
      </c>
    </row>
    <row r="6364">
      <c r="A6364" s="1">
        <v>43632.435380219904</v>
      </c>
      <c r="B6364" s="2">
        <v>137.0</v>
      </c>
      <c r="C6364" s="2" t="s">
        <v>72</v>
      </c>
    </row>
    <row r="6365">
      <c r="A6365" s="1">
        <v>43632.435406944445</v>
      </c>
      <c r="B6365" s="2">
        <v>246.0</v>
      </c>
      <c r="C6365" s="2" t="s">
        <v>26</v>
      </c>
    </row>
    <row r="6366">
      <c r="A6366" s="1">
        <v>43632.43550103009</v>
      </c>
      <c r="B6366" s="2">
        <v>262.0</v>
      </c>
      <c r="C6366" s="2" t="s">
        <v>28</v>
      </c>
    </row>
    <row r="6367">
      <c r="A6367" s="1">
        <v>43632.43551214121</v>
      </c>
      <c r="B6367" s="2">
        <v>175.0</v>
      </c>
      <c r="C6367" s="2" t="s">
        <v>69</v>
      </c>
    </row>
    <row r="6368">
      <c r="A6368" s="1">
        <v>43632.43561255787</v>
      </c>
      <c r="B6368" s="2">
        <v>113.0</v>
      </c>
      <c r="C6368" s="2" t="s">
        <v>29</v>
      </c>
    </row>
    <row r="6369">
      <c r="A6369" s="1">
        <v>43632.43562398148</v>
      </c>
      <c r="B6369" s="3" t="s">
        <v>22</v>
      </c>
      <c r="C6369" s="2" t="s">
        <v>23</v>
      </c>
    </row>
    <row r="6370">
      <c r="A6370" s="1">
        <v>43632.435887071755</v>
      </c>
      <c r="B6370" s="2">
        <v>721.0</v>
      </c>
      <c r="C6370" s="2" t="s">
        <v>156</v>
      </c>
      <c r="D6370" s="2" t="s">
        <v>5</v>
      </c>
    </row>
    <row r="6371">
      <c r="A6371" s="1">
        <v>43632.43638929398</v>
      </c>
      <c r="B6371" s="2">
        <v>157.0</v>
      </c>
      <c r="C6371" s="2" t="s">
        <v>141</v>
      </c>
    </row>
    <row r="6372">
      <c r="A6372" s="1">
        <v>43632.436598229164</v>
      </c>
      <c r="B6372" s="2">
        <v>244.0</v>
      </c>
      <c r="C6372" s="2" t="s">
        <v>38</v>
      </c>
    </row>
    <row r="6373">
      <c r="A6373" s="1">
        <v>43632.436834872686</v>
      </c>
      <c r="B6373" s="2">
        <v>229.0</v>
      </c>
      <c r="C6373" s="2" t="s">
        <v>86</v>
      </c>
    </row>
    <row r="6374">
      <c r="A6374" s="1">
        <v>43632.43783550926</v>
      </c>
      <c r="B6374" s="2">
        <v>124.0</v>
      </c>
      <c r="C6374" s="2" t="s">
        <v>107</v>
      </c>
    </row>
    <row r="6375">
      <c r="A6375" s="1">
        <v>43632.43822552083</v>
      </c>
      <c r="B6375" s="3" t="s">
        <v>80</v>
      </c>
      <c r="C6375" s="2" t="s">
        <v>81</v>
      </c>
    </row>
    <row r="6376">
      <c r="A6376" s="1">
        <v>43632.43849655092</v>
      </c>
      <c r="B6376" s="2">
        <v>653.0</v>
      </c>
      <c r="C6376" s="2" t="s">
        <v>77</v>
      </c>
    </row>
    <row r="6377">
      <c r="A6377" s="1">
        <v>43632.43862298611</v>
      </c>
      <c r="B6377" s="2">
        <v>254.0</v>
      </c>
      <c r="C6377" s="2" t="s">
        <v>132</v>
      </c>
    </row>
    <row r="6378">
      <c r="A6378" s="1">
        <v>43632.438676087964</v>
      </c>
      <c r="B6378" s="2">
        <v>602.0</v>
      </c>
      <c r="C6378" s="2" t="s">
        <v>131</v>
      </c>
    </row>
    <row r="6379">
      <c r="A6379" s="1">
        <v>43632.44000570602</v>
      </c>
      <c r="B6379" s="2">
        <v>655.0</v>
      </c>
      <c r="C6379" s="2" t="s">
        <v>17</v>
      </c>
    </row>
    <row r="6380">
      <c r="A6380" s="1">
        <v>43632.440149710645</v>
      </c>
      <c r="B6380" s="2">
        <v>267.0</v>
      </c>
      <c r="C6380" s="2" t="s">
        <v>115</v>
      </c>
    </row>
    <row r="6381">
      <c r="A6381" s="1">
        <v>43632.440935763894</v>
      </c>
      <c r="B6381" s="3" t="s">
        <v>88</v>
      </c>
      <c r="C6381" s="2" t="s">
        <v>89</v>
      </c>
    </row>
    <row r="6382">
      <c r="A6382" s="1">
        <v>43632.4423192824</v>
      </c>
      <c r="B6382" s="2">
        <v>257.0</v>
      </c>
      <c r="C6382" s="2" t="s">
        <v>27</v>
      </c>
    </row>
    <row r="6383">
      <c r="A6383" s="1">
        <v>43632.44438115741</v>
      </c>
      <c r="B6383" s="2">
        <v>141.0</v>
      </c>
      <c r="C6383" s="2" t="s">
        <v>53</v>
      </c>
    </row>
    <row r="6384">
      <c r="A6384" s="1">
        <v>43632.444451400464</v>
      </c>
      <c r="B6384" s="2">
        <v>167.0</v>
      </c>
      <c r="C6384" s="2" t="s">
        <v>39</v>
      </c>
    </row>
    <row r="6385">
      <c r="A6385" s="1">
        <v>43632.44460739583</v>
      </c>
      <c r="B6385" s="2">
        <v>141.0</v>
      </c>
      <c r="C6385" s="2" t="s">
        <v>53</v>
      </c>
    </row>
    <row r="6386">
      <c r="A6386" s="1">
        <v>43632.44549489583</v>
      </c>
      <c r="B6386" s="2">
        <v>720.0</v>
      </c>
      <c r="C6386" s="2" t="s">
        <v>155</v>
      </c>
      <c r="D6386" s="2" t="s">
        <v>5</v>
      </c>
    </row>
    <row r="6387">
      <c r="A6387" s="1">
        <v>43632.44556457176</v>
      </c>
      <c r="B6387" s="2">
        <v>721.0</v>
      </c>
      <c r="C6387" s="2" t="s">
        <v>156</v>
      </c>
      <c r="D6387" s="2" t="s">
        <v>5</v>
      </c>
    </row>
    <row r="6388">
      <c r="A6388" s="1">
        <v>43632.44569137732</v>
      </c>
      <c r="B6388" s="2">
        <v>167.0</v>
      </c>
      <c r="C6388" s="2" t="s">
        <v>39</v>
      </c>
    </row>
    <row r="6389">
      <c r="A6389" s="1">
        <v>43632.44583744213</v>
      </c>
      <c r="B6389" s="2">
        <v>702.0</v>
      </c>
      <c r="C6389" s="2" t="s">
        <v>96</v>
      </c>
      <c r="D6389" s="2" t="s">
        <v>5</v>
      </c>
    </row>
    <row r="6390">
      <c r="A6390" s="1">
        <v>43632.446004930556</v>
      </c>
      <c r="B6390" s="3" t="s">
        <v>94</v>
      </c>
      <c r="C6390" s="2" t="s">
        <v>95</v>
      </c>
    </row>
    <row r="6391">
      <c r="A6391" s="1">
        <v>43632.446188182876</v>
      </c>
      <c r="B6391" s="3" t="s">
        <v>150</v>
      </c>
      <c r="C6391" s="2" t="s">
        <v>151</v>
      </c>
    </row>
    <row r="6392">
      <c r="A6392" s="1">
        <v>43632.44648225694</v>
      </c>
      <c r="B6392" s="2">
        <v>706.0</v>
      </c>
      <c r="C6392" s="2" t="s">
        <v>149</v>
      </c>
      <c r="D6392" s="2" t="s">
        <v>5</v>
      </c>
    </row>
    <row r="6393">
      <c r="A6393" s="1">
        <v>43632.44777378472</v>
      </c>
      <c r="B6393" s="2">
        <v>716.0</v>
      </c>
      <c r="C6393" s="2" t="s">
        <v>123</v>
      </c>
      <c r="D6393" s="2" t="s">
        <v>5</v>
      </c>
    </row>
    <row r="6394">
      <c r="A6394" s="1">
        <v>43632.44793826389</v>
      </c>
      <c r="B6394" s="3" t="s">
        <v>126</v>
      </c>
      <c r="C6394" s="2" t="s">
        <v>127</v>
      </c>
    </row>
    <row r="6395">
      <c r="A6395" s="1">
        <v>43632.44804505787</v>
      </c>
      <c r="B6395" s="3" t="s">
        <v>11</v>
      </c>
      <c r="C6395" s="2" t="s">
        <v>12</v>
      </c>
    </row>
    <row r="6396">
      <c r="A6396" s="1">
        <v>43632.448428981486</v>
      </c>
      <c r="B6396" s="2">
        <v>701.0</v>
      </c>
      <c r="C6396" s="2" t="s">
        <v>93</v>
      </c>
      <c r="D6396" s="2" t="s">
        <v>5</v>
      </c>
    </row>
    <row r="6397">
      <c r="A6397" s="1">
        <v>43632.44854144676</v>
      </c>
      <c r="B6397" s="2">
        <v>126.0</v>
      </c>
      <c r="C6397" s="2" t="s">
        <v>87</v>
      </c>
    </row>
    <row r="6398">
      <c r="A6398" s="1">
        <v>43632.448752083335</v>
      </c>
      <c r="B6398" s="2">
        <v>268.0</v>
      </c>
      <c r="C6398" s="2" t="s">
        <v>205</v>
      </c>
    </row>
    <row r="6399">
      <c r="A6399" s="1">
        <v>43632.449144074075</v>
      </c>
      <c r="B6399" s="2">
        <v>675.0</v>
      </c>
      <c r="C6399" s="2" t="s">
        <v>222</v>
      </c>
    </row>
    <row r="6400">
      <c r="A6400" s="1">
        <v>43632.45404568287</v>
      </c>
      <c r="B6400" s="2">
        <v>650.0</v>
      </c>
      <c r="C6400" s="2" t="s">
        <v>213</v>
      </c>
    </row>
    <row r="6401">
      <c r="A6401" s="1">
        <v>43632.4559145949</v>
      </c>
      <c r="B6401" s="2">
        <v>733.0</v>
      </c>
      <c r="C6401" s="2" t="s">
        <v>110</v>
      </c>
      <c r="D6401" s="2" t="s">
        <v>5</v>
      </c>
    </row>
    <row r="6402">
      <c r="A6402" s="1">
        <v>43632.45624979166</v>
      </c>
      <c r="B6402" s="2">
        <v>663.0</v>
      </c>
      <c r="C6402" s="2" t="s">
        <v>109</v>
      </c>
    </row>
    <row r="6403">
      <c r="A6403" s="1">
        <v>43632.45706226851</v>
      </c>
      <c r="B6403" s="2">
        <v>198.0</v>
      </c>
      <c r="C6403" s="2" t="s">
        <v>97</v>
      </c>
    </row>
    <row r="6404">
      <c r="A6404" s="1">
        <v>43632.45732217593</v>
      </c>
      <c r="B6404" s="3" t="s">
        <v>119</v>
      </c>
      <c r="C6404" s="2" t="s">
        <v>120</v>
      </c>
    </row>
    <row r="6405">
      <c r="A6405" s="1">
        <v>43632.45758341435</v>
      </c>
      <c r="B6405" s="2">
        <v>713.0</v>
      </c>
      <c r="C6405" s="2" t="s">
        <v>121</v>
      </c>
      <c r="D6405" s="2" t="s">
        <v>5</v>
      </c>
    </row>
    <row r="6406">
      <c r="A6406" s="1">
        <v>43632.45764804399</v>
      </c>
      <c r="B6406" s="2">
        <v>714.0</v>
      </c>
      <c r="C6406" s="2" t="s">
        <v>122</v>
      </c>
      <c r="D6406" s="2" t="s">
        <v>5</v>
      </c>
    </row>
    <row r="6407">
      <c r="A6407" s="1">
        <v>43632.459831319444</v>
      </c>
      <c r="B6407" s="2">
        <v>707.0</v>
      </c>
      <c r="C6407" s="2" t="s">
        <v>57</v>
      </c>
      <c r="D6407" s="2" t="s">
        <v>5</v>
      </c>
    </row>
    <row r="6408">
      <c r="A6408" s="1">
        <v>43632.46016929398</v>
      </c>
      <c r="B6408" s="2">
        <v>729.0</v>
      </c>
      <c r="C6408" s="2" t="s">
        <v>54</v>
      </c>
      <c r="D6408" s="2" t="s">
        <v>5</v>
      </c>
    </row>
    <row r="6409">
      <c r="A6409" s="1">
        <v>43632.4678653588</v>
      </c>
      <c r="B6409" s="3" t="s">
        <v>103</v>
      </c>
      <c r="C6409" s="2" t="s">
        <v>104</v>
      </c>
    </row>
    <row r="6410">
      <c r="A6410" s="1">
        <v>43632.46802425926</v>
      </c>
      <c r="B6410" s="3" t="s">
        <v>42</v>
      </c>
      <c r="C6410" s="2" t="s">
        <v>43</v>
      </c>
    </row>
    <row r="6411">
      <c r="A6411" s="1">
        <v>43632.47560942129</v>
      </c>
      <c r="B6411" s="3" t="s">
        <v>117</v>
      </c>
      <c r="C6411" s="2" t="s">
        <v>118</v>
      </c>
    </row>
    <row r="6412">
      <c r="A6412" s="1">
        <v>43632.49774880787</v>
      </c>
      <c r="B6412" s="2">
        <v>618.0</v>
      </c>
      <c r="C6412" s="2" t="s">
        <v>147</v>
      </c>
    </row>
    <row r="6413">
      <c r="A6413" s="1">
        <v>43633.460816273146</v>
      </c>
      <c r="B6413" s="2">
        <v>260.0</v>
      </c>
      <c r="C6413" s="2" t="s">
        <v>67</v>
      </c>
    </row>
    <row r="6414">
      <c r="A6414" s="1">
        <v>43633.46087314815</v>
      </c>
      <c r="B6414" s="2">
        <v>734.0</v>
      </c>
      <c r="C6414" s="2" t="s">
        <v>63</v>
      </c>
      <c r="D6414" s="2" t="s">
        <v>5</v>
      </c>
    </row>
    <row r="6415">
      <c r="A6415" s="1">
        <v>43633.48538521991</v>
      </c>
      <c r="B6415" s="2">
        <v>603.0</v>
      </c>
      <c r="C6415" s="2" t="s">
        <v>40</v>
      </c>
    </row>
    <row r="6416">
      <c r="A6416" s="1">
        <v>43633.48653296297</v>
      </c>
      <c r="B6416" s="2">
        <v>209.0</v>
      </c>
      <c r="C6416" s="2" t="s">
        <v>219</v>
      </c>
    </row>
    <row r="6417">
      <c r="A6417" s="1">
        <v>43634.44245702546</v>
      </c>
      <c r="B6417" s="2">
        <v>609.0</v>
      </c>
      <c r="C6417" s="2" t="s">
        <v>179</v>
      </c>
    </row>
    <row r="6418">
      <c r="A6418" s="1">
        <v>43639.41291834491</v>
      </c>
      <c r="B6418" s="2">
        <v>207.0</v>
      </c>
      <c r="C6418" s="2" t="s">
        <v>85</v>
      </c>
    </row>
    <row r="6419">
      <c r="A6419" s="1">
        <v>43639.413634826386</v>
      </c>
      <c r="B6419" s="2">
        <v>219.0</v>
      </c>
      <c r="C6419" s="2" t="s">
        <v>31</v>
      </c>
    </row>
    <row r="6420">
      <c r="A6420" s="1">
        <v>43639.414620613425</v>
      </c>
      <c r="B6420" s="2">
        <v>167.0</v>
      </c>
      <c r="C6420" s="2" t="s">
        <v>39</v>
      </c>
    </row>
    <row r="6421">
      <c r="A6421" s="1">
        <v>43639.42347224537</v>
      </c>
      <c r="B6421" s="2">
        <v>270.0</v>
      </c>
      <c r="C6421" s="2" t="s">
        <v>153</v>
      </c>
    </row>
    <row r="6422">
      <c r="A6422" s="1">
        <v>43639.42364832176</v>
      </c>
      <c r="B6422" s="2">
        <v>717.0</v>
      </c>
      <c r="C6422" s="2" t="s">
        <v>152</v>
      </c>
      <c r="D6422" s="2" t="s">
        <v>5</v>
      </c>
    </row>
    <row r="6423">
      <c r="A6423" s="1">
        <v>43639.42562337963</v>
      </c>
      <c r="B6423" s="2">
        <v>193.0</v>
      </c>
      <c r="C6423" s="2" t="s">
        <v>30</v>
      </c>
    </row>
    <row r="6424">
      <c r="A6424" s="1">
        <v>43639.425786736116</v>
      </c>
      <c r="B6424" s="2">
        <v>193.0</v>
      </c>
      <c r="C6424" s="2" t="s">
        <v>30</v>
      </c>
    </row>
    <row r="6425">
      <c r="A6425" s="1">
        <v>43639.425952233796</v>
      </c>
      <c r="B6425" s="2">
        <v>229.0</v>
      </c>
      <c r="C6425" s="2" t="s">
        <v>86</v>
      </c>
    </row>
    <row r="6426">
      <c r="A6426" s="1">
        <v>43639.42610084491</v>
      </c>
      <c r="B6426" s="3" t="s">
        <v>111</v>
      </c>
      <c r="C6426" s="2" t="s">
        <v>112</v>
      </c>
    </row>
    <row r="6427">
      <c r="A6427" s="1">
        <v>43639.42633717593</v>
      </c>
      <c r="B6427" s="2">
        <v>270.0</v>
      </c>
      <c r="C6427" s="2" t="s">
        <v>153</v>
      </c>
    </row>
    <row r="6428">
      <c r="A6428" s="1">
        <v>43639.42651788195</v>
      </c>
      <c r="B6428" s="2">
        <v>717.0</v>
      </c>
      <c r="C6428" s="2" t="s">
        <v>152</v>
      </c>
      <c r="D6428" s="2" t="s">
        <v>5</v>
      </c>
    </row>
    <row r="6429">
      <c r="A6429" s="1">
        <v>43639.42716951389</v>
      </c>
      <c r="B6429" s="3" t="s">
        <v>51</v>
      </c>
      <c r="C6429" s="2" t="s">
        <v>52</v>
      </c>
    </row>
    <row r="6430">
      <c r="A6430" s="1">
        <v>43639.42732582176</v>
      </c>
      <c r="B6430" s="2">
        <v>158.0</v>
      </c>
      <c r="C6430" s="2" t="s">
        <v>62</v>
      </c>
    </row>
    <row r="6431">
      <c r="A6431" s="1">
        <v>43639.427515856485</v>
      </c>
      <c r="B6431" s="2">
        <v>238.0</v>
      </c>
      <c r="C6431" s="2" t="s">
        <v>35</v>
      </c>
    </row>
    <row r="6432">
      <c r="A6432" s="1">
        <v>43639.4276591088</v>
      </c>
      <c r="B6432" s="2">
        <v>267.0</v>
      </c>
      <c r="C6432" s="2" t="s">
        <v>115</v>
      </c>
    </row>
    <row r="6433">
      <c r="A6433" s="1">
        <v>43639.4278346875</v>
      </c>
      <c r="B6433" s="2">
        <v>655.0</v>
      </c>
      <c r="C6433" s="2" t="s">
        <v>17</v>
      </c>
    </row>
    <row r="6434">
      <c r="A6434" s="1">
        <v>43639.42821203703</v>
      </c>
      <c r="B6434" s="2">
        <v>214.0</v>
      </c>
      <c r="C6434" s="2" t="s">
        <v>47</v>
      </c>
    </row>
    <row r="6435">
      <c r="A6435" s="1">
        <v>43639.428351932875</v>
      </c>
      <c r="B6435" s="2">
        <v>165.0</v>
      </c>
      <c r="C6435" s="2" t="s">
        <v>50</v>
      </c>
    </row>
    <row r="6436">
      <c r="A6436" s="1">
        <v>43639.4283612037</v>
      </c>
      <c r="B6436" s="2">
        <v>210.0</v>
      </c>
      <c r="C6436" s="2" t="s">
        <v>64</v>
      </c>
    </row>
    <row r="6437">
      <c r="A6437" s="1">
        <v>43639.42844358797</v>
      </c>
      <c r="B6437" s="2">
        <v>173.0</v>
      </c>
      <c r="C6437" s="2" t="s">
        <v>24</v>
      </c>
    </row>
    <row r="6438">
      <c r="A6438" s="1">
        <v>43639.42860050926</v>
      </c>
      <c r="B6438" s="2">
        <v>740.0</v>
      </c>
      <c r="C6438" s="2" t="s">
        <v>221</v>
      </c>
      <c r="D6438" s="2" t="s">
        <v>5</v>
      </c>
    </row>
    <row r="6439">
      <c r="A6439" s="1">
        <v>43639.428769791666</v>
      </c>
      <c r="B6439" s="3" t="s">
        <v>32</v>
      </c>
      <c r="C6439" s="2" t="s">
        <v>33</v>
      </c>
    </row>
    <row r="6440">
      <c r="A6440" s="1">
        <v>43639.428889456016</v>
      </c>
      <c r="B6440" s="2">
        <v>614.0</v>
      </c>
      <c r="C6440" s="2" t="s">
        <v>76</v>
      </c>
    </row>
    <row r="6441">
      <c r="A6441" s="1">
        <v>43639.42899537037</v>
      </c>
      <c r="B6441" s="2">
        <v>113.0</v>
      </c>
      <c r="C6441" s="2" t="s">
        <v>29</v>
      </c>
    </row>
    <row r="6442">
      <c r="A6442" s="1">
        <v>43639.42907644676</v>
      </c>
      <c r="B6442" s="3" t="s">
        <v>22</v>
      </c>
      <c r="C6442" s="2" t="s">
        <v>23</v>
      </c>
    </row>
    <row r="6443">
      <c r="A6443" s="1">
        <v>43639.42990113426</v>
      </c>
      <c r="B6443" s="2">
        <v>231.0</v>
      </c>
      <c r="C6443" s="2" t="s">
        <v>61</v>
      </c>
    </row>
    <row r="6444">
      <c r="A6444" s="1">
        <v>43639.43080094908</v>
      </c>
      <c r="B6444" s="2">
        <v>231.0</v>
      </c>
      <c r="C6444" s="2" t="s">
        <v>61</v>
      </c>
    </row>
    <row r="6445">
      <c r="A6445" s="1">
        <v>43639.43151886574</v>
      </c>
      <c r="B6445" s="2">
        <v>165.0</v>
      </c>
      <c r="C6445" s="2" t="s">
        <v>50</v>
      </c>
    </row>
    <row r="6446">
      <c r="A6446" s="1">
        <v>43639.431727187504</v>
      </c>
      <c r="B6446" s="2">
        <v>141.0</v>
      </c>
      <c r="C6446" s="2" t="s">
        <v>53</v>
      </c>
    </row>
    <row r="6447">
      <c r="A6447" s="1">
        <v>43639.43212737268</v>
      </c>
      <c r="B6447" s="2">
        <v>208.0</v>
      </c>
      <c r="C6447" s="2" t="s">
        <v>182</v>
      </c>
    </row>
    <row r="6448">
      <c r="A6448" s="1">
        <v>43639.432148645836</v>
      </c>
      <c r="B6448" s="2">
        <v>707.0</v>
      </c>
      <c r="C6448" s="2" t="s">
        <v>57</v>
      </c>
      <c r="D6448" s="2" t="s">
        <v>5</v>
      </c>
    </row>
    <row r="6449">
      <c r="A6449" s="1">
        <v>43639.43235703703</v>
      </c>
      <c r="B6449" s="3" t="s">
        <v>55</v>
      </c>
      <c r="C6449" s="2" t="s">
        <v>56</v>
      </c>
    </row>
    <row r="6450">
      <c r="A6450" s="1">
        <v>43639.43260730324</v>
      </c>
      <c r="B6450" s="2">
        <v>172.0</v>
      </c>
      <c r="C6450" s="2" t="s">
        <v>65</v>
      </c>
    </row>
    <row r="6451">
      <c r="A6451" s="1">
        <v>43639.43283402778</v>
      </c>
      <c r="B6451" s="2">
        <v>729.0</v>
      </c>
      <c r="C6451" s="2" t="s">
        <v>54</v>
      </c>
      <c r="D6451" s="2" t="s">
        <v>5</v>
      </c>
    </row>
    <row r="6452">
      <c r="A6452" s="1">
        <v>43639.43301952546</v>
      </c>
      <c r="B6452" s="2">
        <v>632.0</v>
      </c>
      <c r="C6452" s="2" t="s">
        <v>146</v>
      </c>
    </row>
    <row r="6453">
      <c r="A6453" s="1">
        <v>43639.433181053246</v>
      </c>
      <c r="B6453" s="2">
        <v>653.0</v>
      </c>
      <c r="C6453" s="2" t="s">
        <v>77</v>
      </c>
    </row>
    <row r="6454">
      <c r="A6454" s="1">
        <v>43639.433385462966</v>
      </c>
      <c r="B6454" s="3" t="s">
        <v>159</v>
      </c>
      <c r="C6454" s="2" t="s">
        <v>160</v>
      </c>
    </row>
    <row r="6455">
      <c r="A6455" s="1">
        <v>43639.4355208912</v>
      </c>
      <c r="B6455" s="2">
        <v>201.0</v>
      </c>
      <c r="C6455" s="2" t="s">
        <v>70</v>
      </c>
    </row>
    <row r="6456">
      <c r="A6456" s="1">
        <v>43639.43601247686</v>
      </c>
      <c r="B6456" s="3" t="s">
        <v>126</v>
      </c>
      <c r="C6456" s="2" t="s">
        <v>127</v>
      </c>
    </row>
    <row r="6457">
      <c r="A6457" s="1">
        <v>43639.43611886574</v>
      </c>
      <c r="B6457" s="3" t="s">
        <v>11</v>
      </c>
      <c r="C6457" s="2" t="s">
        <v>12</v>
      </c>
    </row>
    <row r="6458">
      <c r="A6458" s="1">
        <v>43639.43623892361</v>
      </c>
      <c r="B6458" s="2">
        <v>716.0</v>
      </c>
      <c r="C6458" s="2" t="s">
        <v>123</v>
      </c>
      <c r="D6458" s="2" t="s">
        <v>5</v>
      </c>
    </row>
    <row r="6459">
      <c r="A6459" s="1">
        <v>43639.43649431713</v>
      </c>
      <c r="B6459" s="3" t="s">
        <v>82</v>
      </c>
      <c r="C6459" s="2" t="s">
        <v>83</v>
      </c>
    </row>
    <row r="6460">
      <c r="A6460" s="1">
        <v>43639.4367796875</v>
      </c>
      <c r="B6460" s="3" t="s">
        <v>82</v>
      </c>
      <c r="C6460" s="2" t="s">
        <v>83</v>
      </c>
    </row>
    <row r="6461">
      <c r="A6461" s="1">
        <v>43639.43709248843</v>
      </c>
      <c r="B6461" s="2">
        <v>603.0</v>
      </c>
      <c r="C6461" s="2" t="s">
        <v>40</v>
      </c>
    </row>
    <row r="6462">
      <c r="A6462" s="1">
        <v>43639.437221388886</v>
      </c>
      <c r="B6462" s="3" t="s">
        <v>78</v>
      </c>
      <c r="C6462" s="2" t="s">
        <v>79</v>
      </c>
    </row>
    <row r="6463">
      <c r="A6463" s="1">
        <v>43639.437326388885</v>
      </c>
      <c r="B6463" s="2">
        <v>723.0</v>
      </c>
      <c r="C6463" s="2" t="s">
        <v>84</v>
      </c>
      <c r="D6463" s="2" t="s">
        <v>5</v>
      </c>
    </row>
    <row r="6464">
      <c r="A6464" s="1">
        <v>43639.43746865741</v>
      </c>
      <c r="B6464" s="2">
        <v>627.0</v>
      </c>
      <c r="C6464" s="2" t="s">
        <v>134</v>
      </c>
    </row>
    <row r="6465">
      <c r="A6465" s="1">
        <v>43639.43762378472</v>
      </c>
      <c r="B6465" s="2">
        <v>602.0</v>
      </c>
      <c r="C6465" s="2" t="s">
        <v>131</v>
      </c>
    </row>
    <row r="6466">
      <c r="A6466" s="1">
        <v>43639.437743194445</v>
      </c>
      <c r="B6466" s="2">
        <v>52.0</v>
      </c>
      <c r="C6466" s="2" t="s">
        <v>41</v>
      </c>
    </row>
    <row r="6467">
      <c r="A6467" s="1">
        <v>43639.43784824074</v>
      </c>
      <c r="B6467" s="3" t="s">
        <v>44</v>
      </c>
      <c r="C6467" s="2" t="s">
        <v>45</v>
      </c>
    </row>
    <row r="6468">
      <c r="A6468" s="1">
        <v>43639.43793811343</v>
      </c>
      <c r="B6468" s="2">
        <v>648.0</v>
      </c>
      <c r="C6468" s="2" t="s">
        <v>207</v>
      </c>
    </row>
    <row r="6469">
      <c r="A6469" s="1">
        <v>43639.438037291664</v>
      </c>
      <c r="B6469" s="2">
        <v>649.0</v>
      </c>
      <c r="C6469" s="2" t="s">
        <v>177</v>
      </c>
    </row>
    <row r="6470">
      <c r="A6470" s="1">
        <v>43639.43827775463</v>
      </c>
      <c r="B6470" s="2">
        <v>675.0</v>
      </c>
      <c r="C6470" s="2" t="s">
        <v>222</v>
      </c>
    </row>
    <row r="6471">
      <c r="A6471" s="1">
        <v>43639.43847009259</v>
      </c>
      <c r="B6471" s="2">
        <v>611.0</v>
      </c>
      <c r="C6471" s="2" t="s">
        <v>143</v>
      </c>
    </row>
    <row r="6472">
      <c r="A6472" s="1">
        <v>43639.438595844906</v>
      </c>
      <c r="B6472" s="2">
        <v>737.0</v>
      </c>
      <c r="C6472" s="2" t="s">
        <v>176</v>
      </c>
      <c r="D6472" s="2" t="s">
        <v>5</v>
      </c>
    </row>
    <row r="6473">
      <c r="A6473" s="1">
        <v>43639.4387087037</v>
      </c>
      <c r="B6473" s="2">
        <v>736.0</v>
      </c>
      <c r="C6473" s="2" t="s">
        <v>175</v>
      </c>
      <c r="D6473" s="2" t="s">
        <v>5</v>
      </c>
    </row>
    <row r="6474">
      <c r="A6474" s="1">
        <v>43639.43881626157</v>
      </c>
      <c r="B6474" s="2">
        <v>677.0</v>
      </c>
      <c r="C6474" s="2" t="s">
        <v>224</v>
      </c>
    </row>
    <row r="6475">
      <c r="A6475" s="1">
        <v>43639.43896428241</v>
      </c>
      <c r="B6475" s="2">
        <v>721.0</v>
      </c>
      <c r="C6475" s="2" t="s">
        <v>156</v>
      </c>
      <c r="D6475" s="2" t="s">
        <v>5</v>
      </c>
    </row>
    <row r="6476">
      <c r="A6476" s="1">
        <v>43639.43903356481</v>
      </c>
      <c r="B6476" s="2">
        <v>720.0</v>
      </c>
      <c r="C6476" s="2" t="s">
        <v>155</v>
      </c>
      <c r="D6476" s="2" t="s">
        <v>5</v>
      </c>
    </row>
    <row r="6477">
      <c r="A6477" s="1">
        <v>43639.43913449074</v>
      </c>
      <c r="B6477" s="2">
        <v>160.0</v>
      </c>
      <c r="C6477" s="2" t="s">
        <v>154</v>
      </c>
    </row>
    <row r="6478">
      <c r="A6478" s="1">
        <v>43639.439288587964</v>
      </c>
      <c r="B6478" s="3" t="s">
        <v>162</v>
      </c>
      <c r="C6478" s="2" t="s">
        <v>163</v>
      </c>
    </row>
    <row r="6479">
      <c r="A6479" s="1">
        <v>43639.43948047454</v>
      </c>
      <c r="B6479" s="2">
        <v>244.0</v>
      </c>
      <c r="C6479" s="2" t="s">
        <v>38</v>
      </c>
    </row>
    <row r="6480">
      <c r="A6480" s="1">
        <v>43639.439635532406</v>
      </c>
      <c r="B6480" s="2">
        <v>701.0</v>
      </c>
      <c r="C6480" s="2" t="s">
        <v>93</v>
      </c>
      <c r="D6480" s="2" t="s">
        <v>5</v>
      </c>
    </row>
    <row r="6481">
      <c r="A6481" s="1">
        <v>43639.43992096065</v>
      </c>
      <c r="B6481" s="2">
        <v>734.0</v>
      </c>
      <c r="C6481" s="2" t="s">
        <v>63</v>
      </c>
      <c r="D6481" s="2" t="s">
        <v>5</v>
      </c>
    </row>
    <row r="6482">
      <c r="A6482" s="1">
        <v>43639.44009047454</v>
      </c>
      <c r="B6482" s="2">
        <v>259.0</v>
      </c>
      <c r="C6482" s="2" t="s">
        <v>66</v>
      </c>
    </row>
    <row r="6483">
      <c r="A6483" s="1">
        <v>43639.440171828704</v>
      </c>
      <c r="B6483" s="2">
        <v>260.0</v>
      </c>
      <c r="C6483" s="2" t="s">
        <v>67</v>
      </c>
    </row>
    <row r="6484">
      <c r="A6484" s="1">
        <v>43639.440244074074</v>
      </c>
      <c r="B6484" s="2">
        <v>257.0</v>
      </c>
      <c r="C6484" s="2" t="s">
        <v>27</v>
      </c>
    </row>
    <row r="6485">
      <c r="A6485" s="1">
        <v>43639.442435590274</v>
      </c>
      <c r="B6485" s="3" t="s">
        <v>98</v>
      </c>
      <c r="C6485" s="2" t="s">
        <v>99</v>
      </c>
    </row>
    <row r="6486">
      <c r="A6486" s="1">
        <v>43639.442529004635</v>
      </c>
      <c r="B6486" s="3" t="s">
        <v>103</v>
      </c>
      <c r="C6486" s="2" t="s">
        <v>104</v>
      </c>
    </row>
    <row r="6487">
      <c r="A6487" s="1">
        <v>43639.44266871527</v>
      </c>
      <c r="B6487" s="2">
        <v>726.0</v>
      </c>
      <c r="C6487" s="2" t="s">
        <v>101</v>
      </c>
      <c r="D6487" s="2" t="s">
        <v>5</v>
      </c>
    </row>
    <row r="6488">
      <c r="A6488" s="1">
        <v>43639.44280780092</v>
      </c>
      <c r="B6488" s="2">
        <v>732.0</v>
      </c>
      <c r="C6488" s="2" t="s">
        <v>102</v>
      </c>
      <c r="D6488" s="2" t="s">
        <v>5</v>
      </c>
    </row>
    <row r="6489">
      <c r="A6489" s="1">
        <v>43639.44389369213</v>
      </c>
      <c r="B6489" s="2">
        <v>735.0</v>
      </c>
      <c r="C6489" s="2" t="s">
        <v>37</v>
      </c>
      <c r="D6489" s="2" t="s">
        <v>5</v>
      </c>
    </row>
    <row r="6490">
      <c r="A6490" s="1">
        <v>43639.443985844904</v>
      </c>
      <c r="B6490" s="2">
        <v>604.0</v>
      </c>
      <c r="C6490" s="2" t="s">
        <v>36</v>
      </c>
    </row>
    <row r="6491">
      <c r="A6491" s="1">
        <v>43639.44768001157</v>
      </c>
      <c r="B6491" s="2">
        <v>733.0</v>
      </c>
      <c r="C6491" s="2" t="s">
        <v>110</v>
      </c>
      <c r="D6491" s="2" t="s">
        <v>5</v>
      </c>
    </row>
    <row r="6492">
      <c r="A6492" s="1">
        <v>43639.447786793986</v>
      </c>
      <c r="B6492" s="2">
        <v>663.0</v>
      </c>
      <c r="C6492" s="2" t="s">
        <v>109</v>
      </c>
    </row>
    <row r="6493">
      <c r="A6493" s="1">
        <v>43639.447871076394</v>
      </c>
      <c r="B6493" s="2">
        <v>126.0</v>
      </c>
      <c r="C6493" s="2" t="s">
        <v>87</v>
      </c>
    </row>
    <row r="6494">
      <c r="A6494" s="1">
        <v>43639.44797700232</v>
      </c>
      <c r="B6494" s="2">
        <v>268.0</v>
      </c>
      <c r="C6494" s="2" t="s">
        <v>205</v>
      </c>
    </row>
    <row r="6495">
      <c r="A6495" s="1">
        <v>43639.4486875463</v>
      </c>
      <c r="B6495" s="2">
        <v>246.0</v>
      </c>
      <c r="C6495" s="2" t="s">
        <v>26</v>
      </c>
    </row>
    <row r="6496">
      <c r="A6496" s="1">
        <v>43639.44891899306</v>
      </c>
      <c r="B6496" s="2">
        <v>246.0</v>
      </c>
      <c r="C6496" s="2" t="s">
        <v>26</v>
      </c>
    </row>
    <row r="6497">
      <c r="A6497" s="1">
        <v>43639.44917365741</v>
      </c>
      <c r="B6497" s="2">
        <v>738.0</v>
      </c>
      <c r="C6497" s="2" t="s">
        <v>161</v>
      </c>
    </row>
    <row r="6498">
      <c r="A6498" s="1">
        <v>43639.44940979166</v>
      </c>
      <c r="B6498" s="2">
        <v>631.0</v>
      </c>
      <c r="C6498" s="2" t="s">
        <v>178</v>
      </c>
    </row>
    <row r="6499">
      <c r="A6499" s="1">
        <v>43639.44950841436</v>
      </c>
      <c r="B6499" s="3" t="s">
        <v>42</v>
      </c>
      <c r="C6499" s="2" t="s">
        <v>43</v>
      </c>
    </row>
    <row r="6500">
      <c r="A6500" s="1">
        <v>43639.44960253472</v>
      </c>
      <c r="B6500" s="3" t="s">
        <v>88</v>
      </c>
      <c r="C6500" s="2" t="s">
        <v>89</v>
      </c>
    </row>
    <row r="6501">
      <c r="A6501" s="1">
        <v>43639.449841458336</v>
      </c>
      <c r="B6501" s="2">
        <v>722.0</v>
      </c>
      <c r="C6501" s="2" t="s">
        <v>25</v>
      </c>
      <c r="D6501" s="2" t="s">
        <v>5</v>
      </c>
    </row>
    <row r="6502">
      <c r="A6502" s="1">
        <v>43639.45098194444</v>
      </c>
      <c r="B6502" s="2">
        <v>253.0</v>
      </c>
      <c r="C6502" s="2" t="s">
        <v>138</v>
      </c>
    </row>
    <row r="6503">
      <c r="A6503" s="1">
        <v>43639.45686652778</v>
      </c>
      <c r="B6503" s="3" t="s">
        <v>103</v>
      </c>
      <c r="C6503" s="2" t="s">
        <v>104</v>
      </c>
    </row>
    <row r="6504">
      <c r="A6504" s="1">
        <v>43640.47962099537</v>
      </c>
      <c r="B6504" s="3" t="s">
        <v>119</v>
      </c>
      <c r="C6504" s="2" t="s">
        <v>120</v>
      </c>
    </row>
    <row r="6505">
      <c r="A6505" s="1">
        <v>43640.47970412037</v>
      </c>
      <c r="B6505" s="3" t="s">
        <v>117</v>
      </c>
      <c r="C6505" s="2" t="s">
        <v>118</v>
      </c>
    </row>
    <row r="6506">
      <c r="A6506" s="1">
        <v>43640.48001914352</v>
      </c>
      <c r="B6506" s="2">
        <v>714.0</v>
      </c>
      <c r="C6506" s="2" t="s">
        <v>122</v>
      </c>
      <c r="D6506" s="2" t="s">
        <v>5</v>
      </c>
    </row>
    <row r="6507">
      <c r="A6507" s="1">
        <v>43640.48004394676</v>
      </c>
      <c r="B6507" s="2">
        <v>713.0</v>
      </c>
      <c r="C6507" s="2" t="s">
        <v>121</v>
      </c>
      <c r="D6507" s="2" t="s">
        <v>5</v>
      </c>
    </row>
    <row r="6508">
      <c r="A6508" s="1">
        <v>43640.48043777778</v>
      </c>
      <c r="B6508" s="2">
        <v>708.0</v>
      </c>
      <c r="C6508" s="2" t="s">
        <v>4</v>
      </c>
      <c r="D6508" s="2" t="s">
        <v>5</v>
      </c>
    </row>
    <row r="6509">
      <c r="A6509" s="1">
        <v>43640.480469664355</v>
      </c>
      <c r="B6509" s="2">
        <v>709.0</v>
      </c>
      <c r="C6509" s="2" t="s">
        <v>20</v>
      </c>
      <c r="D6509" s="2" t="s">
        <v>5</v>
      </c>
    </row>
    <row r="6510">
      <c r="A6510" s="1">
        <v>43640.48050631944</v>
      </c>
      <c r="B6510" s="2">
        <v>710.0</v>
      </c>
      <c r="C6510" s="2" t="s">
        <v>21</v>
      </c>
      <c r="D6510" s="2" t="s">
        <v>5</v>
      </c>
    </row>
    <row r="6511">
      <c r="A6511" s="1">
        <v>43640.662885625</v>
      </c>
      <c r="B6511" s="2">
        <v>198.0</v>
      </c>
      <c r="C6511" s="2" t="s">
        <v>97</v>
      </c>
    </row>
    <row r="6512">
      <c r="A6512" s="1">
        <v>43640.66316888889</v>
      </c>
      <c r="B6512" s="2">
        <v>141.0</v>
      </c>
      <c r="C6512" s="2" t="s">
        <v>53</v>
      </c>
    </row>
    <row r="6513">
      <c r="A6513" s="1">
        <v>43640.6634174537</v>
      </c>
      <c r="B6513" s="2">
        <v>712.0</v>
      </c>
      <c r="C6513" s="2" t="s">
        <v>116</v>
      </c>
      <c r="D6513" s="2" t="s">
        <v>5</v>
      </c>
    </row>
    <row r="6514">
      <c r="A6514" s="1">
        <v>43640.66385895833</v>
      </c>
      <c r="B6514" s="2">
        <v>607.0</v>
      </c>
      <c r="C6514" s="2" t="s">
        <v>68</v>
      </c>
    </row>
    <row r="6515">
      <c r="A6515" s="1">
        <v>43640.663996006944</v>
      </c>
      <c r="B6515" s="3" t="s">
        <v>80</v>
      </c>
      <c r="C6515" s="2" t="s">
        <v>81</v>
      </c>
    </row>
    <row r="6516">
      <c r="A6516" s="1">
        <v>43640.66460275463</v>
      </c>
      <c r="B6516" s="2">
        <v>114.0</v>
      </c>
      <c r="C6516" s="2" t="s">
        <v>15</v>
      </c>
    </row>
    <row r="6517">
      <c r="A6517" s="1">
        <v>43640.664747766205</v>
      </c>
      <c r="B6517" s="2">
        <v>262.0</v>
      </c>
      <c r="C6517" s="2" t="s">
        <v>28</v>
      </c>
    </row>
    <row r="6518">
      <c r="A6518" s="1">
        <v>43640.66491478009</v>
      </c>
      <c r="B6518" s="2">
        <v>702.0</v>
      </c>
      <c r="C6518" s="2" t="s">
        <v>96</v>
      </c>
      <c r="D6518" s="2" t="s">
        <v>5</v>
      </c>
    </row>
    <row r="6519">
      <c r="A6519" s="1">
        <v>43640.6747441551</v>
      </c>
      <c r="B6519" s="3" t="s">
        <v>94</v>
      </c>
      <c r="C6519" s="2" t="s">
        <v>95</v>
      </c>
    </row>
    <row r="6520">
      <c r="A6520" s="1">
        <v>43641.16673337963</v>
      </c>
      <c r="B6520" s="2">
        <v>209.0</v>
      </c>
      <c r="C6520" s="2" t="s">
        <v>219</v>
      </c>
    </row>
    <row r="6521">
      <c r="A6521" s="1">
        <v>43645.505697500004</v>
      </c>
      <c r="B6521" s="3" t="s">
        <v>42</v>
      </c>
      <c r="C6521" s="2" t="s">
        <v>43</v>
      </c>
    </row>
    <row r="6522">
      <c r="A6522" s="1">
        <v>43646.41630361111</v>
      </c>
      <c r="B6522" s="3" t="s">
        <v>111</v>
      </c>
      <c r="C6522" s="2" t="s">
        <v>112</v>
      </c>
    </row>
    <row r="6523">
      <c r="A6523" s="1">
        <v>43646.416352835644</v>
      </c>
      <c r="B6523" s="2">
        <v>193.0</v>
      </c>
      <c r="C6523" s="2" t="s">
        <v>30</v>
      </c>
    </row>
    <row r="6524">
      <c r="A6524" s="1">
        <v>43646.41637438658</v>
      </c>
      <c r="B6524" s="2">
        <v>201.0</v>
      </c>
      <c r="C6524" s="2" t="s">
        <v>70</v>
      </c>
    </row>
    <row r="6525">
      <c r="A6525" s="1">
        <v>43646.416380104165</v>
      </c>
      <c r="B6525" s="2">
        <v>113.0</v>
      </c>
      <c r="C6525" s="2" t="s">
        <v>29</v>
      </c>
    </row>
    <row r="6526">
      <c r="A6526" s="1">
        <v>43646.41638945602</v>
      </c>
      <c r="B6526" s="3" t="s">
        <v>22</v>
      </c>
      <c r="C6526" s="2" t="s">
        <v>23</v>
      </c>
    </row>
    <row r="6527">
      <c r="A6527" s="1">
        <v>43646.41639996528</v>
      </c>
      <c r="B6527" s="2">
        <v>214.0</v>
      </c>
      <c r="C6527" s="2" t="s">
        <v>47</v>
      </c>
    </row>
    <row r="6528">
      <c r="A6528" s="1">
        <v>43646.41642958333</v>
      </c>
      <c r="B6528" s="2">
        <v>173.0</v>
      </c>
      <c r="C6528" s="2" t="s">
        <v>24</v>
      </c>
    </row>
    <row r="6529">
      <c r="A6529" s="1">
        <v>43646.416934189816</v>
      </c>
      <c r="B6529" s="2">
        <v>229.0</v>
      </c>
      <c r="C6529" s="2" t="s">
        <v>86</v>
      </c>
    </row>
    <row r="6530">
      <c r="A6530" s="1">
        <v>43646.417483310186</v>
      </c>
      <c r="B6530" s="2">
        <v>253.0</v>
      </c>
      <c r="C6530" s="2" t="s">
        <v>138</v>
      </c>
    </row>
    <row r="6531">
      <c r="A6531" s="1">
        <v>43646.41792548611</v>
      </c>
      <c r="B6531" s="2">
        <v>246.0</v>
      </c>
      <c r="C6531" s="2" t="s">
        <v>26</v>
      </c>
    </row>
    <row r="6532">
      <c r="A6532" s="1">
        <v>43646.418213819445</v>
      </c>
      <c r="B6532" s="2">
        <v>618.0</v>
      </c>
      <c r="C6532" s="2" t="s">
        <v>147</v>
      </c>
    </row>
    <row r="6533">
      <c r="A6533" s="1">
        <v>43646.41824106481</v>
      </c>
      <c r="B6533" s="2">
        <v>631.0</v>
      </c>
      <c r="C6533" s="2" t="s">
        <v>178</v>
      </c>
    </row>
    <row r="6534">
      <c r="A6534" s="1">
        <v>43646.418396574074</v>
      </c>
      <c r="B6534" s="2">
        <v>209.0</v>
      </c>
      <c r="C6534" s="2" t="s">
        <v>219</v>
      </c>
    </row>
    <row r="6535">
      <c r="A6535" s="1">
        <v>43646.41891320602</v>
      </c>
      <c r="B6535" s="2">
        <v>611.0</v>
      </c>
      <c r="C6535" s="2" t="s">
        <v>143</v>
      </c>
    </row>
    <row r="6536">
      <c r="A6536" s="1">
        <v>43646.41936215278</v>
      </c>
      <c r="B6536" s="2">
        <v>655.0</v>
      </c>
      <c r="C6536" s="2" t="s">
        <v>17</v>
      </c>
    </row>
    <row r="6537">
      <c r="A6537" s="1">
        <v>43646.41968905093</v>
      </c>
      <c r="B6537" s="2">
        <v>231.0</v>
      </c>
      <c r="C6537" s="2" t="s">
        <v>61</v>
      </c>
    </row>
    <row r="6538">
      <c r="A6538" s="1">
        <v>43646.41969510417</v>
      </c>
      <c r="B6538" s="2">
        <v>267.0</v>
      </c>
      <c r="C6538" s="2" t="s">
        <v>115</v>
      </c>
    </row>
    <row r="6539">
      <c r="A6539" s="1">
        <v>43646.42066231482</v>
      </c>
      <c r="B6539" s="3" t="s">
        <v>80</v>
      </c>
      <c r="C6539" s="2" t="s">
        <v>81</v>
      </c>
    </row>
    <row r="6540">
      <c r="A6540" s="1">
        <v>43646.42172663195</v>
      </c>
      <c r="B6540" s="2">
        <v>262.0</v>
      </c>
      <c r="C6540" s="2" t="s">
        <v>28</v>
      </c>
    </row>
    <row r="6541">
      <c r="A6541" s="1">
        <v>43646.42186299768</v>
      </c>
      <c r="B6541" s="2">
        <v>735.0</v>
      </c>
      <c r="C6541" s="2" t="s">
        <v>37</v>
      </c>
      <c r="D6541" s="2" t="s">
        <v>5</v>
      </c>
    </row>
    <row r="6542">
      <c r="A6542" s="1">
        <v>43646.42248841435</v>
      </c>
      <c r="B6542" s="2">
        <v>167.0</v>
      </c>
      <c r="C6542" s="2" t="s">
        <v>39</v>
      </c>
    </row>
    <row r="6543">
      <c r="A6543" s="1">
        <v>43646.42280730324</v>
      </c>
      <c r="B6543" s="2">
        <v>603.0</v>
      </c>
      <c r="C6543" s="2" t="s">
        <v>40</v>
      </c>
    </row>
    <row r="6544">
      <c r="A6544" s="1">
        <v>43646.42425643519</v>
      </c>
      <c r="B6544" s="2">
        <v>219.0</v>
      </c>
      <c r="C6544" s="2" t="s">
        <v>31</v>
      </c>
    </row>
    <row r="6545">
      <c r="A6545" s="1">
        <v>43646.42593699074</v>
      </c>
      <c r="B6545" s="2">
        <v>618.0</v>
      </c>
      <c r="C6545" s="2" t="s">
        <v>147</v>
      </c>
    </row>
    <row r="6546">
      <c r="A6546" s="1">
        <v>43646.42612415509</v>
      </c>
      <c r="B6546" s="2">
        <v>632.0</v>
      </c>
      <c r="C6546" s="2" t="s">
        <v>146</v>
      </c>
    </row>
    <row r="6547">
      <c r="A6547" s="1">
        <v>43646.42773265047</v>
      </c>
      <c r="B6547" s="3" t="s">
        <v>22</v>
      </c>
      <c r="C6547" s="2" t="s">
        <v>23</v>
      </c>
    </row>
    <row r="6548">
      <c r="A6548" s="1">
        <v>43646.428077696764</v>
      </c>
      <c r="B6548" s="2">
        <v>124.0</v>
      </c>
      <c r="C6548" s="2" t="s">
        <v>107</v>
      </c>
    </row>
    <row r="6549">
      <c r="A6549" s="1">
        <v>43646.42826513889</v>
      </c>
      <c r="B6549" s="3" t="s">
        <v>13</v>
      </c>
      <c r="C6549" s="2" t="s">
        <v>14</v>
      </c>
    </row>
    <row r="6550">
      <c r="A6550" s="1">
        <v>43646.42879362269</v>
      </c>
      <c r="B6550" s="2">
        <v>141.0</v>
      </c>
      <c r="C6550" s="2" t="s">
        <v>53</v>
      </c>
    </row>
    <row r="6551">
      <c r="A6551" s="1">
        <v>43646.42896575232</v>
      </c>
      <c r="B6551" s="2">
        <v>707.0</v>
      </c>
      <c r="C6551" s="2" t="s">
        <v>57</v>
      </c>
      <c r="D6551" s="2" t="s">
        <v>5</v>
      </c>
    </row>
    <row r="6552">
      <c r="A6552" s="1">
        <v>43646.42897572917</v>
      </c>
      <c r="B6552" s="2">
        <v>158.0</v>
      </c>
      <c r="C6552" s="2" t="s">
        <v>62</v>
      </c>
    </row>
    <row r="6553">
      <c r="A6553" s="1">
        <v>43646.42933075232</v>
      </c>
      <c r="B6553" s="2">
        <v>722.0</v>
      </c>
      <c r="C6553" s="2" t="s">
        <v>25</v>
      </c>
      <c r="D6553" s="2" t="s">
        <v>5</v>
      </c>
    </row>
    <row r="6554">
      <c r="A6554" s="1">
        <v>43646.42935262731</v>
      </c>
      <c r="B6554" s="3" t="s">
        <v>55</v>
      </c>
      <c r="C6554" s="2" t="s">
        <v>56</v>
      </c>
    </row>
    <row r="6555">
      <c r="A6555" s="1">
        <v>43646.42972885417</v>
      </c>
      <c r="B6555" s="2">
        <v>729.0</v>
      </c>
      <c r="C6555" s="2" t="s">
        <v>54</v>
      </c>
      <c r="D6555" s="2" t="s">
        <v>5</v>
      </c>
    </row>
    <row r="6556">
      <c r="A6556" s="1">
        <v>43646.43017216436</v>
      </c>
      <c r="B6556" s="2">
        <v>734.0</v>
      </c>
      <c r="C6556" s="2" t="s">
        <v>63</v>
      </c>
      <c r="D6556" s="2" t="s">
        <v>5</v>
      </c>
    </row>
    <row r="6557">
      <c r="A6557" s="1">
        <v>43646.4303117824</v>
      </c>
      <c r="B6557" s="2">
        <v>113.0</v>
      </c>
      <c r="C6557" s="2" t="s">
        <v>29</v>
      </c>
    </row>
    <row r="6558">
      <c r="A6558" s="1">
        <v>43646.43053467592</v>
      </c>
      <c r="B6558" s="2">
        <v>259.0</v>
      </c>
      <c r="C6558" s="2" t="s">
        <v>66</v>
      </c>
    </row>
    <row r="6559">
      <c r="A6559" s="1">
        <v>43646.43057322917</v>
      </c>
      <c r="B6559" s="2">
        <v>260.0</v>
      </c>
      <c r="C6559" s="2" t="s">
        <v>67</v>
      </c>
    </row>
    <row r="6560">
      <c r="A6560" s="1">
        <v>43646.43066885417</v>
      </c>
      <c r="B6560" s="2">
        <v>113.0</v>
      </c>
      <c r="C6560" s="2" t="s">
        <v>29</v>
      </c>
    </row>
    <row r="6561">
      <c r="A6561" s="1">
        <v>43646.43142421296</v>
      </c>
      <c r="B6561" s="2">
        <v>740.0</v>
      </c>
      <c r="C6561" s="2" t="s">
        <v>221</v>
      </c>
      <c r="D6561" s="2" t="s">
        <v>5</v>
      </c>
    </row>
    <row r="6562">
      <c r="A6562" s="1">
        <v>43646.43155331018</v>
      </c>
      <c r="B6562" s="2">
        <v>607.0</v>
      </c>
      <c r="C6562" s="2" t="s">
        <v>68</v>
      </c>
    </row>
    <row r="6563">
      <c r="A6563" s="1">
        <v>43646.43187028935</v>
      </c>
      <c r="B6563" s="2">
        <v>214.0</v>
      </c>
      <c r="C6563" s="2" t="s">
        <v>47</v>
      </c>
    </row>
    <row r="6564">
      <c r="A6564" s="1">
        <v>43646.43238462963</v>
      </c>
      <c r="B6564" s="3" t="s">
        <v>82</v>
      </c>
      <c r="C6564" s="2" t="s">
        <v>83</v>
      </c>
    </row>
    <row r="6565">
      <c r="A6565" s="1">
        <v>43646.43243747685</v>
      </c>
      <c r="B6565" s="3" t="s">
        <v>78</v>
      </c>
      <c r="C6565" s="2" t="s">
        <v>79</v>
      </c>
    </row>
    <row r="6566">
      <c r="A6566" s="1">
        <v>43646.432500104165</v>
      </c>
      <c r="B6566" s="2">
        <v>723.0</v>
      </c>
      <c r="C6566" s="2" t="s">
        <v>84</v>
      </c>
      <c r="D6566" s="2" t="s">
        <v>5</v>
      </c>
    </row>
    <row r="6567">
      <c r="A6567" s="1">
        <v>43646.43278574074</v>
      </c>
      <c r="B6567" s="2">
        <v>706.0</v>
      </c>
      <c r="C6567" s="2" t="s">
        <v>149</v>
      </c>
      <c r="D6567" s="2" t="s">
        <v>5</v>
      </c>
    </row>
    <row r="6568">
      <c r="A6568" s="1">
        <v>43646.43293241898</v>
      </c>
      <c r="B6568" s="3" t="s">
        <v>150</v>
      </c>
      <c r="C6568" s="2" t="s">
        <v>151</v>
      </c>
    </row>
    <row r="6569">
      <c r="A6569" s="1">
        <v>43646.433140243054</v>
      </c>
      <c r="B6569" s="3" t="s">
        <v>98</v>
      </c>
      <c r="C6569" s="2" t="s">
        <v>99</v>
      </c>
    </row>
    <row r="6570">
      <c r="A6570" s="1">
        <v>43646.433205208334</v>
      </c>
      <c r="B6570" s="2">
        <v>147.0</v>
      </c>
      <c r="C6570" s="2" t="s">
        <v>100</v>
      </c>
    </row>
    <row r="6571">
      <c r="A6571" s="1">
        <v>43646.43325827546</v>
      </c>
      <c r="B6571" s="2">
        <v>726.0</v>
      </c>
      <c r="C6571" s="2" t="s">
        <v>101</v>
      </c>
      <c r="D6571" s="2" t="s">
        <v>5</v>
      </c>
    </row>
    <row r="6572">
      <c r="A6572" s="1">
        <v>43646.433370706014</v>
      </c>
      <c r="B6572" s="2">
        <v>732.0</v>
      </c>
      <c r="C6572" s="2" t="s">
        <v>102</v>
      </c>
      <c r="D6572" s="2" t="s">
        <v>5</v>
      </c>
    </row>
    <row r="6573">
      <c r="A6573" s="1">
        <v>43646.4334393287</v>
      </c>
      <c r="B6573" s="2">
        <v>173.0</v>
      </c>
      <c r="C6573" s="2" t="s">
        <v>24</v>
      </c>
    </row>
    <row r="6574">
      <c r="A6574" s="1">
        <v>43646.43368515046</v>
      </c>
      <c r="B6574" s="2">
        <v>257.0</v>
      </c>
      <c r="C6574" s="2" t="s">
        <v>27</v>
      </c>
    </row>
    <row r="6575">
      <c r="A6575" s="1">
        <v>43646.434401481485</v>
      </c>
      <c r="B6575" s="2">
        <v>202.0</v>
      </c>
      <c r="C6575" s="2" t="s">
        <v>130</v>
      </c>
    </row>
    <row r="6576">
      <c r="A6576" s="1">
        <v>43646.43445581019</v>
      </c>
      <c r="B6576" s="2">
        <v>201.0</v>
      </c>
      <c r="C6576" s="2" t="s">
        <v>70</v>
      </c>
    </row>
    <row r="6577">
      <c r="A6577" s="1">
        <v>43646.43556253472</v>
      </c>
      <c r="B6577" s="2">
        <v>736.0</v>
      </c>
      <c r="C6577" s="2" t="s">
        <v>175</v>
      </c>
      <c r="D6577" s="2" t="s">
        <v>5</v>
      </c>
    </row>
    <row r="6578">
      <c r="A6578" s="1">
        <v>43646.43561238426</v>
      </c>
      <c r="B6578" s="2">
        <v>737.0</v>
      </c>
      <c r="C6578" s="2" t="s">
        <v>176</v>
      </c>
      <c r="D6578" s="2" t="s">
        <v>5</v>
      </c>
    </row>
    <row r="6579">
      <c r="A6579" s="1">
        <v>43646.43591179398</v>
      </c>
      <c r="B6579" s="2">
        <v>648.0</v>
      </c>
      <c r="C6579" s="2" t="s">
        <v>207</v>
      </c>
    </row>
    <row r="6580">
      <c r="A6580" s="1">
        <v>43646.436039444445</v>
      </c>
      <c r="B6580" s="2">
        <v>649.0</v>
      </c>
      <c r="C6580" s="2" t="s">
        <v>177</v>
      </c>
    </row>
    <row r="6581">
      <c r="A6581" s="1">
        <v>43646.436354571764</v>
      </c>
      <c r="B6581" s="2">
        <v>193.0</v>
      </c>
      <c r="C6581" s="2" t="s">
        <v>30</v>
      </c>
    </row>
    <row r="6582">
      <c r="A6582" s="1">
        <v>43646.4364444213</v>
      </c>
      <c r="B6582" s="3" t="s">
        <v>51</v>
      </c>
      <c r="C6582" s="2" t="s">
        <v>52</v>
      </c>
    </row>
    <row r="6583">
      <c r="A6583" s="1">
        <v>43646.43656715278</v>
      </c>
      <c r="B6583" s="2">
        <v>675.0</v>
      </c>
      <c r="C6583" s="2" t="s">
        <v>222</v>
      </c>
    </row>
    <row r="6584">
      <c r="A6584" s="1">
        <v>43646.436625937495</v>
      </c>
      <c r="B6584" s="2">
        <v>676.0</v>
      </c>
      <c r="C6584" s="2" t="s">
        <v>223</v>
      </c>
    </row>
    <row r="6585">
      <c r="A6585" s="1">
        <v>43646.436694375</v>
      </c>
      <c r="B6585" s="3" t="s">
        <v>162</v>
      </c>
      <c r="C6585" s="2" t="s">
        <v>163</v>
      </c>
    </row>
    <row r="6586">
      <c r="A6586" s="1">
        <v>43646.43677274305</v>
      </c>
      <c r="B6586" s="2">
        <v>165.0</v>
      </c>
      <c r="C6586" s="2" t="s">
        <v>50</v>
      </c>
    </row>
    <row r="6587">
      <c r="A6587" s="1">
        <v>43646.43680949074</v>
      </c>
      <c r="B6587" s="2">
        <v>160.0</v>
      </c>
      <c r="C6587" s="2" t="s">
        <v>154</v>
      </c>
    </row>
    <row r="6588">
      <c r="A6588" s="1">
        <v>43646.436890185185</v>
      </c>
      <c r="B6588" s="2">
        <v>720.0</v>
      </c>
      <c r="C6588" s="2" t="s">
        <v>155</v>
      </c>
      <c r="D6588" s="2" t="s">
        <v>5</v>
      </c>
    </row>
    <row r="6589">
      <c r="A6589" s="1">
        <v>43646.436935798614</v>
      </c>
      <c r="B6589" s="2">
        <v>721.0</v>
      </c>
      <c r="C6589" s="2" t="s">
        <v>156</v>
      </c>
      <c r="D6589" s="2" t="s">
        <v>5</v>
      </c>
    </row>
    <row r="6590">
      <c r="A6590" s="1">
        <v>43646.43703032407</v>
      </c>
      <c r="B6590" s="3" t="s">
        <v>32</v>
      </c>
      <c r="C6590" s="2" t="s">
        <v>33</v>
      </c>
    </row>
    <row r="6591">
      <c r="A6591" s="1">
        <v>43646.4371068287</v>
      </c>
      <c r="B6591" s="3" t="s">
        <v>44</v>
      </c>
      <c r="C6591" s="2" t="s">
        <v>45</v>
      </c>
    </row>
    <row r="6592">
      <c r="A6592" s="1">
        <v>43646.43800895833</v>
      </c>
      <c r="B6592" s="2">
        <v>604.0</v>
      </c>
      <c r="C6592" s="2" t="s">
        <v>36</v>
      </c>
    </row>
    <row r="6593">
      <c r="A6593" s="1">
        <v>43646.438698495374</v>
      </c>
      <c r="B6593" s="2">
        <v>52.0</v>
      </c>
      <c r="C6593" s="2" t="s">
        <v>41</v>
      </c>
    </row>
    <row r="6594">
      <c r="A6594" s="1">
        <v>43646.43879792824</v>
      </c>
      <c r="B6594" s="2">
        <v>602.0</v>
      </c>
      <c r="C6594" s="2" t="s">
        <v>131</v>
      </c>
    </row>
    <row r="6595">
      <c r="A6595" s="1">
        <v>43646.439291828705</v>
      </c>
      <c r="B6595" s="2">
        <v>270.0</v>
      </c>
      <c r="C6595" s="2" t="s">
        <v>153</v>
      </c>
    </row>
    <row r="6596">
      <c r="A6596" s="1">
        <v>43646.43944082176</v>
      </c>
      <c r="B6596" s="2">
        <v>701.0</v>
      </c>
      <c r="C6596" s="2" t="s">
        <v>93</v>
      </c>
      <c r="D6596" s="2" t="s">
        <v>5</v>
      </c>
    </row>
    <row r="6597">
      <c r="A6597" s="1">
        <v>43646.43974134259</v>
      </c>
      <c r="B6597" s="3" t="s">
        <v>74</v>
      </c>
      <c r="C6597" s="2" t="s">
        <v>75</v>
      </c>
    </row>
    <row r="6598">
      <c r="A6598" s="1">
        <v>43646.439871759256</v>
      </c>
      <c r="B6598" s="3" t="s">
        <v>159</v>
      </c>
      <c r="C6598" s="2" t="s">
        <v>160</v>
      </c>
    </row>
    <row r="6599">
      <c r="A6599" s="1">
        <v>43646.440559386574</v>
      </c>
      <c r="B6599" s="3" t="s">
        <v>88</v>
      </c>
      <c r="C6599" s="2" t="s">
        <v>89</v>
      </c>
    </row>
    <row r="6600">
      <c r="A6600" s="1">
        <v>43646.44234548611</v>
      </c>
      <c r="B6600" s="2">
        <v>208.0</v>
      </c>
      <c r="C6600" s="2" t="s">
        <v>182</v>
      </c>
    </row>
    <row r="6601">
      <c r="A6601" s="1">
        <v>43646.44292528935</v>
      </c>
      <c r="B6601" s="2">
        <v>268.0</v>
      </c>
      <c r="C6601" s="2" t="s">
        <v>205</v>
      </c>
    </row>
    <row r="6602">
      <c r="A6602" s="1">
        <v>43646.44306895834</v>
      </c>
      <c r="B6602" s="2">
        <v>126.0</v>
      </c>
      <c r="C6602" s="2" t="s">
        <v>87</v>
      </c>
    </row>
    <row r="6603">
      <c r="A6603" s="1">
        <v>43646.44310358797</v>
      </c>
      <c r="B6603" s="2">
        <v>126.0</v>
      </c>
      <c r="C6603" s="2" t="s">
        <v>87</v>
      </c>
    </row>
    <row r="6604">
      <c r="A6604" s="1">
        <v>43646.444540173616</v>
      </c>
      <c r="B6604" s="2">
        <v>706.0</v>
      </c>
      <c r="C6604" s="2" t="s">
        <v>149</v>
      </c>
      <c r="D6604" s="2" t="s">
        <v>5</v>
      </c>
    </row>
    <row r="6605">
      <c r="A6605" s="1">
        <v>43646.44466978009</v>
      </c>
      <c r="B6605" s="3" t="s">
        <v>150</v>
      </c>
      <c r="C6605" s="2" t="s">
        <v>151</v>
      </c>
    </row>
    <row r="6606">
      <c r="A6606" s="1">
        <v>43646.44484674769</v>
      </c>
      <c r="B6606" s="2">
        <v>175.0</v>
      </c>
      <c r="C6606" s="2" t="s">
        <v>69</v>
      </c>
    </row>
    <row r="6607">
      <c r="A6607" s="1">
        <v>43646.44496965277</v>
      </c>
      <c r="B6607" s="2">
        <v>624.0</v>
      </c>
      <c r="C6607" s="2" t="s">
        <v>90</v>
      </c>
    </row>
    <row r="6608">
      <c r="A6608" s="1">
        <v>43646.445340624996</v>
      </c>
      <c r="B6608" s="2">
        <v>198.0</v>
      </c>
      <c r="C6608" s="2" t="s">
        <v>97</v>
      </c>
    </row>
    <row r="6609">
      <c r="A6609" s="1">
        <v>43646.44541556713</v>
      </c>
      <c r="B6609" s="2">
        <v>702.0</v>
      </c>
      <c r="C6609" s="2" t="s">
        <v>96</v>
      </c>
      <c r="D6609" s="2" t="s">
        <v>5</v>
      </c>
    </row>
    <row r="6610">
      <c r="A6610" s="1">
        <v>43646.44550579861</v>
      </c>
      <c r="B6610" s="3" t="s">
        <v>94</v>
      </c>
      <c r="C6610" s="2" t="s">
        <v>95</v>
      </c>
    </row>
    <row r="6611">
      <c r="A6611" s="1">
        <v>43646.446312581014</v>
      </c>
      <c r="B6611" s="2">
        <v>207.0</v>
      </c>
      <c r="C6611" s="2" t="s">
        <v>85</v>
      </c>
    </row>
    <row r="6612">
      <c r="A6612" s="1">
        <v>43646.45528106482</v>
      </c>
      <c r="B6612" s="2">
        <v>641.0</v>
      </c>
      <c r="C6612" s="2" t="s">
        <v>210</v>
      </c>
    </row>
    <row r="6613">
      <c r="A6613" s="1">
        <v>43646.46517476852</v>
      </c>
      <c r="B6613" s="2">
        <v>661.0</v>
      </c>
      <c r="C6613" s="2" t="s">
        <v>153</v>
      </c>
    </row>
    <row r="6614">
      <c r="A6614" s="1">
        <v>43646.46525725695</v>
      </c>
      <c r="B6614" s="2">
        <v>661.0</v>
      </c>
      <c r="C6614" s="2" t="s">
        <v>153</v>
      </c>
    </row>
    <row r="6615">
      <c r="A6615" s="1">
        <v>43646.595953310185</v>
      </c>
      <c r="B6615" s="2">
        <v>270.0</v>
      </c>
      <c r="C6615" s="2" t="s">
        <v>153</v>
      </c>
    </row>
    <row r="6616">
      <c r="A6616" s="1">
        <v>43646.69791011574</v>
      </c>
      <c r="B6616" s="2">
        <v>244.0</v>
      </c>
      <c r="C6616" s="2" t="s">
        <v>38</v>
      </c>
    </row>
    <row r="6617">
      <c r="A6617" s="1">
        <v>43648.43368476852</v>
      </c>
      <c r="B6617" s="2">
        <v>656.0</v>
      </c>
      <c r="C6617" s="2" t="s">
        <v>144</v>
      </c>
    </row>
    <row r="6618">
      <c r="A6618" s="1">
        <v>43653.39606806713</v>
      </c>
      <c r="B6618" s="2">
        <v>165.0</v>
      </c>
      <c r="C6618" s="2" t="s">
        <v>50</v>
      </c>
    </row>
    <row r="6619">
      <c r="A6619" s="1">
        <v>43653.41041167824</v>
      </c>
      <c r="B6619" s="3" t="s">
        <v>55</v>
      </c>
      <c r="C6619" s="2" t="s">
        <v>56</v>
      </c>
    </row>
    <row r="6620">
      <c r="A6620" s="1">
        <v>43653.41060174769</v>
      </c>
      <c r="B6620" s="3" t="s">
        <v>94</v>
      </c>
      <c r="C6620" s="2" t="s">
        <v>95</v>
      </c>
    </row>
    <row r="6621">
      <c r="A6621" s="1">
        <v>43653.41074571759</v>
      </c>
      <c r="B6621" s="2">
        <v>141.0</v>
      </c>
      <c r="C6621" s="2" t="s">
        <v>53</v>
      </c>
    </row>
    <row r="6622">
      <c r="A6622" s="1">
        <v>43653.411035972225</v>
      </c>
      <c r="B6622" s="2">
        <v>702.0</v>
      </c>
      <c r="C6622" s="2" t="s">
        <v>96</v>
      </c>
      <c r="D6622" s="2" t="s">
        <v>5</v>
      </c>
    </row>
    <row r="6623">
      <c r="A6623" s="1">
        <v>43653.41117548611</v>
      </c>
      <c r="B6623" s="2">
        <v>701.0</v>
      </c>
      <c r="C6623" s="2" t="s">
        <v>93</v>
      </c>
      <c r="D6623" s="2" t="s">
        <v>5</v>
      </c>
    </row>
    <row r="6624">
      <c r="A6624" s="1">
        <v>43653.41127671296</v>
      </c>
      <c r="B6624" s="2">
        <v>198.0</v>
      </c>
      <c r="C6624" s="2" t="s">
        <v>97</v>
      </c>
    </row>
    <row r="6625">
      <c r="A6625" s="1">
        <v>43653.41153925926</v>
      </c>
      <c r="B6625" s="2">
        <v>729.0</v>
      </c>
      <c r="C6625" s="2" t="s">
        <v>54</v>
      </c>
      <c r="D6625" s="2" t="s">
        <v>5</v>
      </c>
    </row>
    <row r="6626">
      <c r="A6626" s="1">
        <v>43653.41185822917</v>
      </c>
      <c r="B6626" s="2">
        <v>722.0</v>
      </c>
      <c r="C6626" s="2" t="s">
        <v>25</v>
      </c>
      <c r="D6626" s="2" t="s">
        <v>5</v>
      </c>
    </row>
    <row r="6627">
      <c r="A6627" s="1">
        <v>43653.4118772338</v>
      </c>
      <c r="B6627" s="2">
        <v>707.0</v>
      </c>
      <c r="C6627" s="2" t="s">
        <v>57</v>
      </c>
      <c r="D6627" s="2" t="s">
        <v>5</v>
      </c>
    </row>
    <row r="6628">
      <c r="A6628" s="1">
        <v>43653.41294625</v>
      </c>
      <c r="B6628" s="2">
        <v>257.0</v>
      </c>
      <c r="C6628" s="2" t="s">
        <v>27</v>
      </c>
    </row>
    <row r="6629">
      <c r="A6629" s="1">
        <v>43653.41508170139</v>
      </c>
      <c r="B6629" s="2">
        <v>722.0</v>
      </c>
      <c r="C6629" s="2" t="s">
        <v>25</v>
      </c>
      <c r="D6629" s="2" t="s">
        <v>5</v>
      </c>
    </row>
    <row r="6630">
      <c r="A6630" s="1">
        <v>43653.415431319445</v>
      </c>
      <c r="B6630" s="2">
        <v>708.0</v>
      </c>
      <c r="C6630" s="2" t="s">
        <v>4</v>
      </c>
      <c r="D6630" s="2" t="s">
        <v>5</v>
      </c>
    </row>
    <row r="6631">
      <c r="A6631" s="1">
        <v>43653.41783295139</v>
      </c>
      <c r="B6631" s="2">
        <v>175.0</v>
      </c>
      <c r="C6631" s="2" t="s">
        <v>69</v>
      </c>
    </row>
    <row r="6632">
      <c r="A6632" s="1">
        <v>43653.41786498843</v>
      </c>
      <c r="B6632" s="2">
        <v>175.0</v>
      </c>
      <c r="C6632" s="2" t="s">
        <v>69</v>
      </c>
    </row>
    <row r="6633">
      <c r="A6633" s="1">
        <v>43653.41810793981</v>
      </c>
      <c r="B6633" s="2">
        <v>238.0</v>
      </c>
      <c r="C6633" s="2" t="s">
        <v>35</v>
      </c>
    </row>
    <row r="6634">
      <c r="A6634" s="1">
        <v>43653.41836137732</v>
      </c>
      <c r="B6634" s="2">
        <v>613.0</v>
      </c>
      <c r="C6634" s="2" t="s">
        <v>124</v>
      </c>
    </row>
    <row r="6635">
      <c r="A6635" s="1">
        <v>43653.41839276621</v>
      </c>
      <c r="B6635" s="2">
        <v>613.0</v>
      </c>
      <c r="C6635" s="2" t="s">
        <v>124</v>
      </c>
    </row>
    <row r="6636">
      <c r="A6636" s="1">
        <v>43653.42363567129</v>
      </c>
      <c r="B6636" s="3" t="s">
        <v>80</v>
      </c>
      <c r="C6636" s="2" t="s">
        <v>81</v>
      </c>
    </row>
    <row r="6637">
      <c r="A6637" s="1">
        <v>43653.42456854167</v>
      </c>
      <c r="B6637" s="2">
        <v>607.0</v>
      </c>
      <c r="C6637" s="2" t="s">
        <v>68</v>
      </c>
    </row>
    <row r="6638">
      <c r="A6638" s="1">
        <v>43653.42628936343</v>
      </c>
      <c r="B6638" s="3" t="s">
        <v>32</v>
      </c>
      <c r="C6638" s="2" t="s">
        <v>33</v>
      </c>
    </row>
    <row r="6639">
      <c r="A6639" s="1">
        <v>43653.426458472226</v>
      </c>
      <c r="B6639" s="2">
        <v>173.0</v>
      </c>
      <c r="C6639" s="2" t="s">
        <v>24</v>
      </c>
    </row>
    <row r="6640">
      <c r="A6640" s="1">
        <v>43653.42656797454</v>
      </c>
      <c r="B6640" s="2">
        <v>193.0</v>
      </c>
      <c r="C6640" s="2" t="s">
        <v>30</v>
      </c>
    </row>
    <row r="6641">
      <c r="A6641" s="1">
        <v>43653.426835844904</v>
      </c>
      <c r="B6641" s="2">
        <v>167.0</v>
      </c>
      <c r="C6641" s="2" t="s">
        <v>39</v>
      </c>
    </row>
    <row r="6642">
      <c r="A6642" s="1">
        <v>43653.42698709491</v>
      </c>
      <c r="B6642" s="2">
        <v>52.0</v>
      </c>
      <c r="C6642" s="2" t="s">
        <v>41</v>
      </c>
    </row>
    <row r="6643">
      <c r="A6643" s="1">
        <v>43653.42715552083</v>
      </c>
      <c r="B6643" s="2">
        <v>214.0</v>
      </c>
      <c r="C6643" s="2" t="s">
        <v>47</v>
      </c>
    </row>
    <row r="6644">
      <c r="A6644" s="1">
        <v>43653.42736126157</v>
      </c>
      <c r="B6644" s="2">
        <v>656.0</v>
      </c>
      <c r="C6644" s="2" t="s">
        <v>144</v>
      </c>
    </row>
    <row r="6645">
      <c r="A6645" s="1">
        <v>43653.429067164354</v>
      </c>
      <c r="B6645" s="3" t="s">
        <v>51</v>
      </c>
      <c r="C6645" s="2" t="s">
        <v>52</v>
      </c>
    </row>
    <row r="6646">
      <c r="A6646" s="1">
        <v>43653.429469421295</v>
      </c>
      <c r="B6646" s="3" t="s">
        <v>150</v>
      </c>
      <c r="C6646" s="2" t="s">
        <v>151</v>
      </c>
    </row>
    <row r="6647">
      <c r="A6647" s="1">
        <v>43653.42972828704</v>
      </c>
      <c r="B6647" s="3" t="s">
        <v>159</v>
      </c>
      <c r="C6647" s="2" t="s">
        <v>160</v>
      </c>
    </row>
    <row r="6648">
      <c r="A6648" s="1">
        <v>43653.42979515046</v>
      </c>
      <c r="B6648" s="2">
        <v>207.0</v>
      </c>
      <c r="C6648" s="2" t="s">
        <v>85</v>
      </c>
    </row>
    <row r="6649">
      <c r="A6649" s="1">
        <v>43653.42996710648</v>
      </c>
      <c r="B6649" s="2">
        <v>231.0</v>
      </c>
      <c r="C6649" s="2" t="s">
        <v>61</v>
      </c>
    </row>
    <row r="6650">
      <c r="A6650" s="1">
        <v>43653.43029488426</v>
      </c>
      <c r="B6650" s="2">
        <v>219.0</v>
      </c>
      <c r="C6650" s="2" t="s">
        <v>31</v>
      </c>
    </row>
    <row r="6651">
      <c r="A6651" s="1">
        <v>43653.431477499995</v>
      </c>
      <c r="B6651" s="2">
        <v>734.0</v>
      </c>
      <c r="C6651" s="2" t="s">
        <v>63</v>
      </c>
      <c r="D6651" s="2" t="s">
        <v>5</v>
      </c>
    </row>
    <row r="6652">
      <c r="A6652" s="1">
        <v>43653.43170104167</v>
      </c>
      <c r="B6652" s="2">
        <v>259.0</v>
      </c>
      <c r="C6652" s="2" t="s">
        <v>66</v>
      </c>
    </row>
    <row r="6653">
      <c r="A6653" s="1">
        <v>43653.43208326389</v>
      </c>
      <c r="B6653" s="2">
        <v>260.0</v>
      </c>
      <c r="C6653" s="2" t="s">
        <v>67</v>
      </c>
    </row>
    <row r="6654">
      <c r="A6654" s="1">
        <v>43653.43214319444</v>
      </c>
      <c r="B6654" s="2">
        <v>208.0</v>
      </c>
      <c r="C6654" s="2" t="s">
        <v>182</v>
      </c>
    </row>
    <row r="6655">
      <c r="A6655" s="1">
        <v>43653.43224592593</v>
      </c>
      <c r="B6655" s="2">
        <v>201.0</v>
      </c>
      <c r="C6655" s="2" t="s">
        <v>70</v>
      </c>
    </row>
    <row r="6656">
      <c r="A6656" s="1">
        <v>43653.43243981482</v>
      </c>
      <c r="B6656" s="2">
        <v>627.0</v>
      </c>
      <c r="C6656" s="2" t="s">
        <v>134</v>
      </c>
    </row>
    <row r="6657">
      <c r="A6657" s="1">
        <v>43653.43347883102</v>
      </c>
      <c r="B6657" s="3" t="s">
        <v>103</v>
      </c>
      <c r="C6657" s="2" t="s">
        <v>104</v>
      </c>
    </row>
    <row r="6658">
      <c r="A6658" s="1">
        <v>43653.43361980324</v>
      </c>
      <c r="B6658" s="2">
        <v>158.0</v>
      </c>
      <c r="C6658" s="2" t="s">
        <v>62</v>
      </c>
    </row>
    <row r="6659">
      <c r="A6659" s="1">
        <v>43653.43390931713</v>
      </c>
      <c r="B6659" s="2">
        <v>736.0</v>
      </c>
      <c r="C6659" s="2" t="s">
        <v>175</v>
      </c>
      <c r="D6659" s="2" t="s">
        <v>5</v>
      </c>
    </row>
    <row r="6660">
      <c r="A6660" s="1">
        <v>43653.43405084491</v>
      </c>
      <c r="B6660" s="2">
        <v>737.0</v>
      </c>
      <c r="C6660" s="2" t="s">
        <v>176</v>
      </c>
      <c r="D6660" s="2" t="s">
        <v>5</v>
      </c>
    </row>
    <row r="6661">
      <c r="A6661" s="1">
        <v>43653.43429238426</v>
      </c>
      <c r="B6661" s="3" t="s">
        <v>22</v>
      </c>
      <c r="C6661" s="2" t="s">
        <v>23</v>
      </c>
    </row>
    <row r="6662">
      <c r="A6662" s="1">
        <v>43653.43466907408</v>
      </c>
      <c r="B6662" s="2">
        <v>648.0</v>
      </c>
      <c r="C6662" s="2" t="s">
        <v>207</v>
      </c>
    </row>
    <row r="6663">
      <c r="A6663" s="1">
        <v>43653.434758738425</v>
      </c>
      <c r="B6663" s="2">
        <v>649.0</v>
      </c>
      <c r="C6663" s="2" t="s">
        <v>177</v>
      </c>
    </row>
    <row r="6664">
      <c r="A6664" s="1">
        <v>43653.435160532405</v>
      </c>
      <c r="B6664" s="3" t="s">
        <v>82</v>
      </c>
      <c r="C6664" s="2" t="s">
        <v>83</v>
      </c>
    </row>
    <row r="6665">
      <c r="A6665" s="1">
        <v>43653.43553552083</v>
      </c>
      <c r="B6665" s="2">
        <v>723.0</v>
      </c>
      <c r="C6665" s="2" t="s">
        <v>84</v>
      </c>
      <c r="D6665" s="2" t="s">
        <v>5</v>
      </c>
    </row>
    <row r="6666">
      <c r="A6666" s="1">
        <v>43653.43553556713</v>
      </c>
      <c r="B6666" s="3" t="s">
        <v>78</v>
      </c>
      <c r="C6666" s="2" t="s">
        <v>79</v>
      </c>
    </row>
    <row r="6667">
      <c r="A6667" s="1">
        <v>43653.43574207176</v>
      </c>
      <c r="B6667" s="2">
        <v>210.0</v>
      </c>
      <c r="C6667" s="2" t="s">
        <v>64</v>
      </c>
    </row>
    <row r="6668">
      <c r="A6668" s="1">
        <v>43653.43574298611</v>
      </c>
      <c r="B6668" s="2">
        <v>655.0</v>
      </c>
      <c r="C6668" s="2" t="s">
        <v>17</v>
      </c>
    </row>
    <row r="6669">
      <c r="A6669" s="1">
        <v>43653.43590023148</v>
      </c>
      <c r="B6669" s="2">
        <v>172.0</v>
      </c>
      <c r="C6669" s="2" t="s">
        <v>65</v>
      </c>
    </row>
    <row r="6670">
      <c r="A6670" s="1">
        <v>43653.43593821759</v>
      </c>
      <c r="B6670" s="2">
        <v>262.0</v>
      </c>
      <c r="C6670" s="2" t="s">
        <v>28</v>
      </c>
    </row>
    <row r="6671">
      <c r="A6671" s="1">
        <v>43653.43611918981</v>
      </c>
      <c r="B6671" s="3" t="s">
        <v>44</v>
      </c>
      <c r="C6671" s="2" t="s">
        <v>45</v>
      </c>
    </row>
    <row r="6672">
      <c r="A6672" s="1">
        <v>43653.436354826394</v>
      </c>
      <c r="B6672" s="2">
        <v>611.0</v>
      </c>
      <c r="C6672" s="2" t="s">
        <v>143</v>
      </c>
    </row>
    <row r="6673">
      <c r="A6673" s="1">
        <v>43653.436627337964</v>
      </c>
      <c r="B6673" s="2">
        <v>229.0</v>
      </c>
      <c r="C6673" s="2" t="s">
        <v>86</v>
      </c>
    </row>
    <row r="6674">
      <c r="A6674" s="1">
        <v>43653.43681270833</v>
      </c>
      <c r="B6674" s="2">
        <v>244.0</v>
      </c>
      <c r="C6674" s="2" t="s">
        <v>38</v>
      </c>
    </row>
    <row r="6675">
      <c r="A6675" s="1">
        <v>43653.43721476852</v>
      </c>
      <c r="B6675" s="2">
        <v>614.0</v>
      </c>
      <c r="C6675" s="2" t="s">
        <v>76</v>
      </c>
    </row>
    <row r="6676">
      <c r="A6676" s="1">
        <v>43653.43728891204</v>
      </c>
      <c r="B6676" s="2">
        <v>113.0</v>
      </c>
      <c r="C6676" s="2" t="s">
        <v>29</v>
      </c>
    </row>
    <row r="6677">
      <c r="A6677" s="1">
        <v>43653.43737905093</v>
      </c>
      <c r="B6677" s="2">
        <v>254.0</v>
      </c>
      <c r="C6677" s="2" t="s">
        <v>132</v>
      </c>
    </row>
    <row r="6678">
      <c r="A6678" s="1">
        <v>43653.43830384259</v>
      </c>
      <c r="B6678" s="2">
        <v>604.0</v>
      </c>
      <c r="C6678" s="2" t="s">
        <v>36</v>
      </c>
    </row>
    <row r="6679">
      <c r="A6679" s="1">
        <v>43653.438352557874</v>
      </c>
      <c r="B6679" s="2">
        <v>604.0</v>
      </c>
      <c r="C6679" s="2" t="s">
        <v>36</v>
      </c>
    </row>
    <row r="6680">
      <c r="A6680" s="1">
        <v>43653.43835804398</v>
      </c>
      <c r="B6680" s="2">
        <v>721.0</v>
      </c>
      <c r="C6680" s="2" t="s">
        <v>156</v>
      </c>
      <c r="D6680" s="2" t="s">
        <v>5</v>
      </c>
    </row>
    <row r="6681">
      <c r="A6681" s="1">
        <v>43653.4385400926</v>
      </c>
      <c r="B6681" s="3" t="s">
        <v>88</v>
      </c>
      <c r="C6681" s="2" t="s">
        <v>89</v>
      </c>
    </row>
    <row r="6682">
      <c r="A6682" s="1">
        <v>43653.43876157407</v>
      </c>
      <c r="B6682" s="3" t="s">
        <v>111</v>
      </c>
      <c r="C6682" s="2" t="s">
        <v>112</v>
      </c>
    </row>
    <row r="6683">
      <c r="A6683" s="1">
        <v>43653.44049108797</v>
      </c>
      <c r="B6683" s="3" t="s">
        <v>98</v>
      </c>
      <c r="C6683" s="2" t="s">
        <v>99</v>
      </c>
    </row>
    <row r="6684">
      <c r="A6684" s="1">
        <v>43653.44067831019</v>
      </c>
      <c r="B6684" s="2">
        <v>160.0</v>
      </c>
      <c r="C6684" s="2" t="s">
        <v>154</v>
      </c>
    </row>
    <row r="6685">
      <c r="A6685" s="1">
        <v>43653.44077914352</v>
      </c>
      <c r="B6685" s="2">
        <v>147.0</v>
      </c>
      <c r="C6685" s="2" t="s">
        <v>100</v>
      </c>
    </row>
    <row r="6686">
      <c r="A6686" s="1">
        <v>43653.44102280092</v>
      </c>
      <c r="B6686" s="2">
        <v>726.0</v>
      </c>
      <c r="C6686" s="2" t="s">
        <v>101</v>
      </c>
      <c r="D6686" s="2" t="s">
        <v>5</v>
      </c>
    </row>
    <row r="6687">
      <c r="A6687" s="1">
        <v>43653.441170833335</v>
      </c>
      <c r="B6687" s="2">
        <v>732.0</v>
      </c>
      <c r="C6687" s="2" t="s">
        <v>102</v>
      </c>
      <c r="D6687" s="2" t="s">
        <v>5</v>
      </c>
    </row>
    <row r="6688">
      <c r="A6688" s="1">
        <v>43653.44141392361</v>
      </c>
      <c r="B6688" s="2">
        <v>641.0</v>
      </c>
      <c r="C6688" s="2" t="s">
        <v>210</v>
      </c>
    </row>
    <row r="6689">
      <c r="A6689" s="1">
        <v>43653.44195460648</v>
      </c>
      <c r="B6689" s="3" t="s">
        <v>162</v>
      </c>
      <c r="C6689" s="2" t="s">
        <v>163</v>
      </c>
    </row>
    <row r="6690">
      <c r="A6690" s="1">
        <v>43653.44223204861</v>
      </c>
      <c r="B6690" s="3" t="s">
        <v>162</v>
      </c>
      <c r="C6690" s="2" t="s">
        <v>163</v>
      </c>
    </row>
    <row r="6691">
      <c r="A6691" s="1">
        <v>43653.44249545139</v>
      </c>
      <c r="B6691" s="2">
        <v>160.0</v>
      </c>
      <c r="C6691" s="2" t="s">
        <v>154</v>
      </c>
    </row>
    <row r="6692">
      <c r="A6692" s="1">
        <v>43653.44278641204</v>
      </c>
      <c r="B6692" s="2">
        <v>720.0</v>
      </c>
      <c r="C6692" s="2" t="s">
        <v>155</v>
      </c>
      <c r="D6692" s="2" t="s">
        <v>5</v>
      </c>
    </row>
    <row r="6693">
      <c r="A6693" s="1">
        <v>43653.44289236111</v>
      </c>
      <c r="B6693" s="2">
        <v>720.0</v>
      </c>
      <c r="C6693" s="2" t="s">
        <v>155</v>
      </c>
      <c r="D6693" s="2" t="s">
        <v>5</v>
      </c>
    </row>
    <row r="6694">
      <c r="A6694" s="1">
        <v>43653.44374321759</v>
      </c>
      <c r="B6694" s="3" t="s">
        <v>126</v>
      </c>
      <c r="C6694" s="2" t="s">
        <v>127</v>
      </c>
    </row>
    <row r="6695">
      <c r="A6695" s="1">
        <v>43653.44382659723</v>
      </c>
      <c r="B6695" s="3" t="s">
        <v>11</v>
      </c>
      <c r="C6695" s="2" t="s">
        <v>12</v>
      </c>
    </row>
    <row r="6696">
      <c r="A6696" s="1">
        <v>43653.444246597224</v>
      </c>
      <c r="B6696" s="2">
        <v>716.0</v>
      </c>
      <c r="C6696" s="2" t="s">
        <v>123</v>
      </c>
      <c r="D6696" s="2" t="s">
        <v>5</v>
      </c>
    </row>
    <row r="6697">
      <c r="A6697" s="1">
        <v>43653.44474923611</v>
      </c>
      <c r="B6697" s="2">
        <v>716.0</v>
      </c>
      <c r="C6697" s="2" t="s">
        <v>123</v>
      </c>
      <c r="D6697" s="2" t="s">
        <v>5</v>
      </c>
    </row>
    <row r="6698">
      <c r="A6698" s="1">
        <v>43653.44800228009</v>
      </c>
      <c r="B6698" s="3" t="s">
        <v>42</v>
      </c>
      <c r="C6698" s="2" t="s">
        <v>43</v>
      </c>
    </row>
    <row r="6699">
      <c r="A6699" s="1">
        <v>43653.449262291666</v>
      </c>
      <c r="B6699" s="2">
        <v>675.0</v>
      </c>
      <c r="C6699" s="2" t="s">
        <v>222</v>
      </c>
    </row>
    <row r="6700">
      <c r="A6700" s="1">
        <v>43653.450908784725</v>
      </c>
      <c r="B6700" s="3" t="s">
        <v>113</v>
      </c>
      <c r="C6700" s="2" t="s">
        <v>114</v>
      </c>
    </row>
    <row r="6701">
      <c r="A6701" s="1">
        <v>43653.451088553236</v>
      </c>
      <c r="B6701" s="2">
        <v>101.0</v>
      </c>
      <c r="C6701" s="2" t="s">
        <v>108</v>
      </c>
    </row>
    <row r="6702">
      <c r="A6702" s="1">
        <v>43653.45122149306</v>
      </c>
      <c r="B6702" s="2">
        <v>124.0</v>
      </c>
      <c r="C6702" s="2" t="s">
        <v>107</v>
      </c>
    </row>
    <row r="6703">
      <c r="A6703" s="1">
        <v>43653.451385636574</v>
      </c>
      <c r="B6703" s="2">
        <v>718.0</v>
      </c>
      <c r="C6703" s="2" t="s">
        <v>105</v>
      </c>
      <c r="D6703" s="2" t="s">
        <v>5</v>
      </c>
    </row>
    <row r="6704">
      <c r="A6704" s="1">
        <v>43653.45149203704</v>
      </c>
      <c r="B6704" s="2">
        <v>719.0</v>
      </c>
      <c r="C6704" s="2" t="s">
        <v>106</v>
      </c>
      <c r="D6704" s="2" t="s">
        <v>5</v>
      </c>
    </row>
    <row r="6705">
      <c r="A6705" s="1">
        <v>43653.45256579861</v>
      </c>
      <c r="B6705" s="2">
        <v>603.0</v>
      </c>
      <c r="C6705" s="2" t="s">
        <v>40</v>
      </c>
    </row>
    <row r="6706">
      <c r="A6706" s="1">
        <v>43653.46087018518</v>
      </c>
      <c r="B6706" s="2">
        <v>237.0</v>
      </c>
      <c r="C6706" s="2" t="s">
        <v>140</v>
      </c>
    </row>
    <row r="6707">
      <c r="A6707" s="1">
        <v>43653.46109197917</v>
      </c>
      <c r="B6707" s="2">
        <v>157.0</v>
      </c>
      <c r="C6707" s="2" t="s">
        <v>141</v>
      </c>
    </row>
    <row r="6708">
      <c r="A6708" s="1">
        <v>43653.46179085648</v>
      </c>
      <c r="B6708" s="3" t="s">
        <v>9</v>
      </c>
      <c r="C6708" s="2" t="s">
        <v>10</v>
      </c>
    </row>
    <row r="6709">
      <c r="A6709" s="1">
        <v>43653.46203109954</v>
      </c>
      <c r="B6709" s="2">
        <v>709.0</v>
      </c>
      <c r="C6709" s="2" t="s">
        <v>20</v>
      </c>
      <c r="D6709" s="2" t="s">
        <v>5</v>
      </c>
    </row>
    <row r="6710">
      <c r="A6710" s="1">
        <v>43653.46217895833</v>
      </c>
      <c r="B6710" s="2">
        <v>708.0</v>
      </c>
      <c r="C6710" s="2" t="s">
        <v>4</v>
      </c>
      <c r="D6710" s="2" t="s">
        <v>5</v>
      </c>
    </row>
    <row r="6711">
      <c r="A6711" s="1">
        <v>43653.46249774305</v>
      </c>
      <c r="B6711" s="2">
        <v>710.0</v>
      </c>
      <c r="C6711" s="2" t="s">
        <v>21</v>
      </c>
      <c r="D6711" s="2" t="s">
        <v>5</v>
      </c>
    </row>
    <row r="6712">
      <c r="A6712" s="1">
        <v>43653.46646387731</v>
      </c>
      <c r="B6712" s="3" t="s">
        <v>119</v>
      </c>
      <c r="C6712" s="2" t="s">
        <v>120</v>
      </c>
    </row>
    <row r="6713">
      <c r="A6713" s="1">
        <v>43653.466825763884</v>
      </c>
      <c r="B6713" s="2">
        <v>714.0</v>
      </c>
      <c r="C6713" s="2" t="s">
        <v>122</v>
      </c>
      <c r="D6713" s="2" t="s">
        <v>5</v>
      </c>
    </row>
    <row r="6714">
      <c r="A6714" s="1">
        <v>43653.46823962963</v>
      </c>
      <c r="B6714" s="2">
        <v>713.0</v>
      </c>
      <c r="C6714" s="2" t="s">
        <v>121</v>
      </c>
      <c r="D6714" s="2" t="s">
        <v>5</v>
      </c>
    </row>
    <row r="6715">
      <c r="A6715" s="1">
        <v>43653.4684034838</v>
      </c>
      <c r="B6715" s="3" t="s">
        <v>117</v>
      </c>
      <c r="C6715" s="2" t="s">
        <v>118</v>
      </c>
    </row>
    <row r="6716">
      <c r="A6716" s="1">
        <v>43653.47129453704</v>
      </c>
      <c r="B6716" s="2">
        <v>253.0</v>
      </c>
      <c r="C6716" s="2" t="s">
        <v>138</v>
      </c>
    </row>
    <row r="6717">
      <c r="A6717" s="1">
        <v>43654.480668923614</v>
      </c>
      <c r="B6717" s="2">
        <v>602.0</v>
      </c>
      <c r="C6717" s="2" t="s">
        <v>131</v>
      </c>
    </row>
    <row r="6718">
      <c r="A6718" s="1">
        <v>43660.40622958333</v>
      </c>
      <c r="B6718" s="2">
        <v>165.0</v>
      </c>
      <c r="C6718" s="2" t="s">
        <v>50</v>
      </c>
    </row>
    <row r="6719">
      <c r="A6719" s="1">
        <v>43660.406578229165</v>
      </c>
      <c r="B6719" s="2">
        <v>165.0</v>
      </c>
      <c r="C6719" s="2" t="s">
        <v>50</v>
      </c>
    </row>
    <row r="6720">
      <c r="A6720" s="1">
        <v>43660.406809085645</v>
      </c>
      <c r="B6720" s="2">
        <v>231.0</v>
      </c>
      <c r="C6720" s="2" t="s">
        <v>61</v>
      </c>
    </row>
    <row r="6721">
      <c r="A6721" s="1">
        <v>43660.40723873842</v>
      </c>
      <c r="B6721" s="2">
        <v>238.0</v>
      </c>
      <c r="C6721" s="2" t="s">
        <v>35</v>
      </c>
    </row>
    <row r="6722">
      <c r="A6722" s="1">
        <v>43660.40787289352</v>
      </c>
      <c r="B6722" s="2">
        <v>604.0</v>
      </c>
      <c r="C6722" s="2" t="s">
        <v>36</v>
      </c>
    </row>
    <row r="6723">
      <c r="A6723" s="1">
        <v>43660.4130140162</v>
      </c>
      <c r="B6723" s="3" t="s">
        <v>80</v>
      </c>
      <c r="C6723" s="2" t="s">
        <v>81</v>
      </c>
    </row>
    <row r="6724">
      <c r="A6724" s="1">
        <v>43660.41617484954</v>
      </c>
      <c r="B6724" s="2">
        <v>607.0</v>
      </c>
      <c r="C6724" s="2" t="s">
        <v>68</v>
      </c>
    </row>
    <row r="6725">
      <c r="A6725" s="1">
        <v>43660.41666625</v>
      </c>
      <c r="B6725" s="2">
        <v>611.0</v>
      </c>
      <c r="C6725" s="2" t="s">
        <v>143</v>
      </c>
    </row>
    <row r="6726">
      <c r="A6726" s="1">
        <v>43660.419076238424</v>
      </c>
      <c r="B6726" s="2">
        <v>229.0</v>
      </c>
      <c r="C6726" s="2" t="s">
        <v>86</v>
      </c>
    </row>
    <row r="6727">
      <c r="A6727" s="1">
        <v>43660.419462199075</v>
      </c>
      <c r="B6727" s="3" t="s">
        <v>111</v>
      </c>
      <c r="C6727" s="2" t="s">
        <v>112</v>
      </c>
    </row>
    <row r="6728">
      <c r="A6728" s="1">
        <v>43660.41993128472</v>
      </c>
      <c r="B6728" s="3" t="s">
        <v>80</v>
      </c>
      <c r="C6728" s="2" t="s">
        <v>81</v>
      </c>
    </row>
    <row r="6729">
      <c r="A6729" s="1">
        <v>43660.42150618056</v>
      </c>
      <c r="B6729" s="2">
        <v>165.0</v>
      </c>
      <c r="C6729" s="2" t="s">
        <v>50</v>
      </c>
    </row>
    <row r="6730">
      <c r="A6730" s="1">
        <v>43660.4230028125</v>
      </c>
      <c r="B6730" s="2">
        <v>253.0</v>
      </c>
      <c r="C6730" s="2" t="s">
        <v>138</v>
      </c>
    </row>
    <row r="6731">
      <c r="A6731" s="1">
        <v>43660.42391370371</v>
      </c>
      <c r="B6731" s="3" t="s">
        <v>80</v>
      </c>
      <c r="C6731" s="2" t="s">
        <v>81</v>
      </c>
    </row>
    <row r="6732">
      <c r="A6732" s="1">
        <v>43660.424010682866</v>
      </c>
      <c r="B6732" s="3" t="s">
        <v>159</v>
      </c>
      <c r="C6732" s="2" t="s">
        <v>160</v>
      </c>
    </row>
    <row r="6733">
      <c r="A6733" s="1">
        <v>43660.42408427084</v>
      </c>
      <c r="B6733" s="2">
        <v>238.0</v>
      </c>
      <c r="C6733" s="2" t="s">
        <v>35</v>
      </c>
    </row>
    <row r="6734">
      <c r="A6734" s="1">
        <v>43660.424243761576</v>
      </c>
      <c r="B6734" s="2">
        <v>238.0</v>
      </c>
      <c r="C6734" s="2" t="s">
        <v>35</v>
      </c>
    </row>
    <row r="6735">
      <c r="A6735" s="1">
        <v>43660.42474002315</v>
      </c>
      <c r="B6735" s="2">
        <v>238.0</v>
      </c>
      <c r="C6735" s="2" t="s">
        <v>35</v>
      </c>
    </row>
    <row r="6736">
      <c r="A6736" s="1">
        <v>43660.42478134259</v>
      </c>
      <c r="B6736" s="2">
        <v>740.0</v>
      </c>
      <c r="C6736" s="2" t="s">
        <v>221</v>
      </c>
      <c r="D6736" s="2" t="s">
        <v>5</v>
      </c>
    </row>
    <row r="6737">
      <c r="A6737" s="1">
        <v>43660.42489259259</v>
      </c>
      <c r="B6737" s="2">
        <v>210.0</v>
      </c>
      <c r="C6737" s="2" t="s">
        <v>64</v>
      </c>
    </row>
    <row r="6738">
      <c r="A6738" s="1">
        <v>43660.425350324076</v>
      </c>
      <c r="B6738" s="2">
        <v>219.0</v>
      </c>
      <c r="C6738" s="2" t="s">
        <v>31</v>
      </c>
    </row>
    <row r="6739">
      <c r="A6739" s="1">
        <v>43660.427255428236</v>
      </c>
      <c r="B6739" s="2">
        <v>229.0</v>
      </c>
      <c r="C6739" s="2" t="s">
        <v>86</v>
      </c>
    </row>
    <row r="6740">
      <c r="A6740" s="1">
        <v>43660.42741783564</v>
      </c>
      <c r="B6740" s="2">
        <v>627.0</v>
      </c>
      <c r="C6740" s="2" t="s">
        <v>134</v>
      </c>
    </row>
    <row r="6741">
      <c r="A6741" s="1">
        <v>43660.427594340275</v>
      </c>
      <c r="B6741" s="3" t="s">
        <v>32</v>
      </c>
      <c r="C6741" s="2" t="s">
        <v>33</v>
      </c>
    </row>
    <row r="6742">
      <c r="A6742" s="1">
        <v>43660.42800670139</v>
      </c>
      <c r="B6742" s="2">
        <v>244.0</v>
      </c>
      <c r="C6742" s="2" t="s">
        <v>38</v>
      </c>
    </row>
    <row r="6743">
      <c r="A6743" s="1">
        <v>43660.42831346065</v>
      </c>
      <c r="B6743" s="2">
        <v>254.0</v>
      </c>
      <c r="C6743" s="2" t="s">
        <v>132</v>
      </c>
    </row>
    <row r="6744">
      <c r="A6744" s="1">
        <v>43660.42838548611</v>
      </c>
      <c r="B6744" s="3" t="s">
        <v>55</v>
      </c>
      <c r="C6744" s="2" t="s">
        <v>56</v>
      </c>
    </row>
    <row r="6745">
      <c r="A6745" s="1">
        <v>43660.42867436343</v>
      </c>
      <c r="B6745" s="2">
        <v>214.0</v>
      </c>
      <c r="C6745" s="2" t="s">
        <v>47</v>
      </c>
    </row>
    <row r="6746">
      <c r="A6746" s="1">
        <v>43660.42889216435</v>
      </c>
      <c r="B6746" s="2">
        <v>707.0</v>
      </c>
      <c r="C6746" s="2" t="s">
        <v>57</v>
      </c>
      <c r="D6746" s="2" t="s">
        <v>5</v>
      </c>
    </row>
    <row r="6747">
      <c r="A6747" s="1">
        <v>43660.429335775465</v>
      </c>
      <c r="B6747" s="2">
        <v>729.0</v>
      </c>
      <c r="C6747" s="2" t="s">
        <v>54</v>
      </c>
      <c r="D6747" s="2" t="s">
        <v>5</v>
      </c>
    </row>
    <row r="6748">
      <c r="A6748" s="1">
        <v>43660.429530277775</v>
      </c>
      <c r="B6748" s="2">
        <v>173.0</v>
      </c>
      <c r="C6748" s="2" t="s">
        <v>24</v>
      </c>
    </row>
    <row r="6749">
      <c r="A6749" s="1">
        <v>43660.42962488426</v>
      </c>
      <c r="B6749" s="3" t="s">
        <v>88</v>
      </c>
      <c r="C6749" s="2" t="s">
        <v>89</v>
      </c>
    </row>
    <row r="6750">
      <c r="A6750" s="1">
        <v>43660.42965011574</v>
      </c>
      <c r="B6750" s="2">
        <v>141.0</v>
      </c>
      <c r="C6750" s="2" t="s">
        <v>53</v>
      </c>
    </row>
    <row r="6751">
      <c r="A6751" s="1">
        <v>43660.42968327546</v>
      </c>
      <c r="B6751" s="3" t="s">
        <v>22</v>
      </c>
      <c r="C6751" s="2" t="s">
        <v>23</v>
      </c>
    </row>
    <row r="6752">
      <c r="A6752" s="1">
        <v>43660.42979710648</v>
      </c>
      <c r="B6752" s="2">
        <v>641.0</v>
      </c>
      <c r="C6752" s="2" t="s">
        <v>210</v>
      </c>
    </row>
    <row r="6753">
      <c r="A6753" s="1">
        <v>43660.430344629625</v>
      </c>
      <c r="B6753" s="2">
        <v>716.0</v>
      </c>
      <c r="C6753" s="2" t="s">
        <v>123</v>
      </c>
      <c r="D6753" s="2" t="s">
        <v>5</v>
      </c>
    </row>
    <row r="6754">
      <c r="A6754" s="1">
        <v>43660.43040158565</v>
      </c>
      <c r="B6754" s="3" t="s">
        <v>126</v>
      </c>
      <c r="C6754" s="2" t="s">
        <v>127</v>
      </c>
    </row>
    <row r="6755">
      <c r="A6755" s="1">
        <v>43660.43130048611</v>
      </c>
      <c r="B6755" s="2">
        <v>632.0</v>
      </c>
      <c r="C6755" s="2" t="s">
        <v>146</v>
      </c>
    </row>
    <row r="6756">
      <c r="A6756" s="1">
        <v>43660.43229162037</v>
      </c>
      <c r="B6756" s="3" t="s">
        <v>44</v>
      </c>
      <c r="C6756" s="2" t="s">
        <v>45</v>
      </c>
    </row>
    <row r="6757">
      <c r="A6757" s="1">
        <v>43660.432293136575</v>
      </c>
      <c r="B6757" s="2">
        <v>158.0</v>
      </c>
      <c r="C6757" s="2" t="s">
        <v>62</v>
      </c>
    </row>
    <row r="6758">
      <c r="A6758" s="1">
        <v>43660.432722488425</v>
      </c>
      <c r="B6758" s="2">
        <v>201.0</v>
      </c>
      <c r="C6758" s="2" t="s">
        <v>70</v>
      </c>
    </row>
    <row r="6759">
      <c r="A6759" s="1">
        <v>43660.43281909722</v>
      </c>
      <c r="B6759" s="3" t="s">
        <v>51</v>
      </c>
      <c r="C6759" s="2" t="s">
        <v>52</v>
      </c>
    </row>
    <row r="6760">
      <c r="A6760" s="1">
        <v>43660.43311679398</v>
      </c>
      <c r="B6760" s="2">
        <v>614.0</v>
      </c>
      <c r="C6760" s="2" t="s">
        <v>76</v>
      </c>
    </row>
    <row r="6761">
      <c r="A6761" s="1">
        <v>43660.433182256944</v>
      </c>
      <c r="B6761" s="2">
        <v>52.0</v>
      </c>
      <c r="C6761" s="2" t="s">
        <v>41</v>
      </c>
    </row>
    <row r="6762">
      <c r="A6762" s="1">
        <v>43660.43331934028</v>
      </c>
      <c r="B6762" s="2">
        <v>602.0</v>
      </c>
      <c r="C6762" s="2" t="s">
        <v>131</v>
      </c>
    </row>
    <row r="6763">
      <c r="A6763" s="1">
        <v>43660.43401675926</v>
      </c>
      <c r="B6763" s="2">
        <v>137.0</v>
      </c>
      <c r="C6763" s="2" t="s">
        <v>72</v>
      </c>
    </row>
    <row r="6764">
      <c r="A6764" s="1">
        <v>43660.436031053236</v>
      </c>
      <c r="B6764" s="2">
        <v>193.0</v>
      </c>
      <c r="C6764" s="2" t="s">
        <v>30</v>
      </c>
    </row>
    <row r="6765">
      <c r="A6765" s="1">
        <v>43660.43614789352</v>
      </c>
      <c r="B6765" s="2">
        <v>167.0</v>
      </c>
      <c r="C6765" s="2" t="s">
        <v>39</v>
      </c>
    </row>
    <row r="6766">
      <c r="A6766" s="1">
        <v>43660.43636677084</v>
      </c>
      <c r="B6766" s="2">
        <v>611.0</v>
      </c>
      <c r="C6766" s="2" t="s">
        <v>143</v>
      </c>
    </row>
    <row r="6767">
      <c r="A6767" s="1">
        <v>43660.436456400465</v>
      </c>
      <c r="B6767" s="2">
        <v>653.0</v>
      </c>
      <c r="C6767" s="2" t="s">
        <v>77</v>
      </c>
    </row>
    <row r="6768">
      <c r="A6768" s="1">
        <v>43660.43686081019</v>
      </c>
      <c r="B6768" s="2">
        <v>124.0</v>
      </c>
      <c r="C6768" s="2" t="s">
        <v>107</v>
      </c>
    </row>
    <row r="6769">
      <c r="A6769" s="1">
        <v>43660.436956527774</v>
      </c>
      <c r="B6769" s="3" t="s">
        <v>82</v>
      </c>
      <c r="C6769" s="2" t="s">
        <v>83</v>
      </c>
    </row>
    <row r="6770">
      <c r="A6770" s="1">
        <v>43660.43701354167</v>
      </c>
      <c r="B6770" s="3" t="s">
        <v>78</v>
      </c>
      <c r="C6770" s="2" t="s">
        <v>79</v>
      </c>
    </row>
    <row r="6771">
      <c r="A6771" s="1">
        <v>43660.4371402199</v>
      </c>
      <c r="B6771" s="2">
        <v>723.0</v>
      </c>
      <c r="C6771" s="2" t="s">
        <v>84</v>
      </c>
      <c r="D6771" s="2" t="s">
        <v>5</v>
      </c>
    </row>
    <row r="6772">
      <c r="A6772" s="1">
        <v>43660.43720151621</v>
      </c>
      <c r="B6772" s="2">
        <v>172.0</v>
      </c>
      <c r="C6772" s="2" t="s">
        <v>65</v>
      </c>
    </row>
    <row r="6773">
      <c r="A6773" s="1">
        <v>43660.437324756946</v>
      </c>
      <c r="B6773" s="3" t="s">
        <v>42</v>
      </c>
      <c r="C6773" s="2" t="s">
        <v>43</v>
      </c>
    </row>
    <row r="6774">
      <c r="A6774" s="1">
        <v>43660.43738179398</v>
      </c>
      <c r="B6774" s="3" t="s">
        <v>113</v>
      </c>
      <c r="C6774" s="2" t="s">
        <v>114</v>
      </c>
    </row>
    <row r="6775">
      <c r="A6775" s="1">
        <v>43660.437627175925</v>
      </c>
      <c r="B6775" s="2">
        <v>677.0</v>
      </c>
      <c r="C6775" s="2" t="s">
        <v>224</v>
      </c>
    </row>
    <row r="6776">
      <c r="A6776" s="1">
        <v>43660.43790089121</v>
      </c>
      <c r="B6776" s="2">
        <v>101.0</v>
      </c>
      <c r="C6776" s="2" t="s">
        <v>108</v>
      </c>
    </row>
    <row r="6777">
      <c r="A6777" s="1">
        <v>43660.43811376157</v>
      </c>
      <c r="B6777" s="2">
        <v>246.0</v>
      </c>
      <c r="C6777" s="2" t="s">
        <v>26</v>
      </c>
    </row>
    <row r="6778">
      <c r="A6778" s="1">
        <v>43660.4381746875</v>
      </c>
      <c r="B6778" s="2">
        <v>722.0</v>
      </c>
      <c r="C6778" s="2" t="s">
        <v>25</v>
      </c>
      <c r="D6778" s="2" t="s">
        <v>5</v>
      </c>
    </row>
    <row r="6779">
      <c r="A6779" s="1">
        <v>43660.4383241551</v>
      </c>
      <c r="B6779" s="2">
        <v>738.0</v>
      </c>
      <c r="C6779" s="2" t="s">
        <v>161</v>
      </c>
    </row>
    <row r="6780">
      <c r="A6780" s="1">
        <v>43660.43865157408</v>
      </c>
      <c r="B6780" s="2">
        <v>259.0</v>
      </c>
      <c r="C6780" s="2" t="s">
        <v>66</v>
      </c>
    </row>
    <row r="6781">
      <c r="A6781" s="1">
        <v>43660.438707974536</v>
      </c>
      <c r="B6781" s="2">
        <v>260.0</v>
      </c>
      <c r="C6781" s="2" t="s">
        <v>67</v>
      </c>
    </row>
    <row r="6782">
      <c r="A6782" s="1">
        <v>43660.438817372684</v>
      </c>
      <c r="B6782" s="2">
        <v>209.0</v>
      </c>
      <c r="C6782" s="2" t="s">
        <v>219</v>
      </c>
    </row>
    <row r="6783">
      <c r="A6783" s="1">
        <v>43660.438855706016</v>
      </c>
      <c r="B6783" s="2">
        <v>734.0</v>
      </c>
      <c r="C6783" s="2" t="s">
        <v>63</v>
      </c>
      <c r="D6783" s="2" t="s">
        <v>5</v>
      </c>
    </row>
    <row r="6784">
      <c r="A6784" s="1">
        <v>43660.438930185184</v>
      </c>
      <c r="B6784" s="2">
        <v>734.0</v>
      </c>
      <c r="C6784" s="2" t="s">
        <v>63</v>
      </c>
      <c r="D6784" s="2" t="s">
        <v>5</v>
      </c>
    </row>
    <row r="6785">
      <c r="A6785" s="1">
        <v>43660.43898545139</v>
      </c>
      <c r="B6785" s="2">
        <v>257.0</v>
      </c>
      <c r="C6785" s="2" t="s">
        <v>27</v>
      </c>
    </row>
    <row r="6786">
      <c r="A6786" s="1">
        <v>43660.43913878472</v>
      </c>
      <c r="B6786" s="2">
        <v>260.0</v>
      </c>
      <c r="C6786" s="2" t="s">
        <v>67</v>
      </c>
    </row>
    <row r="6787">
      <c r="A6787" s="1">
        <v>43660.439285</v>
      </c>
      <c r="B6787" s="2">
        <v>731.0</v>
      </c>
      <c r="C6787" s="2" t="s">
        <v>164</v>
      </c>
      <c r="D6787" s="2" t="s">
        <v>5</v>
      </c>
    </row>
    <row r="6788">
      <c r="A6788" s="1">
        <v>43660.43936754629</v>
      </c>
      <c r="B6788" s="2">
        <v>267.0</v>
      </c>
      <c r="C6788" s="2" t="s">
        <v>115</v>
      </c>
    </row>
    <row r="6789">
      <c r="A6789" s="1">
        <v>43660.43947600694</v>
      </c>
      <c r="B6789" s="2">
        <v>655.0</v>
      </c>
      <c r="C6789" s="2" t="s">
        <v>17</v>
      </c>
    </row>
    <row r="6790">
      <c r="A6790" s="1">
        <v>43660.439635902774</v>
      </c>
      <c r="B6790" s="3" t="s">
        <v>103</v>
      </c>
      <c r="C6790" s="2" t="s">
        <v>104</v>
      </c>
    </row>
    <row r="6791">
      <c r="A6791" s="1">
        <v>43660.44026167824</v>
      </c>
      <c r="B6791" s="2">
        <v>718.0</v>
      </c>
      <c r="C6791" s="2" t="s">
        <v>105</v>
      </c>
      <c r="D6791" s="2" t="s">
        <v>5</v>
      </c>
    </row>
    <row r="6792">
      <c r="A6792" s="1">
        <v>43660.44030971065</v>
      </c>
      <c r="B6792" s="2">
        <v>719.0</v>
      </c>
      <c r="C6792" s="2" t="s">
        <v>106</v>
      </c>
      <c r="D6792" s="2" t="s">
        <v>5</v>
      </c>
    </row>
    <row r="6793">
      <c r="A6793" s="1">
        <v>43660.441945625</v>
      </c>
      <c r="B6793" s="2">
        <v>648.0</v>
      </c>
      <c r="C6793" s="2" t="s">
        <v>207</v>
      </c>
    </row>
    <row r="6794">
      <c r="A6794" s="1">
        <v>43660.44198478009</v>
      </c>
      <c r="B6794" s="2">
        <v>649.0</v>
      </c>
      <c r="C6794" s="2" t="s">
        <v>177</v>
      </c>
    </row>
    <row r="6795">
      <c r="A6795" s="1">
        <v>43660.442175000004</v>
      </c>
      <c r="B6795" s="2">
        <v>736.0</v>
      </c>
      <c r="C6795" s="2" t="s">
        <v>175</v>
      </c>
      <c r="D6795" s="2" t="s">
        <v>5</v>
      </c>
    </row>
    <row r="6796">
      <c r="A6796" s="1">
        <v>43660.442222384256</v>
      </c>
      <c r="B6796" s="2">
        <v>737.0</v>
      </c>
      <c r="C6796" s="2" t="s">
        <v>176</v>
      </c>
      <c r="D6796" s="2" t="s">
        <v>5</v>
      </c>
    </row>
    <row r="6797">
      <c r="A6797" s="1">
        <v>43660.44363898148</v>
      </c>
      <c r="B6797" s="3" t="s">
        <v>55</v>
      </c>
      <c r="C6797" s="2" t="s">
        <v>56</v>
      </c>
    </row>
    <row r="6798">
      <c r="A6798" s="1">
        <v>43660.443675937495</v>
      </c>
      <c r="B6798" s="3" t="s">
        <v>94</v>
      </c>
      <c r="C6798" s="2" t="s">
        <v>95</v>
      </c>
    </row>
    <row r="6799">
      <c r="A6799" s="1">
        <v>43660.4437821875</v>
      </c>
      <c r="B6799" s="2">
        <v>198.0</v>
      </c>
      <c r="C6799" s="2" t="s">
        <v>97</v>
      </c>
    </row>
    <row r="6800">
      <c r="A6800" s="1">
        <v>43660.44383829861</v>
      </c>
      <c r="B6800" s="2">
        <v>702.0</v>
      </c>
      <c r="C6800" s="2" t="s">
        <v>96</v>
      </c>
      <c r="D6800" s="2" t="s">
        <v>5</v>
      </c>
    </row>
    <row r="6801">
      <c r="A6801" s="1">
        <v>43660.446811284724</v>
      </c>
      <c r="B6801" s="2">
        <v>126.0</v>
      </c>
      <c r="C6801" s="2" t="s">
        <v>87</v>
      </c>
    </row>
    <row r="6802">
      <c r="A6802" s="1">
        <v>43660.44696771991</v>
      </c>
      <c r="B6802" s="2">
        <v>268.0</v>
      </c>
      <c r="C6802" s="2" t="s">
        <v>205</v>
      </c>
    </row>
    <row r="6803">
      <c r="A6803" s="1">
        <v>43660.448948668985</v>
      </c>
      <c r="B6803" s="3" t="s">
        <v>42</v>
      </c>
      <c r="C6803" s="2" t="s">
        <v>43</v>
      </c>
    </row>
    <row r="6804">
      <c r="A6804" s="1">
        <v>43660.45027765047</v>
      </c>
      <c r="B6804" s="2">
        <v>619.0</v>
      </c>
      <c r="C6804" s="2" t="s">
        <v>46</v>
      </c>
    </row>
    <row r="6805">
      <c r="A6805" s="1">
        <v>43660.4506706713</v>
      </c>
      <c r="B6805" s="3" t="s">
        <v>150</v>
      </c>
      <c r="C6805" s="2" t="s">
        <v>151</v>
      </c>
    </row>
    <row r="6806">
      <c r="A6806" s="1">
        <v>43660.450841122685</v>
      </c>
      <c r="B6806" s="2">
        <v>706.0</v>
      </c>
      <c r="C6806" s="2" t="s">
        <v>149</v>
      </c>
      <c r="D6806" s="2" t="s">
        <v>5</v>
      </c>
    </row>
    <row r="6807">
      <c r="A6807" s="1">
        <v>43660.45224859954</v>
      </c>
      <c r="B6807" s="2">
        <v>601.0</v>
      </c>
      <c r="C6807" s="2" t="s">
        <v>125</v>
      </c>
    </row>
    <row r="6808">
      <c r="A6808" s="1">
        <v>43660.454882025464</v>
      </c>
      <c r="B6808" s="3" t="s">
        <v>11</v>
      </c>
      <c r="C6808" s="2" t="s">
        <v>12</v>
      </c>
    </row>
    <row r="6809">
      <c r="A6809" s="1">
        <v>43660.51431600694</v>
      </c>
      <c r="B6809" s="2">
        <v>611.0</v>
      </c>
      <c r="C6809" s="2" t="s">
        <v>143</v>
      </c>
    </row>
    <row r="6810">
      <c r="A6810" s="1">
        <v>43662.55416890046</v>
      </c>
      <c r="B6810" s="3" t="s">
        <v>9</v>
      </c>
      <c r="C6810" s="2" t="s">
        <v>10</v>
      </c>
    </row>
    <row r="6811">
      <c r="A6811" s="1">
        <v>43662.55509972222</v>
      </c>
      <c r="B6811" s="3" t="s">
        <v>9</v>
      </c>
      <c r="C6811" s="2" t="s">
        <v>10</v>
      </c>
    </row>
    <row r="6812">
      <c r="A6812" s="1">
        <v>43662.55584347222</v>
      </c>
      <c r="B6812" s="3" t="s">
        <v>9</v>
      </c>
      <c r="C6812" s="2" t="s">
        <v>10</v>
      </c>
    </row>
    <row r="6813">
      <c r="A6813" s="1">
        <v>43662.55594491898</v>
      </c>
      <c r="B6813" s="2">
        <v>114.0</v>
      </c>
      <c r="C6813" s="2" t="s">
        <v>15</v>
      </c>
    </row>
    <row r="6814">
      <c r="A6814" s="1">
        <v>43662.557470659725</v>
      </c>
      <c r="B6814" s="2">
        <v>114.0</v>
      </c>
      <c r="C6814" s="2" t="s">
        <v>15</v>
      </c>
    </row>
    <row r="6815">
      <c r="A6815" s="1">
        <v>43662.55757158565</v>
      </c>
      <c r="B6815" s="2">
        <v>631.0</v>
      </c>
      <c r="C6815" s="2" t="s">
        <v>178</v>
      </c>
    </row>
    <row r="6816">
      <c r="A6816" s="1">
        <v>43662.55838606482</v>
      </c>
      <c r="B6816" s="2">
        <v>708.0</v>
      </c>
      <c r="C6816" s="2" t="s">
        <v>4</v>
      </c>
      <c r="D6816" s="2" t="s">
        <v>5</v>
      </c>
    </row>
    <row r="6817">
      <c r="A6817" s="1">
        <v>43662.55844288194</v>
      </c>
      <c r="B6817" s="2">
        <v>709.0</v>
      </c>
      <c r="C6817" s="2" t="s">
        <v>20</v>
      </c>
      <c r="D6817" s="2" t="s">
        <v>5</v>
      </c>
    </row>
    <row r="6818">
      <c r="A6818" s="1">
        <v>43662.558510891206</v>
      </c>
      <c r="B6818" s="2">
        <v>710.0</v>
      </c>
      <c r="C6818" s="2" t="s">
        <v>21</v>
      </c>
      <c r="D6818" s="2" t="s">
        <v>5</v>
      </c>
    </row>
    <row r="6819">
      <c r="A6819" s="1">
        <v>43662.58691412037</v>
      </c>
      <c r="B6819" s="2">
        <v>219.0</v>
      </c>
      <c r="C6819" s="2" t="s">
        <v>31</v>
      </c>
    </row>
    <row r="6820">
      <c r="A6820" s="1">
        <v>43662.62558640046</v>
      </c>
      <c r="B6820" s="2">
        <v>603.0</v>
      </c>
      <c r="C6820" s="2" t="s">
        <v>40</v>
      </c>
    </row>
    <row r="6821">
      <c r="A6821" s="1">
        <v>43663.70892611111</v>
      </c>
      <c r="B6821" s="2">
        <v>219.0</v>
      </c>
      <c r="C6821" s="2" t="s">
        <v>31</v>
      </c>
    </row>
    <row r="6822">
      <c r="A6822" s="1">
        <v>43664.71498942129</v>
      </c>
      <c r="B6822" s="2">
        <v>219.0</v>
      </c>
      <c r="C6822" s="2" t="s">
        <v>31</v>
      </c>
    </row>
    <row r="6823">
      <c r="A6823" s="1">
        <v>43666.13824226852</v>
      </c>
      <c r="B6823" s="2">
        <v>219.0</v>
      </c>
      <c r="C6823" s="2" t="s">
        <v>31</v>
      </c>
    </row>
    <row r="6824">
      <c r="A6824" s="1">
        <v>43666.59811652778</v>
      </c>
      <c r="B6824" s="2">
        <v>219.0</v>
      </c>
      <c r="C6824" s="2" t="s">
        <v>31</v>
      </c>
    </row>
    <row r="6825">
      <c r="A6825" s="1">
        <v>43667.425966111114</v>
      </c>
      <c r="B6825" s="2">
        <v>167.0</v>
      </c>
      <c r="C6825" s="2" t="s">
        <v>39</v>
      </c>
    </row>
    <row r="6826">
      <c r="A6826" s="1">
        <v>43667.42846018518</v>
      </c>
      <c r="B6826" s="2">
        <v>201.0</v>
      </c>
      <c r="C6826" s="2" t="s">
        <v>70</v>
      </c>
    </row>
    <row r="6827">
      <c r="A6827" s="1">
        <v>43667.42928662037</v>
      </c>
      <c r="B6827" s="3" t="s">
        <v>103</v>
      </c>
      <c r="C6827" s="2" t="s">
        <v>104</v>
      </c>
    </row>
    <row r="6828">
      <c r="A6828" s="1">
        <v>43667.42971660879</v>
      </c>
      <c r="B6828" s="2">
        <v>656.0</v>
      </c>
      <c r="C6828" s="2" t="s">
        <v>144</v>
      </c>
    </row>
    <row r="6829">
      <c r="A6829" s="1">
        <v>43667.43001609953</v>
      </c>
      <c r="B6829" s="3" t="s">
        <v>22</v>
      </c>
      <c r="C6829" s="2" t="s">
        <v>23</v>
      </c>
    </row>
    <row r="6830">
      <c r="A6830" s="1">
        <v>43667.43116438657</v>
      </c>
      <c r="B6830" s="3" t="s">
        <v>88</v>
      </c>
      <c r="C6830" s="2" t="s">
        <v>89</v>
      </c>
    </row>
    <row r="6831">
      <c r="A6831" s="1">
        <v>43667.43127087963</v>
      </c>
      <c r="B6831" s="3" t="s">
        <v>80</v>
      </c>
      <c r="C6831" s="2" t="s">
        <v>81</v>
      </c>
    </row>
    <row r="6832">
      <c r="A6832" s="1">
        <v>43667.43133894676</v>
      </c>
      <c r="B6832" s="3" t="s">
        <v>51</v>
      </c>
      <c r="C6832" s="2" t="s">
        <v>52</v>
      </c>
    </row>
    <row r="6833">
      <c r="A6833" s="1">
        <v>43667.43193938657</v>
      </c>
      <c r="B6833" s="2">
        <v>253.0</v>
      </c>
      <c r="C6833" s="2" t="s">
        <v>138</v>
      </c>
    </row>
    <row r="6834">
      <c r="A6834" s="1">
        <v>43667.432164502316</v>
      </c>
      <c r="B6834" s="2">
        <v>157.0</v>
      </c>
      <c r="C6834" s="2" t="s">
        <v>141</v>
      </c>
    </row>
    <row r="6835">
      <c r="A6835" s="1">
        <v>43667.43233193287</v>
      </c>
      <c r="B6835" s="2">
        <v>655.0</v>
      </c>
      <c r="C6835" s="2" t="s">
        <v>17</v>
      </c>
    </row>
    <row r="6836">
      <c r="A6836" s="1">
        <v>43667.432673159725</v>
      </c>
      <c r="B6836" s="2">
        <v>52.0</v>
      </c>
      <c r="C6836" s="2" t="s">
        <v>41</v>
      </c>
    </row>
    <row r="6837">
      <c r="A6837" s="1">
        <v>43667.43282540509</v>
      </c>
      <c r="B6837" s="3" t="s">
        <v>162</v>
      </c>
      <c r="C6837" s="2" t="s">
        <v>163</v>
      </c>
    </row>
    <row r="6838">
      <c r="A6838" s="1">
        <v>43667.43303613426</v>
      </c>
      <c r="B6838" s="2">
        <v>160.0</v>
      </c>
      <c r="C6838" s="2" t="s">
        <v>154</v>
      </c>
    </row>
    <row r="6839">
      <c r="A6839" s="1">
        <v>43667.43315895833</v>
      </c>
      <c r="B6839" s="2">
        <v>720.0</v>
      </c>
      <c r="C6839" s="2" t="s">
        <v>155</v>
      </c>
      <c r="D6839" s="2" t="s">
        <v>5</v>
      </c>
    </row>
    <row r="6840">
      <c r="A6840" s="1">
        <v>43667.433217233796</v>
      </c>
      <c r="B6840" s="2">
        <v>721.0</v>
      </c>
      <c r="C6840" s="2" t="s">
        <v>156</v>
      </c>
      <c r="D6840" s="2" t="s">
        <v>5</v>
      </c>
    </row>
    <row r="6841">
      <c r="A6841" s="1">
        <v>43667.43342166667</v>
      </c>
      <c r="B6841" s="2">
        <v>165.0</v>
      </c>
      <c r="C6841" s="2" t="s">
        <v>50</v>
      </c>
    </row>
    <row r="6842">
      <c r="A6842" s="1">
        <v>43667.433514386576</v>
      </c>
      <c r="B6842" s="2">
        <v>173.0</v>
      </c>
      <c r="C6842" s="2" t="s">
        <v>24</v>
      </c>
    </row>
    <row r="6843">
      <c r="A6843" s="1">
        <v>43667.433634375004</v>
      </c>
      <c r="B6843" s="2">
        <v>214.0</v>
      </c>
      <c r="C6843" s="2" t="s">
        <v>47</v>
      </c>
    </row>
    <row r="6844">
      <c r="A6844" s="1">
        <v>43667.43375302083</v>
      </c>
      <c r="B6844" s="2">
        <v>231.0</v>
      </c>
      <c r="C6844" s="2" t="s">
        <v>61</v>
      </c>
    </row>
    <row r="6845">
      <c r="A6845" s="1">
        <v>43667.43385006944</v>
      </c>
      <c r="B6845" s="3" t="s">
        <v>32</v>
      </c>
      <c r="C6845" s="2" t="s">
        <v>33</v>
      </c>
    </row>
    <row r="6846">
      <c r="A6846" s="1">
        <v>43667.43398972222</v>
      </c>
      <c r="B6846" s="2">
        <v>627.0</v>
      </c>
      <c r="C6846" s="2" t="s">
        <v>134</v>
      </c>
    </row>
    <row r="6847">
      <c r="A6847" s="1">
        <v>43667.43419539352</v>
      </c>
      <c r="B6847" s="3" t="s">
        <v>32</v>
      </c>
      <c r="C6847" s="2" t="s">
        <v>33</v>
      </c>
    </row>
    <row r="6848">
      <c r="A6848" s="1">
        <v>43667.43451599537</v>
      </c>
      <c r="B6848" s="2">
        <v>735.0</v>
      </c>
      <c r="C6848" s="2" t="s">
        <v>37</v>
      </c>
      <c r="D6848" s="2" t="s">
        <v>5</v>
      </c>
    </row>
    <row r="6849">
      <c r="A6849" s="1">
        <v>43667.434725150466</v>
      </c>
      <c r="B6849" s="3" t="s">
        <v>150</v>
      </c>
      <c r="C6849" s="2" t="s">
        <v>151</v>
      </c>
    </row>
    <row r="6850">
      <c r="A6850" s="1">
        <v>43667.434858356486</v>
      </c>
      <c r="B6850" s="3" t="s">
        <v>82</v>
      </c>
      <c r="C6850" s="2" t="s">
        <v>83</v>
      </c>
    </row>
    <row r="6851">
      <c r="A6851" s="1">
        <v>43667.43496006944</v>
      </c>
      <c r="B6851" s="3" t="s">
        <v>78</v>
      </c>
      <c r="C6851" s="2" t="s">
        <v>79</v>
      </c>
    </row>
    <row r="6852">
      <c r="A6852" s="1">
        <v>43667.43520743056</v>
      </c>
      <c r="B6852" s="2">
        <v>723.0</v>
      </c>
      <c r="C6852" s="2" t="s">
        <v>84</v>
      </c>
      <c r="D6852" s="2" t="s">
        <v>5</v>
      </c>
    </row>
    <row r="6853">
      <c r="A6853" s="1">
        <v>43667.43532934028</v>
      </c>
      <c r="B6853" s="2">
        <v>210.0</v>
      </c>
      <c r="C6853" s="2" t="s">
        <v>64</v>
      </c>
    </row>
    <row r="6854">
      <c r="A6854" s="1">
        <v>43667.4354366551</v>
      </c>
      <c r="B6854" s="2">
        <v>270.0</v>
      </c>
      <c r="C6854" s="2" t="s">
        <v>153</v>
      </c>
    </row>
    <row r="6855">
      <c r="A6855" s="1">
        <v>43667.435653865745</v>
      </c>
      <c r="B6855" s="2">
        <v>717.0</v>
      </c>
      <c r="C6855" s="2" t="s">
        <v>152</v>
      </c>
      <c r="D6855" s="2" t="s">
        <v>5</v>
      </c>
    </row>
    <row r="6856">
      <c r="A6856" s="1">
        <v>43667.435676215275</v>
      </c>
      <c r="B6856" s="2">
        <v>141.0</v>
      </c>
      <c r="C6856" s="2" t="s">
        <v>53</v>
      </c>
    </row>
    <row r="6857">
      <c r="A6857" s="1">
        <v>43667.43605952546</v>
      </c>
      <c r="B6857" s="3" t="s">
        <v>55</v>
      </c>
      <c r="C6857" s="2" t="s">
        <v>56</v>
      </c>
    </row>
    <row r="6858">
      <c r="A6858" s="1">
        <v>43667.43624283565</v>
      </c>
      <c r="B6858" s="2">
        <v>707.0</v>
      </c>
      <c r="C6858" s="2" t="s">
        <v>57</v>
      </c>
      <c r="D6858" s="2" t="s">
        <v>5</v>
      </c>
    </row>
    <row r="6859">
      <c r="A6859" s="1">
        <v>43667.43624376158</v>
      </c>
      <c r="B6859" s="2">
        <v>627.0</v>
      </c>
      <c r="C6859" s="2" t="s">
        <v>134</v>
      </c>
    </row>
    <row r="6860">
      <c r="A6860" s="1">
        <v>43667.43640689815</v>
      </c>
      <c r="B6860" s="2">
        <v>172.0</v>
      </c>
      <c r="C6860" s="2" t="s">
        <v>65</v>
      </c>
    </row>
    <row r="6861">
      <c r="A6861" s="1">
        <v>43667.43650565972</v>
      </c>
      <c r="B6861" s="2">
        <v>262.0</v>
      </c>
      <c r="C6861" s="2" t="s">
        <v>28</v>
      </c>
    </row>
    <row r="6862">
      <c r="A6862" s="1">
        <v>43667.43659924768</v>
      </c>
      <c r="B6862" s="2">
        <v>729.0</v>
      </c>
      <c r="C6862" s="2" t="s">
        <v>54</v>
      </c>
      <c r="D6862" s="2" t="s">
        <v>5</v>
      </c>
    </row>
    <row r="6863">
      <c r="A6863" s="1">
        <v>43667.43693545139</v>
      </c>
      <c r="B6863" s="2">
        <v>259.0</v>
      </c>
      <c r="C6863" s="2" t="s">
        <v>66</v>
      </c>
    </row>
    <row r="6864">
      <c r="A6864" s="1">
        <v>43667.43717950232</v>
      </c>
      <c r="B6864" s="2">
        <v>607.0</v>
      </c>
      <c r="C6864" s="2" t="s">
        <v>68</v>
      </c>
    </row>
    <row r="6865">
      <c r="A6865" s="1">
        <v>43667.43743439815</v>
      </c>
      <c r="B6865" s="2">
        <v>653.0</v>
      </c>
      <c r="C6865" s="2" t="s">
        <v>77</v>
      </c>
    </row>
    <row r="6866">
      <c r="A6866" s="1">
        <v>43667.437717939814</v>
      </c>
      <c r="B6866" s="2">
        <v>648.0</v>
      </c>
      <c r="C6866" s="2" t="s">
        <v>207</v>
      </c>
    </row>
    <row r="6867">
      <c r="A6867" s="1">
        <v>43667.43811212963</v>
      </c>
      <c r="B6867" s="2">
        <v>238.0</v>
      </c>
      <c r="C6867" s="2" t="s">
        <v>35</v>
      </c>
    </row>
    <row r="6868">
      <c r="A6868" s="1">
        <v>43667.4382275463</v>
      </c>
      <c r="B6868" s="3" t="s">
        <v>44</v>
      </c>
      <c r="C6868" s="2" t="s">
        <v>45</v>
      </c>
    </row>
    <row r="6869">
      <c r="A6869" s="1">
        <v>43667.438388009265</v>
      </c>
      <c r="B6869" s="2">
        <v>158.0</v>
      </c>
      <c r="C6869" s="2" t="s">
        <v>62</v>
      </c>
    </row>
    <row r="6870">
      <c r="A6870" s="1">
        <v>43667.43846888889</v>
      </c>
      <c r="B6870" s="2">
        <v>137.0</v>
      </c>
      <c r="C6870" s="2" t="s">
        <v>72</v>
      </c>
    </row>
    <row r="6871">
      <c r="A6871" s="1">
        <v>43667.4386247338</v>
      </c>
      <c r="B6871" s="2">
        <v>736.0</v>
      </c>
      <c r="C6871" s="2" t="s">
        <v>175</v>
      </c>
      <c r="D6871" s="2" t="s">
        <v>5</v>
      </c>
    </row>
    <row r="6872">
      <c r="A6872" s="1">
        <v>43667.43871306713</v>
      </c>
      <c r="B6872" s="2">
        <v>737.0</v>
      </c>
      <c r="C6872" s="2" t="s">
        <v>176</v>
      </c>
      <c r="D6872" s="2" t="s">
        <v>5</v>
      </c>
    </row>
    <row r="6873">
      <c r="A6873" s="1">
        <v>43667.439161608796</v>
      </c>
      <c r="B6873" s="3" t="s">
        <v>119</v>
      </c>
      <c r="C6873" s="2" t="s">
        <v>120</v>
      </c>
    </row>
    <row r="6874">
      <c r="A6874" s="1">
        <v>43667.4392831713</v>
      </c>
      <c r="B6874" s="2">
        <v>677.0</v>
      </c>
      <c r="C6874" s="2" t="s">
        <v>224</v>
      </c>
    </row>
    <row r="6875">
      <c r="A6875" s="1">
        <v>43667.43950137732</v>
      </c>
      <c r="B6875" s="2">
        <v>257.0</v>
      </c>
      <c r="C6875" s="2" t="s">
        <v>27</v>
      </c>
    </row>
    <row r="6876">
      <c r="A6876" s="1">
        <v>43667.43994137731</v>
      </c>
      <c r="B6876" s="2">
        <v>601.0</v>
      </c>
      <c r="C6876" s="2" t="s">
        <v>125</v>
      </c>
    </row>
    <row r="6877">
      <c r="A6877" s="1">
        <v>43667.44044627315</v>
      </c>
      <c r="B6877" s="2">
        <v>124.0</v>
      </c>
      <c r="C6877" s="2" t="s">
        <v>107</v>
      </c>
    </row>
    <row r="6878">
      <c r="A6878" s="1">
        <v>43667.44089283565</v>
      </c>
      <c r="C6878" s="2" t="s">
        <v>19</v>
      </c>
    </row>
    <row r="6879">
      <c r="A6879" s="1">
        <v>43667.44305137731</v>
      </c>
      <c r="B6879" s="2">
        <v>701.0</v>
      </c>
      <c r="C6879" s="2" t="s">
        <v>93</v>
      </c>
      <c r="D6879" s="2" t="s">
        <v>5</v>
      </c>
    </row>
    <row r="6880">
      <c r="A6880" s="1">
        <v>43667.443250833334</v>
      </c>
      <c r="B6880" s="3" t="s">
        <v>111</v>
      </c>
      <c r="C6880" s="2" t="s">
        <v>112</v>
      </c>
    </row>
    <row r="6881">
      <c r="A6881" s="1">
        <v>43667.4449896875</v>
      </c>
      <c r="B6881" s="3" t="s">
        <v>94</v>
      </c>
      <c r="C6881" s="2" t="s">
        <v>95</v>
      </c>
    </row>
    <row r="6882">
      <c r="A6882" s="1">
        <v>43667.445228553246</v>
      </c>
      <c r="B6882" s="2">
        <v>702.0</v>
      </c>
      <c r="C6882" s="2" t="s">
        <v>96</v>
      </c>
      <c r="D6882" s="2" t="s">
        <v>5</v>
      </c>
    </row>
    <row r="6883">
      <c r="A6883" s="1">
        <v>43667.44532318287</v>
      </c>
      <c r="B6883" s="2">
        <v>198.0</v>
      </c>
      <c r="C6883" s="2" t="s">
        <v>97</v>
      </c>
    </row>
    <row r="6884">
      <c r="A6884" s="1">
        <v>43667.44544819444</v>
      </c>
      <c r="B6884" s="2">
        <v>244.0</v>
      </c>
      <c r="C6884" s="2" t="s">
        <v>38</v>
      </c>
    </row>
    <row r="6885">
      <c r="A6885" s="1">
        <v>43667.44565974537</v>
      </c>
      <c r="B6885" s="2">
        <v>663.0</v>
      </c>
      <c r="C6885" s="2" t="s">
        <v>109</v>
      </c>
    </row>
    <row r="6886">
      <c r="A6886" s="1">
        <v>43667.44578797454</v>
      </c>
      <c r="B6886" s="2">
        <v>733.0</v>
      </c>
      <c r="C6886" s="2" t="s">
        <v>110</v>
      </c>
      <c r="D6886" s="2" t="s">
        <v>5</v>
      </c>
    </row>
    <row r="6887">
      <c r="A6887" s="1">
        <v>43667.44990129629</v>
      </c>
      <c r="B6887" s="2">
        <v>604.0</v>
      </c>
      <c r="C6887" s="2" t="s">
        <v>36</v>
      </c>
    </row>
    <row r="6888">
      <c r="A6888" s="1">
        <v>43667.451027546296</v>
      </c>
      <c r="B6888" s="2">
        <v>675.0</v>
      </c>
      <c r="C6888" s="2" t="s">
        <v>222</v>
      </c>
    </row>
    <row r="6889">
      <c r="A6889" s="1">
        <v>43667.45320403935</v>
      </c>
      <c r="B6889" s="2">
        <v>246.0</v>
      </c>
      <c r="C6889" s="2" t="s">
        <v>26</v>
      </c>
    </row>
    <row r="6890">
      <c r="A6890" s="1">
        <v>43667.453439502315</v>
      </c>
      <c r="B6890" s="2">
        <v>209.0</v>
      </c>
      <c r="C6890" s="2" t="s">
        <v>219</v>
      </c>
    </row>
    <row r="6891">
      <c r="A6891" s="1">
        <v>43667.4536587037</v>
      </c>
      <c r="B6891" s="2">
        <v>631.0</v>
      </c>
      <c r="C6891" s="2" t="s">
        <v>178</v>
      </c>
    </row>
    <row r="6892">
      <c r="A6892" s="1">
        <v>43667.45382555555</v>
      </c>
      <c r="B6892" s="2">
        <v>675.0</v>
      </c>
      <c r="C6892" s="2" t="s">
        <v>222</v>
      </c>
    </row>
    <row r="6893">
      <c r="A6893" s="1">
        <v>43667.453971400464</v>
      </c>
      <c r="B6893" s="2">
        <v>722.0</v>
      </c>
      <c r="C6893" s="2" t="s">
        <v>25</v>
      </c>
      <c r="D6893" s="2" t="s">
        <v>5</v>
      </c>
    </row>
    <row r="6894">
      <c r="A6894" s="1">
        <v>43667.45407586805</v>
      </c>
      <c r="B6894" s="2">
        <v>738.0</v>
      </c>
      <c r="C6894" s="2" t="s">
        <v>161</v>
      </c>
    </row>
    <row r="6895">
      <c r="A6895" s="1">
        <v>43667.45439482639</v>
      </c>
      <c r="B6895" s="3" t="s">
        <v>159</v>
      </c>
      <c r="C6895" s="2" t="s">
        <v>160</v>
      </c>
    </row>
    <row r="6896">
      <c r="A6896" s="1">
        <v>43667.566793148144</v>
      </c>
      <c r="B6896" s="2">
        <v>165.0</v>
      </c>
      <c r="C6896" s="2" t="s">
        <v>50</v>
      </c>
    </row>
    <row r="6897">
      <c r="A6897" s="1">
        <v>43667.567619849535</v>
      </c>
      <c r="B6897" s="2">
        <v>165.0</v>
      </c>
      <c r="C6897" s="2" t="s">
        <v>50</v>
      </c>
    </row>
    <row r="6898">
      <c r="A6898" s="1">
        <v>43667.5678705787</v>
      </c>
      <c r="B6898" s="2">
        <v>165.0</v>
      </c>
      <c r="C6898" s="2" t="s">
        <v>50</v>
      </c>
    </row>
    <row r="6899">
      <c r="A6899" s="1">
        <v>43667.568206192125</v>
      </c>
      <c r="B6899" s="2">
        <v>165.0</v>
      </c>
      <c r="C6899" s="2" t="s">
        <v>50</v>
      </c>
    </row>
    <row r="6900">
      <c r="A6900" s="1">
        <v>43667.56839407407</v>
      </c>
      <c r="B6900" s="2">
        <v>165.0</v>
      </c>
      <c r="C6900" s="2" t="s">
        <v>50</v>
      </c>
    </row>
    <row r="6901">
      <c r="A6901" s="1">
        <v>43667.5685790625</v>
      </c>
      <c r="B6901" s="2">
        <v>165.0</v>
      </c>
      <c r="C6901" s="2" t="s">
        <v>50</v>
      </c>
    </row>
    <row r="6902">
      <c r="A6902" s="1">
        <v>43667.568656979165</v>
      </c>
      <c r="B6902" s="2">
        <v>165.0</v>
      </c>
      <c r="C6902" s="2" t="s">
        <v>50</v>
      </c>
    </row>
    <row r="6903">
      <c r="A6903" s="1">
        <v>43667.56868015046</v>
      </c>
      <c r="B6903" s="2">
        <v>165.0</v>
      </c>
      <c r="C6903" s="2" t="s">
        <v>50</v>
      </c>
    </row>
    <row r="6904">
      <c r="A6904" s="1">
        <v>43667.56887092593</v>
      </c>
      <c r="B6904" s="2">
        <v>165.0</v>
      </c>
      <c r="C6904" s="2" t="s">
        <v>50</v>
      </c>
    </row>
    <row r="6905">
      <c r="A6905" s="1">
        <v>43667.56922746528</v>
      </c>
      <c r="B6905" s="2">
        <v>165.0</v>
      </c>
      <c r="C6905" s="2" t="s">
        <v>50</v>
      </c>
    </row>
    <row r="6906">
      <c r="A6906" s="1">
        <v>43667.56939215278</v>
      </c>
      <c r="B6906" s="2">
        <v>165.0</v>
      </c>
      <c r="C6906" s="2" t="s">
        <v>50</v>
      </c>
    </row>
    <row r="6907">
      <c r="A6907" s="1">
        <v>43668.00710548611</v>
      </c>
      <c r="B6907" s="2">
        <v>609.0</v>
      </c>
      <c r="C6907" s="2" t="s">
        <v>179</v>
      </c>
    </row>
    <row r="6908">
      <c r="A6908" s="1">
        <v>43668.00767395833</v>
      </c>
      <c r="B6908" s="2">
        <v>609.0</v>
      </c>
      <c r="C6908" s="2" t="s">
        <v>179</v>
      </c>
    </row>
    <row r="6909">
      <c r="A6909" s="1">
        <v>43668.41150827546</v>
      </c>
      <c r="B6909" s="2">
        <v>708.0</v>
      </c>
      <c r="C6909" s="2" t="s">
        <v>4</v>
      </c>
      <c r="D6909" s="2" t="s">
        <v>5</v>
      </c>
    </row>
    <row r="6910">
      <c r="A6910" s="1">
        <v>43668.411559942135</v>
      </c>
      <c r="B6910" s="2">
        <v>709.0</v>
      </c>
      <c r="C6910" s="2" t="s">
        <v>20</v>
      </c>
      <c r="D6910" s="2" t="s">
        <v>5</v>
      </c>
    </row>
    <row r="6911">
      <c r="A6911" s="1">
        <v>43668.41159069445</v>
      </c>
      <c r="B6911" s="2">
        <v>710.0</v>
      </c>
      <c r="C6911" s="2" t="s">
        <v>21</v>
      </c>
      <c r="D6911" s="2" t="s">
        <v>5</v>
      </c>
    </row>
    <row r="6912">
      <c r="A6912" s="1">
        <v>43668.41179041666</v>
      </c>
      <c r="B6912" s="3" t="s">
        <v>9</v>
      </c>
      <c r="C6912" s="2" t="s">
        <v>10</v>
      </c>
    </row>
    <row r="6913">
      <c r="A6913" s="1">
        <v>43668.412085648146</v>
      </c>
      <c r="B6913" s="2">
        <v>157.0</v>
      </c>
      <c r="C6913" s="2" t="s">
        <v>141</v>
      </c>
    </row>
    <row r="6914">
      <c r="A6914" s="1">
        <v>43668.4123709375</v>
      </c>
      <c r="B6914" s="2">
        <v>114.0</v>
      </c>
      <c r="C6914" s="2" t="s">
        <v>15</v>
      </c>
    </row>
    <row r="6915">
      <c r="A6915" s="1">
        <v>43668.45152212963</v>
      </c>
      <c r="B6915" s="3" t="s">
        <v>11</v>
      </c>
      <c r="C6915" s="2" t="s">
        <v>12</v>
      </c>
    </row>
    <row r="6916">
      <c r="A6916" s="1">
        <v>43668.451739791664</v>
      </c>
      <c r="B6916" s="2">
        <v>611.0</v>
      </c>
      <c r="C6916" s="2" t="s">
        <v>143</v>
      </c>
    </row>
    <row r="6917">
      <c r="A6917" s="1">
        <v>43668.454387314814</v>
      </c>
      <c r="B6917" s="2">
        <v>267.0</v>
      </c>
      <c r="C6917" s="2" t="s">
        <v>115</v>
      </c>
    </row>
    <row r="6918">
      <c r="A6918" s="1">
        <v>43668.457023020834</v>
      </c>
      <c r="B6918" s="2">
        <v>716.0</v>
      </c>
      <c r="C6918" s="2" t="s">
        <v>123</v>
      </c>
      <c r="D6918" s="2" t="s">
        <v>5</v>
      </c>
    </row>
    <row r="6919">
      <c r="A6919" s="1">
        <v>43668.45866748843</v>
      </c>
      <c r="B6919" s="2">
        <v>713.0</v>
      </c>
      <c r="C6919" s="2" t="s">
        <v>121</v>
      </c>
      <c r="D6919" s="2" t="s">
        <v>5</v>
      </c>
    </row>
    <row r="6920">
      <c r="A6920" s="1">
        <v>43668.458705185185</v>
      </c>
      <c r="B6920" s="2">
        <v>714.0</v>
      </c>
      <c r="C6920" s="2" t="s">
        <v>122</v>
      </c>
      <c r="D6920" s="2" t="s">
        <v>5</v>
      </c>
    </row>
    <row r="6921">
      <c r="A6921" s="1">
        <v>43668.459770347225</v>
      </c>
      <c r="B6921" s="3" t="s">
        <v>117</v>
      </c>
      <c r="C6921" s="2" t="s">
        <v>118</v>
      </c>
    </row>
    <row r="6922">
      <c r="A6922" s="1">
        <v>43668.47443173611</v>
      </c>
      <c r="B6922" s="2">
        <v>609.0</v>
      </c>
      <c r="C6922" s="2" t="s">
        <v>179</v>
      </c>
    </row>
    <row r="6923">
      <c r="A6923" s="1">
        <v>43668.54556745371</v>
      </c>
      <c r="B6923" s="2">
        <v>219.0</v>
      </c>
      <c r="C6923" s="2" t="s">
        <v>31</v>
      </c>
    </row>
    <row r="6924">
      <c r="A6924" s="1">
        <v>43668.6067340625</v>
      </c>
      <c r="B6924" s="2">
        <v>609.0</v>
      </c>
      <c r="C6924" s="2" t="s">
        <v>179</v>
      </c>
    </row>
    <row r="6925">
      <c r="A6925" s="1">
        <v>43669.331124247685</v>
      </c>
      <c r="B6925" s="2">
        <v>609.0</v>
      </c>
      <c r="C6925" s="2" t="s">
        <v>179</v>
      </c>
    </row>
    <row r="6926">
      <c r="A6926" s="1">
        <v>43669.479192060186</v>
      </c>
      <c r="B6926" s="2">
        <v>609.0</v>
      </c>
      <c r="C6926" s="2" t="s">
        <v>179</v>
      </c>
    </row>
    <row r="6927">
      <c r="A6927" s="1">
        <v>43669.71092265046</v>
      </c>
      <c r="B6927" s="2">
        <v>219.0</v>
      </c>
      <c r="C6927" s="2" t="s">
        <v>31</v>
      </c>
    </row>
    <row r="6928">
      <c r="A6928" s="1">
        <v>43669.89808630787</v>
      </c>
      <c r="B6928" s="2">
        <v>219.0</v>
      </c>
      <c r="C6928" s="2" t="s">
        <v>31</v>
      </c>
    </row>
    <row r="6929">
      <c r="A6929" s="1">
        <v>43670.375158877316</v>
      </c>
      <c r="B6929" s="2">
        <v>219.0</v>
      </c>
      <c r="C6929" s="2" t="s">
        <v>31</v>
      </c>
    </row>
    <row r="6930">
      <c r="A6930" s="1">
        <v>43671.65560583334</v>
      </c>
      <c r="B6930" s="2">
        <v>219.0</v>
      </c>
      <c r="C6930" s="2" t="s">
        <v>31</v>
      </c>
    </row>
    <row r="6931">
      <c r="A6931" s="1">
        <v>43672.7438525</v>
      </c>
      <c r="B6931" s="2">
        <v>219.0</v>
      </c>
      <c r="C6931" s="2" t="s">
        <v>31</v>
      </c>
    </row>
    <row r="6932">
      <c r="A6932" s="1">
        <v>43673.53365165509</v>
      </c>
      <c r="B6932" s="2">
        <v>611.0</v>
      </c>
      <c r="C6932" s="2" t="s">
        <v>143</v>
      </c>
    </row>
    <row r="6933">
      <c r="A6933" s="1">
        <v>43674.42805318287</v>
      </c>
      <c r="B6933" s="2">
        <v>722.0</v>
      </c>
      <c r="C6933" s="2" t="s">
        <v>25</v>
      </c>
      <c r="D6933" s="2" t="s">
        <v>5</v>
      </c>
    </row>
    <row r="6934">
      <c r="A6934" s="1">
        <v>43674.42805318287</v>
      </c>
      <c r="B6934" s="2">
        <v>238.0</v>
      </c>
      <c r="C6934" s="2" t="s">
        <v>35</v>
      </c>
    </row>
    <row r="6935">
      <c r="A6935" s="1">
        <v>43674.42815620371</v>
      </c>
      <c r="B6935" s="2">
        <v>238.0</v>
      </c>
      <c r="C6935" s="2" t="s">
        <v>35</v>
      </c>
    </row>
    <row r="6936">
      <c r="A6936" s="1">
        <v>43674.428917083336</v>
      </c>
      <c r="B6936" s="2">
        <v>165.0</v>
      </c>
      <c r="C6936" s="2" t="s">
        <v>50</v>
      </c>
    </row>
    <row r="6937">
      <c r="A6937" s="1">
        <v>43674.42955752315</v>
      </c>
      <c r="B6937" s="2">
        <v>735.0</v>
      </c>
      <c r="C6937" s="2" t="s">
        <v>37</v>
      </c>
      <c r="D6937" s="2" t="s">
        <v>5</v>
      </c>
    </row>
    <row r="6938">
      <c r="A6938" s="1">
        <v>43674.42993106482</v>
      </c>
      <c r="B6938" s="2">
        <v>655.0</v>
      </c>
      <c r="C6938" s="2" t="s">
        <v>17</v>
      </c>
    </row>
    <row r="6939">
      <c r="A6939" s="1">
        <v>43674.43006449074</v>
      </c>
      <c r="B6939" s="2">
        <v>244.0</v>
      </c>
      <c r="C6939" s="2" t="s">
        <v>38</v>
      </c>
    </row>
    <row r="6940">
      <c r="A6940" s="1">
        <v>43674.43017184028</v>
      </c>
      <c r="B6940" s="2">
        <v>262.0</v>
      </c>
      <c r="C6940" s="2" t="s">
        <v>28</v>
      </c>
    </row>
    <row r="6941">
      <c r="A6941" s="1">
        <v>43674.43029767361</v>
      </c>
      <c r="B6941" s="3" t="s">
        <v>51</v>
      </c>
      <c r="C6941" s="2" t="s">
        <v>52</v>
      </c>
    </row>
    <row r="6942">
      <c r="A6942" s="1">
        <v>43674.43039417824</v>
      </c>
      <c r="B6942" s="3" t="s">
        <v>80</v>
      </c>
      <c r="C6942" s="2" t="s">
        <v>81</v>
      </c>
    </row>
    <row r="6943">
      <c r="A6943" s="1">
        <v>43674.43060011574</v>
      </c>
      <c r="B6943" s="2">
        <v>604.0</v>
      </c>
      <c r="C6943" s="2" t="s">
        <v>36</v>
      </c>
    </row>
    <row r="6944">
      <c r="A6944" s="1">
        <v>43674.430728692125</v>
      </c>
      <c r="B6944" s="2">
        <v>643.0</v>
      </c>
      <c r="C6944" s="2" t="s">
        <v>166</v>
      </c>
    </row>
    <row r="6945">
      <c r="A6945" s="1">
        <v>43674.43086958333</v>
      </c>
      <c r="B6945" s="2">
        <v>208.0</v>
      </c>
      <c r="C6945" s="2" t="s">
        <v>182</v>
      </c>
    </row>
    <row r="6946">
      <c r="A6946" s="1">
        <v>43674.43095646991</v>
      </c>
      <c r="B6946" s="2">
        <v>611.0</v>
      </c>
      <c r="C6946" s="2" t="s">
        <v>143</v>
      </c>
    </row>
    <row r="6947">
      <c r="A6947" s="1">
        <v>43674.43114414352</v>
      </c>
      <c r="B6947" s="2">
        <v>613.0</v>
      </c>
      <c r="C6947" s="2" t="s">
        <v>124</v>
      </c>
    </row>
    <row r="6948">
      <c r="A6948" s="1">
        <v>43674.431264803236</v>
      </c>
      <c r="B6948" s="2">
        <v>175.0</v>
      </c>
      <c r="C6948" s="2" t="s">
        <v>69</v>
      </c>
    </row>
    <row r="6949">
      <c r="A6949" s="1">
        <v>43674.431293773145</v>
      </c>
      <c r="B6949" s="2">
        <v>167.0</v>
      </c>
      <c r="C6949" s="2" t="s">
        <v>39</v>
      </c>
    </row>
    <row r="6950">
      <c r="A6950" s="1">
        <v>43674.43135546296</v>
      </c>
      <c r="B6950" s="2">
        <v>201.0</v>
      </c>
      <c r="C6950" s="2" t="s">
        <v>70</v>
      </c>
    </row>
    <row r="6951">
      <c r="A6951" s="1">
        <v>43674.43147053241</v>
      </c>
      <c r="B6951" s="2">
        <v>259.0</v>
      </c>
      <c r="C6951" s="2" t="s">
        <v>66</v>
      </c>
    </row>
    <row r="6952">
      <c r="A6952" s="1">
        <v>43674.43154012732</v>
      </c>
      <c r="B6952" s="2">
        <v>231.0</v>
      </c>
      <c r="C6952" s="2" t="s">
        <v>61</v>
      </c>
    </row>
    <row r="6953">
      <c r="A6953" s="1">
        <v>43674.43165407407</v>
      </c>
      <c r="B6953" s="2">
        <v>722.0</v>
      </c>
      <c r="C6953" s="2" t="s">
        <v>25</v>
      </c>
      <c r="D6953" s="2" t="s">
        <v>5</v>
      </c>
    </row>
    <row r="6954">
      <c r="A6954" s="1">
        <v>43674.431761238426</v>
      </c>
      <c r="B6954" s="2">
        <v>158.0</v>
      </c>
      <c r="C6954" s="2" t="s">
        <v>62</v>
      </c>
    </row>
    <row r="6955">
      <c r="A6955" s="1">
        <v>43674.431835324074</v>
      </c>
      <c r="B6955" s="2">
        <v>214.0</v>
      </c>
      <c r="C6955" s="2" t="s">
        <v>47</v>
      </c>
    </row>
    <row r="6956">
      <c r="A6956" s="1">
        <v>43674.43194978009</v>
      </c>
      <c r="B6956" s="3" t="s">
        <v>32</v>
      </c>
      <c r="C6956" s="2" t="s">
        <v>33</v>
      </c>
    </row>
    <row r="6957">
      <c r="A6957" s="1">
        <v>43674.43207783565</v>
      </c>
      <c r="B6957" s="2">
        <v>625.0</v>
      </c>
      <c r="C6957" s="2" t="s">
        <v>136</v>
      </c>
    </row>
    <row r="6958">
      <c r="A6958" s="1">
        <v>43674.43240635417</v>
      </c>
      <c r="B6958" s="3" t="s">
        <v>32</v>
      </c>
      <c r="C6958" s="2" t="s">
        <v>33</v>
      </c>
    </row>
    <row r="6959">
      <c r="A6959" s="1">
        <v>43674.43248780092</v>
      </c>
      <c r="B6959" s="3" t="s">
        <v>42</v>
      </c>
      <c r="C6959" s="2" t="s">
        <v>43</v>
      </c>
    </row>
    <row r="6960">
      <c r="A6960" s="1">
        <v>43674.43313928241</v>
      </c>
      <c r="B6960" s="3" t="s">
        <v>82</v>
      </c>
      <c r="C6960" s="2" t="s">
        <v>83</v>
      </c>
    </row>
    <row r="6961">
      <c r="A6961" s="1">
        <v>43674.43323783565</v>
      </c>
      <c r="B6961" s="3" t="s">
        <v>78</v>
      </c>
      <c r="C6961" s="2" t="s">
        <v>79</v>
      </c>
    </row>
    <row r="6962">
      <c r="A6962" s="1">
        <v>43674.43396819444</v>
      </c>
      <c r="B6962" s="2">
        <v>602.0</v>
      </c>
      <c r="C6962" s="2" t="s">
        <v>131</v>
      </c>
    </row>
    <row r="6963">
      <c r="A6963" s="1">
        <v>43674.434100011575</v>
      </c>
      <c r="B6963" s="2">
        <v>52.0</v>
      </c>
      <c r="C6963" s="2" t="s">
        <v>41</v>
      </c>
    </row>
    <row r="6964">
      <c r="A6964" s="1">
        <v>43674.43450207176</v>
      </c>
      <c r="B6964" s="2">
        <v>238.0</v>
      </c>
      <c r="C6964" s="2" t="s">
        <v>35</v>
      </c>
    </row>
    <row r="6965">
      <c r="A6965" s="1">
        <v>43674.434603182875</v>
      </c>
      <c r="B6965" s="2">
        <v>160.0</v>
      </c>
      <c r="C6965" s="2" t="s">
        <v>154</v>
      </c>
    </row>
    <row r="6966">
      <c r="A6966" s="1">
        <v>43674.434684189815</v>
      </c>
      <c r="B6966" s="3" t="s">
        <v>162</v>
      </c>
      <c r="C6966" s="2" t="s">
        <v>163</v>
      </c>
    </row>
    <row r="6967">
      <c r="A6967" s="1">
        <v>43674.434816967594</v>
      </c>
      <c r="B6967" s="2">
        <v>720.0</v>
      </c>
      <c r="C6967" s="2" t="s">
        <v>155</v>
      </c>
      <c r="D6967" s="2" t="s">
        <v>5</v>
      </c>
    </row>
    <row r="6968">
      <c r="A6968" s="1">
        <v>43674.43491224537</v>
      </c>
      <c r="B6968" s="2">
        <v>721.0</v>
      </c>
      <c r="C6968" s="2" t="s">
        <v>156</v>
      </c>
      <c r="D6968" s="2" t="s">
        <v>5</v>
      </c>
    </row>
    <row r="6969">
      <c r="A6969" s="1">
        <v>43674.434975208336</v>
      </c>
      <c r="B6969" s="2">
        <v>219.0</v>
      </c>
      <c r="C6969" s="2" t="s">
        <v>31</v>
      </c>
    </row>
    <row r="6970">
      <c r="A6970" s="1">
        <v>43674.43508887732</v>
      </c>
      <c r="B6970" s="2">
        <v>207.0</v>
      </c>
      <c r="C6970" s="2" t="s">
        <v>85</v>
      </c>
    </row>
    <row r="6971">
      <c r="A6971" s="1">
        <v>43674.435148668985</v>
      </c>
      <c r="B6971" s="2">
        <v>209.0</v>
      </c>
      <c r="C6971" s="2" t="s">
        <v>219</v>
      </c>
    </row>
    <row r="6972">
      <c r="A6972" s="1">
        <v>43674.4352516088</v>
      </c>
      <c r="B6972" s="2">
        <v>229.0</v>
      </c>
      <c r="C6972" s="2" t="s">
        <v>86</v>
      </c>
    </row>
    <row r="6973">
      <c r="A6973" s="1">
        <v>43674.43530935185</v>
      </c>
      <c r="B6973" s="2">
        <v>215.0</v>
      </c>
      <c r="C6973" s="2" t="s">
        <v>137</v>
      </c>
    </row>
    <row r="6974">
      <c r="A6974" s="1">
        <v>43674.43541961805</v>
      </c>
      <c r="B6974" s="3" t="s">
        <v>88</v>
      </c>
      <c r="C6974" s="2" t="s">
        <v>89</v>
      </c>
    </row>
    <row r="6975">
      <c r="A6975" s="1">
        <v>43674.435605</v>
      </c>
      <c r="B6975" s="3" t="s">
        <v>159</v>
      </c>
      <c r="C6975" s="2" t="s">
        <v>160</v>
      </c>
    </row>
    <row r="6976">
      <c r="A6976" s="1">
        <v>43674.43572421296</v>
      </c>
      <c r="B6976" s="2">
        <v>252.0</v>
      </c>
      <c r="C6976" s="2" t="s">
        <v>34</v>
      </c>
    </row>
    <row r="6977">
      <c r="A6977" s="1">
        <v>43674.43620215278</v>
      </c>
      <c r="B6977" s="2">
        <v>257.0</v>
      </c>
      <c r="C6977" s="2" t="s">
        <v>27</v>
      </c>
    </row>
    <row r="6978">
      <c r="A6978" s="1">
        <v>43674.43666530093</v>
      </c>
      <c r="B6978" s="2">
        <v>124.0</v>
      </c>
      <c r="C6978" s="2" t="s">
        <v>107</v>
      </c>
    </row>
    <row r="6979">
      <c r="A6979" s="1">
        <v>43674.43682123843</v>
      </c>
      <c r="B6979" s="2">
        <v>614.0</v>
      </c>
      <c r="C6979" s="2" t="s">
        <v>76</v>
      </c>
    </row>
    <row r="6980">
      <c r="A6980" s="1">
        <v>43674.43689949074</v>
      </c>
      <c r="B6980" s="3" t="s">
        <v>22</v>
      </c>
      <c r="C6980" s="2" t="s">
        <v>23</v>
      </c>
    </row>
    <row r="6981">
      <c r="A6981" s="1">
        <v>43674.43881424768</v>
      </c>
      <c r="B6981" s="2">
        <v>113.0</v>
      </c>
      <c r="C6981" s="2" t="s">
        <v>29</v>
      </c>
    </row>
    <row r="6982">
      <c r="A6982" s="1">
        <v>43674.43925733796</v>
      </c>
      <c r="B6982" s="2">
        <v>675.0</v>
      </c>
      <c r="C6982" s="2" t="s">
        <v>222</v>
      </c>
    </row>
    <row r="6983">
      <c r="A6983" s="1">
        <v>43674.43993090278</v>
      </c>
      <c r="B6983" s="2">
        <v>632.0</v>
      </c>
      <c r="C6983" s="2" t="s">
        <v>146</v>
      </c>
    </row>
    <row r="6984">
      <c r="A6984" s="1">
        <v>43674.44003587963</v>
      </c>
      <c r="B6984" s="2">
        <v>631.0</v>
      </c>
      <c r="C6984" s="2" t="s">
        <v>178</v>
      </c>
    </row>
    <row r="6985">
      <c r="A6985" s="1">
        <v>43674.44018534722</v>
      </c>
      <c r="B6985" s="2">
        <v>738.0</v>
      </c>
      <c r="C6985" s="2" t="s">
        <v>161</v>
      </c>
    </row>
    <row r="6986">
      <c r="A6986" s="1">
        <v>43674.440302627314</v>
      </c>
      <c r="B6986" s="2">
        <v>209.0</v>
      </c>
      <c r="C6986" s="2" t="s">
        <v>219</v>
      </c>
    </row>
    <row r="6987">
      <c r="A6987" s="1">
        <v>43674.44036570602</v>
      </c>
      <c r="B6987" s="2">
        <v>246.0</v>
      </c>
      <c r="C6987" s="2" t="s">
        <v>26</v>
      </c>
    </row>
    <row r="6988">
      <c r="A6988" s="1">
        <v>43674.44126177083</v>
      </c>
      <c r="B6988" s="3" t="s">
        <v>44</v>
      </c>
      <c r="C6988" s="2" t="s">
        <v>45</v>
      </c>
    </row>
    <row r="6989">
      <c r="A6989" s="1">
        <v>43674.44276078704</v>
      </c>
      <c r="B6989" s="3" t="s">
        <v>103</v>
      </c>
      <c r="C6989" s="2" t="s">
        <v>104</v>
      </c>
    </row>
    <row r="6990">
      <c r="A6990" s="1">
        <v>43674.44288038195</v>
      </c>
      <c r="B6990" s="3" t="s">
        <v>111</v>
      </c>
      <c r="C6990" s="2" t="s">
        <v>112</v>
      </c>
    </row>
    <row r="6991">
      <c r="A6991" s="1">
        <v>43674.443885914356</v>
      </c>
      <c r="B6991" s="2">
        <v>648.0</v>
      </c>
      <c r="C6991" s="2" t="s">
        <v>207</v>
      </c>
    </row>
    <row r="6992">
      <c r="A6992" s="1">
        <v>43674.443944479164</v>
      </c>
      <c r="B6992" s="2">
        <v>649.0</v>
      </c>
      <c r="C6992" s="2" t="s">
        <v>177</v>
      </c>
    </row>
    <row r="6993">
      <c r="A6993" s="1">
        <v>43674.44407967593</v>
      </c>
      <c r="B6993" s="2">
        <v>736.0</v>
      </c>
      <c r="C6993" s="2" t="s">
        <v>175</v>
      </c>
      <c r="D6993" s="2" t="s">
        <v>5</v>
      </c>
    </row>
    <row r="6994">
      <c r="A6994" s="1">
        <v>43674.444131805554</v>
      </c>
      <c r="B6994" s="2">
        <v>737.0</v>
      </c>
      <c r="C6994" s="2" t="s">
        <v>176</v>
      </c>
      <c r="D6994" s="2" t="s">
        <v>5</v>
      </c>
    </row>
    <row r="6995">
      <c r="A6995" s="1">
        <v>43674.44853962963</v>
      </c>
      <c r="B6995" s="3" t="s">
        <v>42</v>
      </c>
      <c r="C6995" s="2" t="s">
        <v>43</v>
      </c>
    </row>
    <row r="6996">
      <c r="A6996" s="1">
        <v>43674.44865046296</v>
      </c>
      <c r="B6996" s="2">
        <v>661.0</v>
      </c>
      <c r="C6996" s="2" t="s">
        <v>153</v>
      </c>
    </row>
    <row r="6997">
      <c r="A6997" s="1">
        <v>43674.4488169213</v>
      </c>
      <c r="B6997" s="2">
        <v>661.0</v>
      </c>
      <c r="C6997" s="2" t="s">
        <v>153</v>
      </c>
    </row>
    <row r="6998">
      <c r="A6998" s="1">
        <v>43674.44928027778</v>
      </c>
      <c r="B6998" s="3" t="s">
        <v>42</v>
      </c>
      <c r="C6998" s="2" t="s">
        <v>43</v>
      </c>
    </row>
    <row r="6999">
      <c r="A6999" s="1">
        <v>43674.45555978009</v>
      </c>
      <c r="B6999" s="3" t="s">
        <v>98</v>
      </c>
      <c r="C6999" s="2" t="s">
        <v>99</v>
      </c>
    </row>
    <row r="7000">
      <c r="A7000" s="1">
        <v>43674.455666643524</v>
      </c>
      <c r="B7000" s="2">
        <v>147.0</v>
      </c>
      <c r="C7000" s="2" t="s">
        <v>100</v>
      </c>
    </row>
    <row r="7001">
      <c r="A7001" s="1">
        <v>43674.455827453705</v>
      </c>
      <c r="B7001" s="2">
        <v>726.0</v>
      </c>
      <c r="C7001" s="2" t="s">
        <v>101</v>
      </c>
      <c r="D7001" s="2" t="s">
        <v>5</v>
      </c>
    </row>
    <row r="7002">
      <c r="A7002" s="1">
        <v>43674.455915810184</v>
      </c>
      <c r="B7002" s="2">
        <v>732.0</v>
      </c>
      <c r="C7002" s="2" t="s">
        <v>102</v>
      </c>
      <c r="D7002" s="2" t="s">
        <v>5</v>
      </c>
    </row>
    <row r="7003">
      <c r="A7003" s="1">
        <v>43674.45654150463</v>
      </c>
      <c r="B7003" s="2">
        <v>653.0</v>
      </c>
      <c r="C7003" s="2" t="s">
        <v>77</v>
      </c>
    </row>
    <row r="7004">
      <c r="A7004" s="1">
        <v>43674.45859519676</v>
      </c>
      <c r="B7004" s="2">
        <v>157.0</v>
      </c>
      <c r="C7004" s="2" t="s">
        <v>141</v>
      </c>
    </row>
    <row r="7005">
      <c r="A7005" s="1">
        <v>43674.4587853125</v>
      </c>
      <c r="B7005" s="2">
        <v>259.0</v>
      </c>
      <c r="C7005" s="2" t="s">
        <v>66</v>
      </c>
    </row>
    <row r="7006">
      <c r="A7006" s="1">
        <v>43674.980524375</v>
      </c>
      <c r="B7006" s="3" t="s">
        <v>9</v>
      </c>
      <c r="C7006" s="2" t="s">
        <v>10</v>
      </c>
    </row>
    <row r="7007">
      <c r="A7007" s="1">
        <v>43674.98067462963</v>
      </c>
      <c r="B7007" s="3" t="s">
        <v>11</v>
      </c>
      <c r="C7007" s="2" t="s">
        <v>12</v>
      </c>
    </row>
    <row r="7008">
      <c r="A7008" s="1">
        <v>43674.98079056713</v>
      </c>
      <c r="B7008" s="3" t="s">
        <v>119</v>
      </c>
      <c r="C7008" s="2" t="s">
        <v>120</v>
      </c>
    </row>
    <row r="7009">
      <c r="A7009" s="1">
        <v>43674.98184594908</v>
      </c>
      <c r="B7009" s="2">
        <v>193.0</v>
      </c>
      <c r="C7009" s="2" t="s">
        <v>30</v>
      </c>
    </row>
    <row r="7010">
      <c r="A7010" s="1">
        <v>43674.98216932871</v>
      </c>
      <c r="B7010" s="2">
        <v>237.0</v>
      </c>
      <c r="C7010" s="2" t="s">
        <v>140</v>
      </c>
    </row>
    <row r="7011">
      <c r="A7011" s="1">
        <v>43674.98308701389</v>
      </c>
      <c r="B7011" s="2">
        <v>641.0</v>
      </c>
      <c r="C7011" s="2" t="s">
        <v>210</v>
      </c>
    </row>
    <row r="7012">
      <c r="A7012" s="1">
        <v>43674.983549004624</v>
      </c>
      <c r="B7012" s="2">
        <v>705.0</v>
      </c>
      <c r="C7012" s="2" t="s">
        <v>168</v>
      </c>
      <c r="D7012" s="2" t="s">
        <v>5</v>
      </c>
    </row>
    <row r="7013">
      <c r="A7013" s="1">
        <v>43674.98367865741</v>
      </c>
      <c r="B7013" s="2">
        <v>708.0</v>
      </c>
      <c r="C7013" s="2" t="s">
        <v>4</v>
      </c>
      <c r="D7013" s="2" t="s">
        <v>5</v>
      </c>
    </row>
    <row r="7014">
      <c r="A7014" s="1">
        <v>43674.98376326389</v>
      </c>
      <c r="B7014" s="2">
        <v>709.0</v>
      </c>
      <c r="C7014" s="2" t="s">
        <v>20</v>
      </c>
      <c r="D7014" s="2" t="s">
        <v>5</v>
      </c>
    </row>
    <row r="7015">
      <c r="A7015" s="1">
        <v>43674.9838232176</v>
      </c>
      <c r="B7015" s="2">
        <v>710.0</v>
      </c>
      <c r="C7015" s="2" t="s">
        <v>21</v>
      </c>
      <c r="D7015" s="2" t="s">
        <v>5</v>
      </c>
    </row>
    <row r="7016">
      <c r="A7016" s="1">
        <v>43674.983956111115</v>
      </c>
      <c r="B7016" s="2">
        <v>713.0</v>
      </c>
      <c r="C7016" s="2" t="s">
        <v>121</v>
      </c>
      <c r="D7016" s="2" t="s">
        <v>5</v>
      </c>
    </row>
    <row r="7017">
      <c r="A7017" s="1">
        <v>43674.98401753472</v>
      </c>
      <c r="B7017" s="2">
        <v>714.0</v>
      </c>
      <c r="C7017" s="2" t="s">
        <v>122</v>
      </c>
      <c r="D7017" s="2" t="s">
        <v>5</v>
      </c>
    </row>
    <row r="7018">
      <c r="A7018" s="1">
        <v>43674.984099814814</v>
      </c>
      <c r="B7018" s="2">
        <v>716.0</v>
      </c>
      <c r="C7018" s="2" t="s">
        <v>123</v>
      </c>
      <c r="D7018" s="2" t="s">
        <v>5</v>
      </c>
    </row>
    <row r="7019">
      <c r="A7019" s="1">
        <v>43674.98430038194</v>
      </c>
      <c r="B7019" s="2">
        <v>723.0</v>
      </c>
      <c r="C7019" s="2" t="s">
        <v>84</v>
      </c>
      <c r="D7019" s="2" t="s">
        <v>5</v>
      </c>
    </row>
    <row r="7020">
      <c r="A7020" s="1">
        <v>43675.470128506946</v>
      </c>
      <c r="B7020" s="2">
        <v>267.0</v>
      </c>
      <c r="C7020" s="2" t="s">
        <v>115</v>
      </c>
    </row>
    <row r="7021">
      <c r="A7021" s="1">
        <v>43675.47049466435</v>
      </c>
      <c r="B7021" s="2">
        <v>607.0</v>
      </c>
      <c r="C7021" s="2" t="s">
        <v>68</v>
      </c>
    </row>
    <row r="7022">
      <c r="A7022" s="1">
        <v>43675.47056043982</v>
      </c>
      <c r="B7022" s="2">
        <v>603.0</v>
      </c>
      <c r="C7022" s="2" t="s">
        <v>40</v>
      </c>
    </row>
    <row r="7023">
      <c r="A7023" s="1">
        <v>43675.470804386576</v>
      </c>
      <c r="B7023" s="2">
        <v>717.0</v>
      </c>
      <c r="C7023" s="2" t="s">
        <v>152</v>
      </c>
      <c r="D7023" s="2" t="s">
        <v>5</v>
      </c>
    </row>
    <row r="7024">
      <c r="A7024" s="1">
        <v>43675.47108653936</v>
      </c>
      <c r="C7024" s="2" t="s">
        <v>19</v>
      </c>
    </row>
    <row r="7025">
      <c r="A7025" s="1">
        <v>43675.472460613426</v>
      </c>
      <c r="B7025" s="2">
        <v>117.0</v>
      </c>
      <c r="C7025" s="2" t="s">
        <v>226</v>
      </c>
    </row>
    <row r="7026">
      <c r="A7026" s="1">
        <v>43676.36221782408</v>
      </c>
      <c r="B7026" s="2">
        <v>656.0</v>
      </c>
      <c r="C7026" s="2" t="s">
        <v>144</v>
      </c>
    </row>
    <row r="7027">
      <c r="A7027" s="1">
        <v>43681.41043950232</v>
      </c>
      <c r="B7027" s="2">
        <v>602.0</v>
      </c>
      <c r="C7027" s="2" t="s">
        <v>131</v>
      </c>
    </row>
    <row r="7028">
      <c r="A7028" s="1">
        <v>43681.41132423611</v>
      </c>
      <c r="B7028" s="2">
        <v>126.0</v>
      </c>
      <c r="C7028" s="2" t="s">
        <v>87</v>
      </c>
    </row>
    <row r="7029">
      <c r="A7029" s="1">
        <v>43681.41147770833</v>
      </c>
      <c r="B7029" s="2">
        <v>219.0</v>
      </c>
      <c r="C7029" s="2" t="s">
        <v>31</v>
      </c>
    </row>
    <row r="7030">
      <c r="A7030" s="1">
        <v>43681.41154966435</v>
      </c>
      <c r="B7030" s="2">
        <v>238.0</v>
      </c>
      <c r="C7030" s="2" t="s">
        <v>35</v>
      </c>
    </row>
    <row r="7031">
      <c r="A7031" s="1">
        <v>43681.41193189815</v>
      </c>
      <c r="B7031" s="2">
        <v>167.0</v>
      </c>
      <c r="C7031" s="2" t="s">
        <v>39</v>
      </c>
    </row>
    <row r="7032">
      <c r="A7032" s="1">
        <v>43681.413848634256</v>
      </c>
      <c r="B7032" s="2">
        <v>643.0</v>
      </c>
      <c r="C7032" s="2" t="s">
        <v>166</v>
      </c>
    </row>
    <row r="7033">
      <c r="A7033" s="1">
        <v>43681.41837331018</v>
      </c>
      <c r="B7033" s="2">
        <v>246.0</v>
      </c>
      <c r="C7033" s="2" t="s">
        <v>26</v>
      </c>
    </row>
    <row r="7034">
      <c r="A7034" s="1">
        <v>43681.418543611115</v>
      </c>
      <c r="B7034" s="2">
        <v>722.0</v>
      </c>
      <c r="C7034" s="2" t="s">
        <v>25</v>
      </c>
      <c r="D7034" s="2" t="s">
        <v>5</v>
      </c>
    </row>
    <row r="7035">
      <c r="A7035" s="1">
        <v>43681.41872209491</v>
      </c>
      <c r="B7035" s="2">
        <v>738.0</v>
      </c>
      <c r="C7035" s="2" t="s">
        <v>161</v>
      </c>
    </row>
    <row r="7036">
      <c r="A7036" s="1">
        <v>43681.419492002315</v>
      </c>
      <c r="B7036" s="2">
        <v>609.0</v>
      </c>
      <c r="C7036" s="2" t="s">
        <v>179</v>
      </c>
    </row>
    <row r="7037">
      <c r="A7037" s="1">
        <v>43681.419568020836</v>
      </c>
      <c r="B7037" s="2">
        <v>604.0</v>
      </c>
      <c r="C7037" s="2" t="s">
        <v>36</v>
      </c>
    </row>
    <row r="7038">
      <c r="A7038" s="1">
        <v>43681.42036354166</v>
      </c>
      <c r="B7038" s="2">
        <v>607.0</v>
      </c>
      <c r="C7038" s="2" t="s">
        <v>68</v>
      </c>
    </row>
    <row r="7039">
      <c r="A7039" s="1">
        <v>43681.42043333333</v>
      </c>
      <c r="B7039" s="2">
        <v>262.0</v>
      </c>
      <c r="C7039" s="2" t="s">
        <v>28</v>
      </c>
    </row>
    <row r="7040">
      <c r="A7040" s="1">
        <v>43681.42053321759</v>
      </c>
      <c r="B7040" s="2">
        <v>611.0</v>
      </c>
      <c r="C7040" s="2" t="s">
        <v>143</v>
      </c>
    </row>
    <row r="7041">
      <c r="A7041" s="1">
        <v>43681.42190302083</v>
      </c>
      <c r="B7041" s="2">
        <v>614.0</v>
      </c>
      <c r="C7041" s="2" t="s">
        <v>76</v>
      </c>
    </row>
    <row r="7042">
      <c r="A7042" s="1">
        <v>43681.42295403936</v>
      </c>
      <c r="B7042" s="3" t="s">
        <v>80</v>
      </c>
      <c r="C7042" s="2" t="s">
        <v>81</v>
      </c>
    </row>
    <row r="7043">
      <c r="A7043" s="1">
        <v>43681.42364361111</v>
      </c>
      <c r="B7043" s="2">
        <v>736.0</v>
      </c>
      <c r="C7043" s="2" t="s">
        <v>175</v>
      </c>
      <c r="D7043" s="2" t="s">
        <v>5</v>
      </c>
    </row>
    <row r="7044">
      <c r="A7044" s="1">
        <v>43681.423698750004</v>
      </c>
      <c r="B7044" s="2">
        <v>737.0</v>
      </c>
      <c r="C7044" s="2" t="s">
        <v>176</v>
      </c>
      <c r="D7044" s="2" t="s">
        <v>5</v>
      </c>
    </row>
    <row r="7045">
      <c r="A7045" s="1">
        <v>43681.42395564815</v>
      </c>
      <c r="B7045" s="2">
        <v>648.0</v>
      </c>
      <c r="C7045" s="2" t="s">
        <v>207</v>
      </c>
    </row>
    <row r="7046">
      <c r="A7046" s="1">
        <v>43681.42424820602</v>
      </c>
      <c r="B7046" s="2">
        <v>270.0</v>
      </c>
      <c r="C7046" s="2" t="s">
        <v>153</v>
      </c>
    </row>
    <row r="7047">
      <c r="A7047" s="1">
        <v>43681.42436261574</v>
      </c>
      <c r="B7047" s="2">
        <v>717.0</v>
      </c>
      <c r="C7047" s="2" t="s">
        <v>152</v>
      </c>
      <c r="D7047" s="2" t="s">
        <v>5</v>
      </c>
    </row>
    <row r="7048">
      <c r="A7048" s="1">
        <v>43681.425004861114</v>
      </c>
      <c r="B7048" s="2">
        <v>259.0</v>
      </c>
      <c r="C7048" s="2" t="s">
        <v>66</v>
      </c>
    </row>
    <row r="7049">
      <c r="A7049" s="1">
        <v>43681.425432337965</v>
      </c>
      <c r="B7049" s="2">
        <v>231.0</v>
      </c>
      <c r="C7049" s="2" t="s">
        <v>61</v>
      </c>
    </row>
    <row r="7050">
      <c r="A7050" s="1">
        <v>43681.425569803236</v>
      </c>
      <c r="B7050" s="2">
        <v>173.0</v>
      </c>
      <c r="C7050" s="2" t="s">
        <v>24</v>
      </c>
    </row>
    <row r="7051">
      <c r="A7051" s="1">
        <v>43681.425731875</v>
      </c>
      <c r="B7051" s="2">
        <v>656.0</v>
      </c>
      <c r="C7051" s="2" t="s">
        <v>144</v>
      </c>
    </row>
    <row r="7052">
      <c r="A7052" s="1">
        <v>43681.42590460648</v>
      </c>
      <c r="B7052" s="2">
        <v>214.0</v>
      </c>
      <c r="C7052" s="2" t="s">
        <v>47</v>
      </c>
    </row>
    <row r="7053">
      <c r="A7053" s="1">
        <v>43681.42597644676</v>
      </c>
      <c r="B7053" s="3" t="s">
        <v>32</v>
      </c>
      <c r="C7053" s="2" t="s">
        <v>33</v>
      </c>
    </row>
    <row r="7054">
      <c r="A7054" s="1">
        <v>43681.42630668981</v>
      </c>
      <c r="B7054" s="2">
        <v>193.0</v>
      </c>
      <c r="C7054" s="2" t="s">
        <v>30</v>
      </c>
    </row>
    <row r="7055">
      <c r="A7055" s="1">
        <v>43681.426638680554</v>
      </c>
      <c r="B7055" s="3" t="s">
        <v>32</v>
      </c>
      <c r="C7055" s="2" t="s">
        <v>33</v>
      </c>
    </row>
    <row r="7056">
      <c r="A7056" s="1">
        <v>43681.426940624995</v>
      </c>
      <c r="B7056" s="2">
        <v>244.0</v>
      </c>
      <c r="C7056" s="2" t="s">
        <v>38</v>
      </c>
    </row>
    <row r="7057">
      <c r="A7057" s="1">
        <v>43681.42702261574</v>
      </c>
      <c r="B7057" s="3" t="s">
        <v>180</v>
      </c>
      <c r="C7057" s="2" t="s">
        <v>181</v>
      </c>
    </row>
    <row r="7058">
      <c r="A7058" s="1">
        <v>43681.427026562495</v>
      </c>
      <c r="B7058" s="3" t="s">
        <v>159</v>
      </c>
      <c r="C7058" s="2" t="s">
        <v>160</v>
      </c>
    </row>
    <row r="7059">
      <c r="A7059" s="1">
        <v>43681.42857267361</v>
      </c>
      <c r="B7059" s="2">
        <v>165.0</v>
      </c>
      <c r="C7059" s="2" t="s">
        <v>50</v>
      </c>
    </row>
    <row r="7060">
      <c r="A7060" s="1">
        <v>43681.42925082176</v>
      </c>
      <c r="B7060" s="2">
        <v>158.0</v>
      </c>
      <c r="C7060" s="2" t="s">
        <v>62</v>
      </c>
    </row>
    <row r="7061">
      <c r="A7061" s="1">
        <v>43681.43060878472</v>
      </c>
      <c r="B7061" s="3" t="s">
        <v>22</v>
      </c>
      <c r="C7061" s="2" t="s">
        <v>23</v>
      </c>
    </row>
    <row r="7062">
      <c r="A7062" s="1">
        <v>43681.43089886574</v>
      </c>
      <c r="B7062" s="2">
        <v>124.0</v>
      </c>
      <c r="C7062" s="2" t="s">
        <v>107</v>
      </c>
    </row>
    <row r="7063">
      <c r="A7063" s="1">
        <v>43681.4311716088</v>
      </c>
      <c r="B7063" s="2">
        <v>113.0</v>
      </c>
      <c r="C7063" s="2" t="s">
        <v>29</v>
      </c>
    </row>
    <row r="7064">
      <c r="A7064" s="1">
        <v>43681.43152056713</v>
      </c>
      <c r="B7064" s="2">
        <v>716.0</v>
      </c>
      <c r="C7064" s="2" t="s">
        <v>123</v>
      </c>
      <c r="D7064" s="2" t="s">
        <v>5</v>
      </c>
    </row>
    <row r="7065">
      <c r="A7065" s="1">
        <v>43681.43174429398</v>
      </c>
      <c r="B7065" s="3" t="s">
        <v>11</v>
      </c>
      <c r="C7065" s="2" t="s">
        <v>12</v>
      </c>
    </row>
    <row r="7066">
      <c r="A7066" s="1">
        <v>43681.432006620365</v>
      </c>
      <c r="B7066" s="2">
        <v>208.0</v>
      </c>
      <c r="C7066" s="2" t="s">
        <v>182</v>
      </c>
    </row>
    <row r="7067">
      <c r="A7067" s="1">
        <v>43681.43255182871</v>
      </c>
      <c r="B7067" s="2">
        <v>735.0</v>
      </c>
      <c r="C7067" s="2" t="s">
        <v>37</v>
      </c>
      <c r="D7067" s="2" t="s">
        <v>5</v>
      </c>
    </row>
    <row r="7068">
      <c r="A7068" s="1">
        <v>43681.43311131945</v>
      </c>
      <c r="B7068" s="2">
        <v>160.0</v>
      </c>
      <c r="C7068" s="2" t="s">
        <v>154</v>
      </c>
    </row>
    <row r="7069">
      <c r="A7069" s="1">
        <v>43681.43327840278</v>
      </c>
      <c r="B7069" s="2">
        <v>244.0</v>
      </c>
      <c r="C7069" s="2" t="s">
        <v>38</v>
      </c>
    </row>
    <row r="7070">
      <c r="A7070" s="1">
        <v>43681.43374759259</v>
      </c>
      <c r="B7070" s="3" t="s">
        <v>51</v>
      </c>
      <c r="C7070" s="2" t="s">
        <v>52</v>
      </c>
    </row>
    <row r="7071">
      <c r="A7071" s="1">
        <v>43681.43381825231</v>
      </c>
      <c r="B7071" s="3" t="s">
        <v>51</v>
      </c>
      <c r="C7071" s="2" t="s">
        <v>52</v>
      </c>
    </row>
    <row r="7072">
      <c r="A7072" s="1">
        <v>43681.43466439815</v>
      </c>
      <c r="B7072" s="3" t="s">
        <v>94</v>
      </c>
      <c r="C7072" s="2" t="s">
        <v>95</v>
      </c>
    </row>
    <row r="7073">
      <c r="A7073" s="1">
        <v>43681.43467025463</v>
      </c>
      <c r="B7073" s="3" t="s">
        <v>94</v>
      </c>
      <c r="C7073" s="2" t="s">
        <v>95</v>
      </c>
    </row>
    <row r="7074">
      <c r="A7074" s="1">
        <v>43681.4347918287</v>
      </c>
      <c r="B7074" s="2">
        <v>198.0</v>
      </c>
      <c r="C7074" s="2" t="s">
        <v>97</v>
      </c>
    </row>
    <row r="7075">
      <c r="A7075" s="1">
        <v>43681.43483932871</v>
      </c>
      <c r="B7075" s="2">
        <v>268.0</v>
      </c>
      <c r="C7075" s="2" t="s">
        <v>205</v>
      </c>
    </row>
    <row r="7076">
      <c r="A7076" s="1">
        <v>43681.434902361114</v>
      </c>
      <c r="B7076" s="3" t="s">
        <v>94</v>
      </c>
      <c r="C7076" s="2" t="s">
        <v>95</v>
      </c>
    </row>
    <row r="7077">
      <c r="A7077" s="1">
        <v>43681.4349847338</v>
      </c>
      <c r="B7077" s="2">
        <v>702.0</v>
      </c>
      <c r="C7077" s="2" t="s">
        <v>96</v>
      </c>
      <c r="D7077" s="2" t="s">
        <v>5</v>
      </c>
    </row>
    <row r="7078">
      <c r="A7078" s="1">
        <v>43681.43504138889</v>
      </c>
      <c r="B7078" s="2">
        <v>702.0</v>
      </c>
      <c r="C7078" s="2" t="s">
        <v>96</v>
      </c>
      <c r="D7078" s="2" t="s">
        <v>5</v>
      </c>
    </row>
    <row r="7079">
      <c r="A7079" s="1">
        <v>43681.436205694445</v>
      </c>
      <c r="B7079" s="3" t="s">
        <v>111</v>
      </c>
      <c r="C7079" s="2" t="s">
        <v>112</v>
      </c>
    </row>
    <row r="7080">
      <c r="A7080" s="1">
        <v>43681.43623707176</v>
      </c>
      <c r="B7080" s="3" t="s">
        <v>111</v>
      </c>
      <c r="C7080" s="2" t="s">
        <v>112</v>
      </c>
    </row>
    <row r="7081">
      <c r="A7081" s="1">
        <v>43681.43627496528</v>
      </c>
      <c r="B7081" s="3" t="s">
        <v>44</v>
      </c>
      <c r="C7081" s="2" t="s">
        <v>45</v>
      </c>
    </row>
    <row r="7082">
      <c r="A7082" s="1">
        <v>43681.43630100694</v>
      </c>
      <c r="B7082" s="3" t="s">
        <v>44</v>
      </c>
      <c r="C7082" s="2" t="s">
        <v>45</v>
      </c>
    </row>
    <row r="7083">
      <c r="A7083" s="1">
        <v>43681.436383761575</v>
      </c>
      <c r="B7083" s="2">
        <v>653.0</v>
      </c>
      <c r="C7083" s="2" t="s">
        <v>77</v>
      </c>
    </row>
    <row r="7084">
      <c r="A7084" s="1">
        <v>43681.43751875</v>
      </c>
      <c r="B7084" s="2">
        <v>677.0</v>
      </c>
      <c r="C7084" s="2" t="s">
        <v>224</v>
      </c>
    </row>
    <row r="7085">
      <c r="A7085" s="1">
        <v>43681.438335231476</v>
      </c>
      <c r="B7085" s="3" t="s">
        <v>98</v>
      </c>
      <c r="C7085" s="2" t="s">
        <v>99</v>
      </c>
    </row>
    <row r="7086">
      <c r="A7086" s="1">
        <v>43681.43836891204</v>
      </c>
      <c r="B7086" s="2">
        <v>147.0</v>
      </c>
      <c r="C7086" s="2" t="s">
        <v>100</v>
      </c>
    </row>
    <row r="7087">
      <c r="A7087" s="1">
        <v>43681.43837203704</v>
      </c>
      <c r="B7087" s="2">
        <v>147.0</v>
      </c>
      <c r="C7087" s="2" t="s">
        <v>100</v>
      </c>
    </row>
    <row r="7088">
      <c r="A7088" s="1">
        <v>43681.43846384259</v>
      </c>
      <c r="B7088" s="2">
        <v>726.0</v>
      </c>
      <c r="C7088" s="2" t="s">
        <v>101</v>
      </c>
      <c r="D7088" s="2" t="s">
        <v>5</v>
      </c>
    </row>
    <row r="7089">
      <c r="A7089" s="1">
        <v>43681.4384978125</v>
      </c>
      <c r="B7089" s="2">
        <v>732.0</v>
      </c>
      <c r="C7089" s="2" t="s">
        <v>102</v>
      </c>
      <c r="D7089" s="2" t="s">
        <v>5</v>
      </c>
    </row>
    <row r="7090">
      <c r="A7090" s="1">
        <v>43681.43901980324</v>
      </c>
      <c r="B7090" s="2">
        <v>675.0</v>
      </c>
      <c r="C7090" s="2" t="s">
        <v>222</v>
      </c>
    </row>
    <row r="7091">
      <c r="A7091" s="1">
        <v>43681.43909050926</v>
      </c>
      <c r="B7091" s="2">
        <v>655.0</v>
      </c>
      <c r="C7091" s="2" t="s">
        <v>17</v>
      </c>
    </row>
    <row r="7092">
      <c r="A7092" s="1">
        <v>43681.43918880787</v>
      </c>
      <c r="B7092" s="2">
        <v>267.0</v>
      </c>
      <c r="C7092" s="2" t="s">
        <v>115</v>
      </c>
    </row>
    <row r="7093">
      <c r="A7093" s="1">
        <v>43681.44107582176</v>
      </c>
      <c r="B7093" s="2">
        <v>257.0</v>
      </c>
      <c r="C7093" s="2" t="s">
        <v>27</v>
      </c>
    </row>
    <row r="7094">
      <c r="A7094" s="1">
        <v>43681.44185905093</v>
      </c>
      <c r="B7094" s="3" t="s">
        <v>150</v>
      </c>
      <c r="C7094" s="2" t="s">
        <v>151</v>
      </c>
    </row>
    <row r="7095">
      <c r="A7095" s="1">
        <v>43681.441947071755</v>
      </c>
      <c r="B7095" s="2">
        <v>667.0</v>
      </c>
      <c r="C7095" s="2" t="s">
        <v>73</v>
      </c>
    </row>
    <row r="7096">
      <c r="A7096" s="1">
        <v>43681.44195425926</v>
      </c>
      <c r="B7096" s="2">
        <v>706.0</v>
      </c>
      <c r="C7096" s="2" t="s">
        <v>149</v>
      </c>
      <c r="D7096" s="2" t="s">
        <v>5</v>
      </c>
    </row>
    <row r="7097">
      <c r="A7097" s="1">
        <v>43681.44287255787</v>
      </c>
      <c r="B7097" s="2">
        <v>253.0</v>
      </c>
      <c r="C7097" s="2" t="s">
        <v>138</v>
      </c>
    </row>
    <row r="7098">
      <c r="A7098" s="1">
        <v>43681.444379849534</v>
      </c>
      <c r="B7098" s="2">
        <v>114.0</v>
      </c>
      <c r="C7098" s="2" t="s">
        <v>15</v>
      </c>
    </row>
    <row r="7099">
      <c r="A7099" s="1">
        <v>43681.44446171296</v>
      </c>
      <c r="B7099" s="3" t="s">
        <v>9</v>
      </c>
      <c r="C7099" s="2" t="s">
        <v>10</v>
      </c>
    </row>
    <row r="7100">
      <c r="A7100" s="1">
        <v>43681.44457681713</v>
      </c>
      <c r="B7100" s="2">
        <v>708.0</v>
      </c>
      <c r="C7100" s="2" t="s">
        <v>4</v>
      </c>
      <c r="D7100" s="2" t="s">
        <v>5</v>
      </c>
    </row>
    <row r="7101">
      <c r="A7101" s="1">
        <v>43681.44462865741</v>
      </c>
      <c r="B7101" s="2">
        <v>709.0</v>
      </c>
      <c r="C7101" s="2" t="s">
        <v>20</v>
      </c>
      <c r="D7101" s="2" t="s">
        <v>5</v>
      </c>
    </row>
    <row r="7102">
      <c r="A7102" s="1">
        <v>43681.44467866898</v>
      </c>
      <c r="B7102" s="2">
        <v>710.0</v>
      </c>
      <c r="C7102" s="2" t="s">
        <v>21</v>
      </c>
      <c r="D7102" s="2" t="s">
        <v>5</v>
      </c>
    </row>
    <row r="7103">
      <c r="A7103" s="1">
        <v>43681.44586532407</v>
      </c>
      <c r="B7103" s="3" t="s">
        <v>88</v>
      </c>
      <c r="C7103" s="2" t="s">
        <v>89</v>
      </c>
    </row>
    <row r="7104">
      <c r="A7104" s="1">
        <v>43682.46811052083</v>
      </c>
      <c r="B7104" s="2">
        <v>229.0</v>
      </c>
      <c r="C7104" s="2" t="s">
        <v>86</v>
      </c>
    </row>
    <row r="7105">
      <c r="A7105" s="1">
        <v>43682.468966099535</v>
      </c>
      <c r="B7105" s="2">
        <v>535.0</v>
      </c>
      <c r="C7105" s="2" t="s">
        <v>208</v>
      </c>
    </row>
    <row r="7106">
      <c r="A7106" s="1">
        <v>43682.4695296875</v>
      </c>
      <c r="B7106" s="2">
        <v>52.0</v>
      </c>
      <c r="C7106" s="2" t="s">
        <v>41</v>
      </c>
    </row>
    <row r="7107">
      <c r="A7107" s="1">
        <v>43682.4698275</v>
      </c>
      <c r="C7107" s="2" t="s">
        <v>19</v>
      </c>
    </row>
    <row r="7108">
      <c r="A7108" s="1">
        <v>43682.47003604167</v>
      </c>
      <c r="B7108" s="2">
        <v>707.0</v>
      </c>
      <c r="C7108" s="2" t="s">
        <v>57</v>
      </c>
      <c r="D7108" s="2" t="s">
        <v>5</v>
      </c>
    </row>
    <row r="7109">
      <c r="A7109" s="1">
        <v>43682.470191886576</v>
      </c>
      <c r="B7109" s="2">
        <v>729.0</v>
      </c>
      <c r="C7109" s="2" t="s">
        <v>54</v>
      </c>
      <c r="D7109" s="2" t="s">
        <v>5</v>
      </c>
    </row>
    <row r="7110">
      <c r="A7110" s="1">
        <v>43682.47121887731</v>
      </c>
      <c r="B7110" s="2">
        <v>141.0</v>
      </c>
      <c r="C7110" s="2" t="s">
        <v>53</v>
      </c>
    </row>
    <row r="7111">
      <c r="A7111" s="1">
        <v>43688.401653078705</v>
      </c>
      <c r="B7111" s="2">
        <v>214.0</v>
      </c>
      <c r="C7111" s="2" t="s">
        <v>47</v>
      </c>
    </row>
    <row r="7112">
      <c r="A7112" s="1">
        <v>43688.40172540509</v>
      </c>
      <c r="B7112" s="2">
        <v>214.0</v>
      </c>
      <c r="C7112" s="2" t="s">
        <v>47</v>
      </c>
    </row>
    <row r="7113">
      <c r="A7113" s="1">
        <v>43688.42520155093</v>
      </c>
      <c r="B7113" s="2">
        <v>165.0</v>
      </c>
      <c r="C7113" s="2" t="s">
        <v>50</v>
      </c>
    </row>
    <row r="7114">
      <c r="A7114" s="1">
        <v>43688.43283806713</v>
      </c>
      <c r="B7114" s="3" t="s">
        <v>74</v>
      </c>
      <c r="C7114" s="2" t="s">
        <v>75</v>
      </c>
    </row>
    <row r="7115">
      <c r="A7115" s="1">
        <v>43688.88414127315</v>
      </c>
      <c r="B7115" s="2">
        <v>214.0</v>
      </c>
      <c r="C7115" s="2" t="s">
        <v>47</v>
      </c>
    </row>
    <row r="7116">
      <c r="A7116" s="1">
        <v>43689.94623958333</v>
      </c>
      <c r="B7116" s="2">
        <v>214.0</v>
      </c>
      <c r="C7116" s="2" t="s">
        <v>47</v>
      </c>
    </row>
    <row r="7117">
      <c r="A7117" s="1">
        <v>43695.412541550926</v>
      </c>
      <c r="B7117" s="3" t="s">
        <v>117</v>
      </c>
      <c r="C7117" s="2" t="s">
        <v>118</v>
      </c>
    </row>
    <row r="7118">
      <c r="A7118" s="1">
        <v>43695.412986828705</v>
      </c>
      <c r="B7118" s="2">
        <v>238.0</v>
      </c>
      <c r="C7118" s="2" t="s">
        <v>35</v>
      </c>
    </row>
    <row r="7119">
      <c r="A7119" s="1">
        <v>43695.413402569444</v>
      </c>
      <c r="B7119" s="2">
        <v>252.0</v>
      </c>
      <c r="C7119" s="2" t="s">
        <v>34</v>
      </c>
    </row>
    <row r="7120">
      <c r="A7120" s="1">
        <v>43695.41369980324</v>
      </c>
      <c r="B7120" s="2">
        <v>252.0</v>
      </c>
      <c r="C7120" s="2" t="s">
        <v>34</v>
      </c>
    </row>
    <row r="7121">
      <c r="A7121" s="1">
        <v>43695.41458604167</v>
      </c>
      <c r="B7121" s="2">
        <v>157.0</v>
      </c>
      <c r="C7121" s="2" t="s">
        <v>141</v>
      </c>
    </row>
    <row r="7122">
      <c r="A7122" s="1">
        <v>43695.41968756945</v>
      </c>
      <c r="B7122" s="2">
        <v>238.0</v>
      </c>
      <c r="C7122" s="2" t="s">
        <v>35</v>
      </c>
    </row>
    <row r="7123">
      <c r="A7123" s="1">
        <v>43695.41979890046</v>
      </c>
      <c r="B7123" s="2">
        <v>735.0</v>
      </c>
      <c r="C7123" s="2" t="s">
        <v>37</v>
      </c>
      <c r="D7123" s="2" t="s">
        <v>5</v>
      </c>
    </row>
    <row r="7124">
      <c r="A7124" s="1">
        <v>43695.41985519676</v>
      </c>
      <c r="B7124" s="2">
        <v>167.0</v>
      </c>
      <c r="C7124" s="2" t="s">
        <v>39</v>
      </c>
    </row>
    <row r="7125">
      <c r="A7125" s="1">
        <v>43695.42044539352</v>
      </c>
      <c r="B7125" s="2">
        <v>603.0</v>
      </c>
      <c r="C7125" s="2" t="s">
        <v>40</v>
      </c>
    </row>
    <row r="7126">
      <c r="A7126" s="1">
        <v>43695.42194512732</v>
      </c>
      <c r="B7126" s="2">
        <v>643.0</v>
      </c>
      <c r="C7126" s="2" t="s">
        <v>166</v>
      </c>
    </row>
    <row r="7127">
      <c r="A7127" s="1">
        <v>43695.42201804398</v>
      </c>
      <c r="B7127" s="2">
        <v>262.0</v>
      </c>
      <c r="C7127" s="2" t="s">
        <v>28</v>
      </c>
    </row>
    <row r="7128">
      <c r="A7128" s="1">
        <v>43695.42276107639</v>
      </c>
      <c r="B7128" s="3" t="s">
        <v>80</v>
      </c>
      <c r="C7128" s="2" t="s">
        <v>81</v>
      </c>
    </row>
    <row r="7129">
      <c r="A7129" s="1">
        <v>43695.42421383102</v>
      </c>
      <c r="B7129" s="2">
        <v>722.0</v>
      </c>
      <c r="C7129" s="2" t="s">
        <v>25</v>
      </c>
      <c r="D7129" s="2" t="s">
        <v>5</v>
      </c>
    </row>
    <row r="7130">
      <c r="A7130" s="1">
        <v>43695.42426855324</v>
      </c>
      <c r="B7130" s="2">
        <v>246.0</v>
      </c>
      <c r="C7130" s="2" t="s">
        <v>26</v>
      </c>
    </row>
    <row r="7131">
      <c r="A7131" s="1">
        <v>43695.42458493056</v>
      </c>
      <c r="B7131" s="2">
        <v>209.0</v>
      </c>
      <c r="C7131" s="2" t="s">
        <v>219</v>
      </c>
    </row>
    <row r="7132">
      <c r="A7132" s="1">
        <v>43695.424673657406</v>
      </c>
      <c r="B7132" s="2">
        <v>738.0</v>
      </c>
      <c r="C7132" s="2" t="s">
        <v>161</v>
      </c>
    </row>
    <row r="7133">
      <c r="A7133" s="1">
        <v>43695.424810462966</v>
      </c>
      <c r="B7133" s="2">
        <v>631.0</v>
      </c>
      <c r="C7133" s="2" t="s">
        <v>178</v>
      </c>
    </row>
    <row r="7134">
      <c r="A7134" s="1">
        <v>43695.42506631944</v>
      </c>
      <c r="B7134" s="2">
        <v>219.0</v>
      </c>
      <c r="C7134" s="2" t="s">
        <v>31</v>
      </c>
    </row>
    <row r="7135">
      <c r="A7135" s="1">
        <v>43695.42560563657</v>
      </c>
      <c r="B7135" s="2">
        <v>141.0</v>
      </c>
      <c r="C7135" s="2" t="s">
        <v>53</v>
      </c>
    </row>
    <row r="7136">
      <c r="A7136" s="1">
        <v>43695.425797303236</v>
      </c>
      <c r="B7136" s="2">
        <v>707.0</v>
      </c>
      <c r="C7136" s="2" t="s">
        <v>57</v>
      </c>
      <c r="D7136" s="2" t="s">
        <v>5</v>
      </c>
    </row>
    <row r="7137">
      <c r="A7137" s="1">
        <v>43695.426064976855</v>
      </c>
      <c r="B7137" s="3" t="s">
        <v>55</v>
      </c>
      <c r="C7137" s="2" t="s">
        <v>56</v>
      </c>
    </row>
    <row r="7138">
      <c r="A7138" s="1">
        <v>43695.42646271991</v>
      </c>
      <c r="B7138" s="2">
        <v>729.0</v>
      </c>
      <c r="C7138" s="2" t="s">
        <v>54</v>
      </c>
      <c r="D7138" s="2" t="s">
        <v>5</v>
      </c>
    </row>
    <row r="7139">
      <c r="A7139" s="1">
        <v>43695.42690640046</v>
      </c>
      <c r="B7139" s="2">
        <v>270.0</v>
      </c>
      <c r="C7139" s="2" t="s">
        <v>153</v>
      </c>
    </row>
    <row r="7140">
      <c r="A7140" s="1">
        <v>43695.42707979167</v>
      </c>
      <c r="B7140" s="2">
        <v>717.0</v>
      </c>
      <c r="C7140" s="2" t="s">
        <v>152</v>
      </c>
      <c r="D7140" s="2" t="s">
        <v>5</v>
      </c>
    </row>
    <row r="7141">
      <c r="A7141" s="1">
        <v>43695.42717652778</v>
      </c>
      <c r="B7141" s="2">
        <v>207.0</v>
      </c>
      <c r="C7141" s="2" t="s">
        <v>85</v>
      </c>
    </row>
    <row r="7142">
      <c r="A7142" s="1">
        <v>43695.42785449074</v>
      </c>
      <c r="B7142" s="2">
        <v>627.0</v>
      </c>
      <c r="C7142" s="2" t="s">
        <v>134</v>
      </c>
    </row>
    <row r="7143">
      <c r="A7143" s="1">
        <v>43695.42823263889</v>
      </c>
      <c r="B7143" s="2">
        <v>175.0</v>
      </c>
      <c r="C7143" s="2" t="s">
        <v>69</v>
      </c>
    </row>
    <row r="7144">
      <c r="A7144" s="1">
        <v>43695.42833145833</v>
      </c>
      <c r="B7144" s="2">
        <v>613.0</v>
      </c>
      <c r="C7144" s="2" t="s">
        <v>124</v>
      </c>
    </row>
    <row r="7145">
      <c r="A7145" s="1">
        <v>43695.42880811343</v>
      </c>
      <c r="B7145" s="2">
        <v>231.0</v>
      </c>
      <c r="C7145" s="2" t="s">
        <v>61</v>
      </c>
    </row>
    <row r="7146">
      <c r="A7146" s="1">
        <v>43695.4288821875</v>
      </c>
      <c r="B7146" s="2">
        <v>173.0</v>
      </c>
      <c r="C7146" s="2" t="s">
        <v>24</v>
      </c>
    </row>
    <row r="7147">
      <c r="A7147" s="1">
        <v>43695.42903318287</v>
      </c>
      <c r="B7147" s="2">
        <v>193.0</v>
      </c>
      <c r="C7147" s="2" t="s">
        <v>30</v>
      </c>
    </row>
    <row r="7148">
      <c r="A7148" s="1">
        <v>43695.42911745371</v>
      </c>
      <c r="B7148" s="3" t="s">
        <v>32</v>
      </c>
      <c r="C7148" s="2" t="s">
        <v>33</v>
      </c>
    </row>
    <row r="7149">
      <c r="A7149" s="1">
        <v>43695.429189953706</v>
      </c>
      <c r="B7149" s="2">
        <v>214.0</v>
      </c>
      <c r="C7149" s="2" t="s">
        <v>47</v>
      </c>
    </row>
    <row r="7150">
      <c r="A7150" s="1">
        <v>43695.42937854167</v>
      </c>
      <c r="B7150" s="2">
        <v>165.0</v>
      </c>
      <c r="C7150" s="2" t="s">
        <v>50</v>
      </c>
    </row>
    <row r="7151">
      <c r="A7151" s="1">
        <v>43695.430080509264</v>
      </c>
      <c r="B7151" s="2">
        <v>608.0</v>
      </c>
      <c r="C7151" s="2" t="s">
        <v>7</v>
      </c>
    </row>
    <row r="7152">
      <c r="A7152" s="1">
        <v>43695.43015450232</v>
      </c>
      <c r="B7152" s="3" t="s">
        <v>162</v>
      </c>
      <c r="C7152" s="2" t="s">
        <v>163</v>
      </c>
    </row>
    <row r="7153">
      <c r="A7153" s="1">
        <v>43695.430389236106</v>
      </c>
      <c r="B7153" s="2">
        <v>607.0</v>
      </c>
      <c r="C7153" s="2" t="s">
        <v>68</v>
      </c>
    </row>
    <row r="7154">
      <c r="A7154" s="1">
        <v>43695.430473113425</v>
      </c>
      <c r="B7154" s="3" t="s">
        <v>150</v>
      </c>
      <c r="C7154" s="2" t="s">
        <v>151</v>
      </c>
    </row>
    <row r="7155">
      <c r="A7155" s="1">
        <v>43695.43058523149</v>
      </c>
      <c r="B7155" s="2">
        <v>210.0</v>
      </c>
      <c r="C7155" s="2" t="s">
        <v>64</v>
      </c>
    </row>
    <row r="7156">
      <c r="A7156" s="1">
        <v>43695.43068938657</v>
      </c>
      <c r="B7156" s="2">
        <v>667.0</v>
      </c>
      <c r="C7156" s="2" t="s">
        <v>73</v>
      </c>
    </row>
    <row r="7157">
      <c r="A7157" s="1">
        <v>43695.43074655093</v>
      </c>
      <c r="B7157" s="2">
        <v>172.0</v>
      </c>
      <c r="C7157" s="2" t="s">
        <v>65</v>
      </c>
    </row>
    <row r="7158">
      <c r="A7158" s="1">
        <v>43695.43083336805</v>
      </c>
      <c r="B7158" s="2">
        <v>160.0</v>
      </c>
      <c r="C7158" s="2" t="s">
        <v>154</v>
      </c>
    </row>
    <row r="7159">
      <c r="A7159" s="1">
        <v>43695.430932013885</v>
      </c>
      <c r="B7159" s="2">
        <v>720.0</v>
      </c>
      <c r="C7159" s="2" t="s">
        <v>155</v>
      </c>
      <c r="D7159" s="2" t="s">
        <v>5</v>
      </c>
    </row>
    <row r="7160">
      <c r="A7160" s="1">
        <v>43695.4310443287</v>
      </c>
      <c r="B7160" s="2">
        <v>721.0</v>
      </c>
      <c r="C7160" s="2" t="s">
        <v>156</v>
      </c>
      <c r="D7160" s="2" t="s">
        <v>5</v>
      </c>
    </row>
    <row r="7161">
      <c r="A7161" s="1">
        <v>43695.43162368056</v>
      </c>
      <c r="B7161" s="3" t="s">
        <v>51</v>
      </c>
      <c r="C7161" s="2" t="s">
        <v>52</v>
      </c>
    </row>
    <row r="7162">
      <c r="A7162" s="1">
        <v>43695.432414166666</v>
      </c>
      <c r="B7162" s="2">
        <v>655.0</v>
      </c>
      <c r="C7162" s="2" t="s">
        <v>17</v>
      </c>
    </row>
    <row r="7163">
      <c r="A7163" s="1">
        <v>43695.43247296296</v>
      </c>
      <c r="B7163" s="2">
        <v>267.0</v>
      </c>
      <c r="C7163" s="2" t="s">
        <v>115</v>
      </c>
    </row>
    <row r="7164">
      <c r="A7164" s="1">
        <v>43695.43292585648</v>
      </c>
      <c r="B7164" s="3" t="s">
        <v>74</v>
      </c>
      <c r="C7164" s="2" t="s">
        <v>75</v>
      </c>
    </row>
    <row r="7165">
      <c r="A7165" s="1">
        <v>43695.43420290509</v>
      </c>
      <c r="B7165" s="2">
        <v>201.0</v>
      </c>
      <c r="C7165" s="2" t="s">
        <v>70</v>
      </c>
    </row>
    <row r="7166">
      <c r="A7166" s="1">
        <v>43695.43593877315</v>
      </c>
      <c r="B7166" s="2">
        <v>126.0</v>
      </c>
      <c r="C7166" s="2" t="s">
        <v>87</v>
      </c>
    </row>
    <row r="7167">
      <c r="A7167" s="1">
        <v>43695.43618967592</v>
      </c>
      <c r="B7167" s="2">
        <v>653.0</v>
      </c>
      <c r="C7167" s="2" t="s">
        <v>77</v>
      </c>
    </row>
    <row r="7168">
      <c r="A7168" s="1">
        <v>43695.436391875</v>
      </c>
      <c r="B7168" s="2">
        <v>257.0</v>
      </c>
      <c r="C7168" s="2" t="s">
        <v>27</v>
      </c>
    </row>
    <row r="7169">
      <c r="A7169" s="1">
        <v>43695.436467569445</v>
      </c>
      <c r="B7169" s="2">
        <v>701.0</v>
      </c>
      <c r="C7169" s="2" t="s">
        <v>93</v>
      </c>
      <c r="D7169" s="2" t="s">
        <v>5</v>
      </c>
    </row>
    <row r="7170">
      <c r="A7170" s="1">
        <v>43695.43659435185</v>
      </c>
      <c r="B7170" s="3" t="s">
        <v>44</v>
      </c>
      <c r="C7170" s="2" t="s">
        <v>45</v>
      </c>
    </row>
    <row r="7171">
      <c r="A7171" s="1">
        <v>43695.43665837963</v>
      </c>
      <c r="B7171" s="2">
        <v>253.0</v>
      </c>
      <c r="C7171" s="2" t="s">
        <v>138</v>
      </c>
    </row>
    <row r="7172">
      <c r="A7172" s="1">
        <v>43695.4369008912</v>
      </c>
      <c r="B7172" s="2">
        <v>208.0</v>
      </c>
      <c r="C7172" s="2" t="s">
        <v>182</v>
      </c>
    </row>
    <row r="7173">
      <c r="A7173" s="1">
        <v>43695.43753797453</v>
      </c>
      <c r="B7173" s="2">
        <v>52.0</v>
      </c>
      <c r="C7173" s="2" t="s">
        <v>41</v>
      </c>
    </row>
    <row r="7174">
      <c r="A7174" s="1">
        <v>43695.438028449076</v>
      </c>
      <c r="B7174" s="2">
        <v>673.0</v>
      </c>
      <c r="C7174" s="2" t="s">
        <v>189</v>
      </c>
    </row>
    <row r="7175">
      <c r="A7175" s="1">
        <v>43695.43824376157</v>
      </c>
      <c r="B7175" s="2">
        <v>158.0</v>
      </c>
      <c r="C7175" s="2" t="s">
        <v>62</v>
      </c>
    </row>
    <row r="7176">
      <c r="A7176" s="1">
        <v>43695.439247118054</v>
      </c>
      <c r="B7176" s="3" t="s">
        <v>98</v>
      </c>
      <c r="C7176" s="2" t="s">
        <v>99</v>
      </c>
    </row>
    <row r="7177">
      <c r="A7177" s="1">
        <v>43695.43931908565</v>
      </c>
      <c r="B7177" s="2">
        <v>147.0</v>
      </c>
      <c r="C7177" s="2" t="s">
        <v>100</v>
      </c>
    </row>
    <row r="7178">
      <c r="A7178" s="1">
        <v>43695.43939649306</v>
      </c>
      <c r="B7178" s="2">
        <v>726.0</v>
      </c>
      <c r="C7178" s="2" t="s">
        <v>101</v>
      </c>
      <c r="D7178" s="2" t="s">
        <v>5</v>
      </c>
    </row>
    <row r="7179">
      <c r="A7179" s="1">
        <v>43695.439480671295</v>
      </c>
      <c r="B7179" s="2">
        <v>732.0</v>
      </c>
      <c r="C7179" s="2" t="s">
        <v>102</v>
      </c>
      <c r="D7179" s="2" t="s">
        <v>5</v>
      </c>
    </row>
    <row r="7180">
      <c r="A7180" s="1">
        <v>43695.43971329861</v>
      </c>
      <c r="B7180" s="3" t="s">
        <v>88</v>
      </c>
      <c r="C7180" s="2" t="s">
        <v>89</v>
      </c>
    </row>
    <row r="7181">
      <c r="A7181" s="1">
        <v>43695.439802685185</v>
      </c>
      <c r="B7181" s="3" t="s">
        <v>22</v>
      </c>
      <c r="C7181" s="2" t="s">
        <v>23</v>
      </c>
    </row>
    <row r="7182">
      <c r="A7182" s="1">
        <v>43695.4403122338</v>
      </c>
      <c r="B7182" s="2">
        <v>632.0</v>
      </c>
      <c r="C7182" s="2" t="s">
        <v>146</v>
      </c>
    </row>
    <row r="7183">
      <c r="A7183" s="1">
        <v>43695.4409404051</v>
      </c>
      <c r="B7183" s="3" t="s">
        <v>159</v>
      </c>
      <c r="C7183" s="2" t="s">
        <v>160</v>
      </c>
    </row>
    <row r="7184">
      <c r="A7184" s="1">
        <v>43695.44148548611</v>
      </c>
      <c r="B7184" s="2">
        <v>254.0</v>
      </c>
      <c r="C7184" s="2" t="s">
        <v>132</v>
      </c>
    </row>
    <row r="7185">
      <c r="A7185" s="1">
        <v>43695.442441481486</v>
      </c>
      <c r="B7185" s="2">
        <v>611.0</v>
      </c>
      <c r="C7185" s="2" t="s">
        <v>143</v>
      </c>
    </row>
    <row r="7186">
      <c r="A7186" s="1">
        <v>43695.442523645834</v>
      </c>
      <c r="B7186" s="2">
        <v>611.0</v>
      </c>
      <c r="C7186" s="2" t="s">
        <v>143</v>
      </c>
    </row>
    <row r="7187">
      <c r="A7187" s="1">
        <v>43695.44281043981</v>
      </c>
      <c r="B7187" s="3" t="s">
        <v>113</v>
      </c>
      <c r="C7187" s="2" t="s">
        <v>114</v>
      </c>
    </row>
    <row r="7188">
      <c r="A7188" s="1">
        <v>43695.442878981485</v>
      </c>
      <c r="B7188" s="2">
        <v>101.0</v>
      </c>
      <c r="C7188" s="2" t="s">
        <v>108</v>
      </c>
    </row>
    <row r="7189">
      <c r="A7189" s="1">
        <v>43695.443000555555</v>
      </c>
      <c r="B7189" s="2">
        <v>124.0</v>
      </c>
      <c r="C7189" s="2" t="s">
        <v>107</v>
      </c>
    </row>
    <row r="7190">
      <c r="A7190" s="1">
        <v>43695.44310790509</v>
      </c>
      <c r="B7190" s="2">
        <v>718.0</v>
      </c>
      <c r="C7190" s="2" t="s">
        <v>105</v>
      </c>
      <c r="D7190" s="2" t="s">
        <v>5</v>
      </c>
    </row>
    <row r="7191">
      <c r="A7191" s="1">
        <v>43695.44321619213</v>
      </c>
      <c r="B7191" s="2">
        <v>719.0</v>
      </c>
      <c r="C7191" s="2" t="s">
        <v>106</v>
      </c>
      <c r="D7191" s="2" t="s">
        <v>5</v>
      </c>
    </row>
    <row r="7192">
      <c r="A7192" s="1">
        <v>43695.4502980324</v>
      </c>
      <c r="B7192" s="2">
        <v>604.0</v>
      </c>
      <c r="C7192" s="2" t="s">
        <v>36</v>
      </c>
    </row>
    <row r="7193">
      <c r="A7193" s="1">
        <v>43695.475204664355</v>
      </c>
      <c r="B7193" s="2">
        <v>708.0</v>
      </c>
      <c r="C7193" s="2" t="s">
        <v>4</v>
      </c>
      <c r="D7193" s="2" t="s">
        <v>5</v>
      </c>
    </row>
    <row r="7194">
      <c r="A7194" s="1">
        <v>43695.475288078705</v>
      </c>
      <c r="B7194" s="2">
        <v>709.0</v>
      </c>
      <c r="C7194" s="2" t="s">
        <v>20</v>
      </c>
      <c r="D7194" s="2" t="s">
        <v>5</v>
      </c>
    </row>
    <row r="7195">
      <c r="A7195" s="1">
        <v>43695.475369884254</v>
      </c>
      <c r="B7195" s="2">
        <v>710.0</v>
      </c>
      <c r="C7195" s="2" t="s">
        <v>21</v>
      </c>
      <c r="D7195" s="2" t="s">
        <v>5</v>
      </c>
    </row>
    <row r="7196">
      <c r="A7196" s="1">
        <v>43695.475800995366</v>
      </c>
      <c r="B7196" s="2">
        <v>114.0</v>
      </c>
      <c r="C7196" s="2" t="s">
        <v>15</v>
      </c>
    </row>
    <row r="7197">
      <c r="A7197" s="1">
        <v>43695.476290555554</v>
      </c>
      <c r="B7197" s="3" t="s">
        <v>9</v>
      </c>
      <c r="C7197" s="2" t="s">
        <v>10</v>
      </c>
    </row>
    <row r="7198">
      <c r="A7198" s="1">
        <v>43695.47658030092</v>
      </c>
      <c r="B7198" s="3" t="s">
        <v>11</v>
      </c>
      <c r="C7198" s="2" t="s">
        <v>12</v>
      </c>
    </row>
    <row r="7199">
      <c r="A7199" s="1">
        <v>43695.47716541667</v>
      </c>
      <c r="B7199" s="3" t="s">
        <v>126</v>
      </c>
      <c r="C7199" s="2" t="s">
        <v>127</v>
      </c>
    </row>
    <row r="7200">
      <c r="A7200" s="1">
        <v>43695.94166055556</v>
      </c>
      <c r="B7200" s="2">
        <v>675.0</v>
      </c>
      <c r="C7200" s="2" t="s">
        <v>222</v>
      </c>
    </row>
    <row r="7201">
      <c r="A7201" s="1">
        <v>43695.942204618055</v>
      </c>
      <c r="B7201" s="2">
        <v>713.0</v>
      </c>
      <c r="C7201" s="2" t="s">
        <v>121</v>
      </c>
      <c r="D7201" s="2" t="s">
        <v>5</v>
      </c>
    </row>
    <row r="7202">
      <c r="A7202" s="1">
        <v>43695.9422740625</v>
      </c>
      <c r="B7202" s="2">
        <v>714.0</v>
      </c>
      <c r="C7202" s="2" t="s">
        <v>122</v>
      </c>
      <c r="D7202" s="2" t="s">
        <v>5</v>
      </c>
    </row>
    <row r="7203">
      <c r="A7203" s="1">
        <v>43695.94239181713</v>
      </c>
      <c r="B7203" s="3" t="s">
        <v>119</v>
      </c>
      <c r="C7203" s="2" t="s">
        <v>120</v>
      </c>
    </row>
    <row r="7204">
      <c r="A7204" s="1">
        <v>43695.942641284724</v>
      </c>
      <c r="B7204" s="2">
        <v>716.0</v>
      </c>
      <c r="C7204" s="2" t="s">
        <v>123</v>
      </c>
      <c r="D7204" s="2" t="s">
        <v>5</v>
      </c>
    </row>
    <row r="7205">
      <c r="A7205" s="1">
        <v>43699.636140648145</v>
      </c>
      <c r="B7205" s="2">
        <v>611.0</v>
      </c>
      <c r="C7205" s="2" t="s">
        <v>143</v>
      </c>
    </row>
    <row r="7206">
      <c r="A7206" s="1">
        <v>43702.39132113426</v>
      </c>
      <c r="B7206" s="2">
        <v>611.0</v>
      </c>
      <c r="C7206" s="2" t="s">
        <v>143</v>
      </c>
    </row>
    <row r="7207">
      <c r="A7207" s="1">
        <v>43702.41415660879</v>
      </c>
      <c r="B7207" s="2">
        <v>735.0</v>
      </c>
      <c r="C7207" s="2" t="s">
        <v>37</v>
      </c>
      <c r="D7207" s="2" t="s">
        <v>5</v>
      </c>
    </row>
    <row r="7208">
      <c r="A7208" s="1">
        <v>43702.423998750004</v>
      </c>
      <c r="B7208" s="2">
        <v>603.0</v>
      </c>
      <c r="C7208" s="2" t="s">
        <v>40</v>
      </c>
    </row>
    <row r="7209">
      <c r="A7209" s="1">
        <v>43702.4240425926</v>
      </c>
      <c r="B7209" s="2">
        <v>604.0</v>
      </c>
      <c r="C7209" s="2" t="s">
        <v>36</v>
      </c>
    </row>
    <row r="7210">
      <c r="A7210" s="1">
        <v>43702.42414885417</v>
      </c>
      <c r="B7210" s="2">
        <v>244.0</v>
      </c>
      <c r="C7210" s="2" t="s">
        <v>38</v>
      </c>
    </row>
    <row r="7211">
      <c r="A7211" s="1">
        <v>43702.42482172453</v>
      </c>
      <c r="B7211" s="2">
        <v>165.0</v>
      </c>
      <c r="C7211" s="2" t="s">
        <v>50</v>
      </c>
    </row>
    <row r="7212">
      <c r="A7212" s="1">
        <v>43702.425330011574</v>
      </c>
      <c r="B7212" s="2">
        <v>653.0</v>
      </c>
      <c r="C7212" s="2" t="s">
        <v>77</v>
      </c>
    </row>
    <row r="7213">
      <c r="A7213" s="1">
        <v>43702.42607789351</v>
      </c>
      <c r="B7213" s="2">
        <v>262.0</v>
      </c>
      <c r="C7213" s="2" t="s">
        <v>28</v>
      </c>
    </row>
    <row r="7214">
      <c r="A7214" s="1">
        <v>43702.426302604166</v>
      </c>
      <c r="B7214" s="2">
        <v>611.0</v>
      </c>
      <c r="C7214" s="2" t="s">
        <v>143</v>
      </c>
    </row>
    <row r="7215">
      <c r="A7215" s="1">
        <v>43702.42644833333</v>
      </c>
      <c r="B7215" s="2">
        <v>607.0</v>
      </c>
      <c r="C7215" s="2" t="s">
        <v>68</v>
      </c>
    </row>
    <row r="7216">
      <c r="A7216" s="1">
        <v>43702.426883912034</v>
      </c>
      <c r="B7216" s="2">
        <v>201.0</v>
      </c>
      <c r="C7216" s="2" t="s">
        <v>70</v>
      </c>
    </row>
    <row r="7217">
      <c r="A7217" s="1">
        <v>43702.42919796296</v>
      </c>
      <c r="B7217" s="2">
        <v>193.0</v>
      </c>
      <c r="C7217" s="2" t="s">
        <v>30</v>
      </c>
    </row>
    <row r="7218">
      <c r="A7218" s="1">
        <v>43702.42948265046</v>
      </c>
      <c r="B7218" s="3" t="s">
        <v>55</v>
      </c>
      <c r="C7218" s="2" t="s">
        <v>56</v>
      </c>
    </row>
    <row r="7219">
      <c r="A7219" s="1">
        <v>43702.429490509254</v>
      </c>
      <c r="B7219" s="2">
        <v>231.0</v>
      </c>
      <c r="C7219" s="2" t="s">
        <v>61</v>
      </c>
    </row>
    <row r="7220">
      <c r="A7220" s="1">
        <v>43702.42954449074</v>
      </c>
      <c r="B7220" s="2">
        <v>173.0</v>
      </c>
      <c r="C7220" s="2" t="s">
        <v>24</v>
      </c>
    </row>
    <row r="7221">
      <c r="A7221" s="1">
        <v>43702.42960099537</v>
      </c>
      <c r="B7221" s="3" t="s">
        <v>32</v>
      </c>
      <c r="C7221" s="2" t="s">
        <v>33</v>
      </c>
    </row>
    <row r="7222">
      <c r="A7222" s="1">
        <v>43702.42983648148</v>
      </c>
      <c r="B7222" s="2">
        <v>707.0</v>
      </c>
      <c r="C7222" s="2" t="s">
        <v>57</v>
      </c>
      <c r="D7222" s="2" t="s">
        <v>5</v>
      </c>
    </row>
    <row r="7223">
      <c r="A7223" s="1">
        <v>43702.43016392361</v>
      </c>
      <c r="B7223" s="2">
        <v>729.0</v>
      </c>
      <c r="C7223" s="2" t="s">
        <v>54</v>
      </c>
      <c r="D7223" s="2" t="s">
        <v>5</v>
      </c>
    </row>
    <row r="7224">
      <c r="A7224" s="1">
        <v>43702.431605439815</v>
      </c>
      <c r="B7224" s="3" t="s">
        <v>51</v>
      </c>
      <c r="C7224" s="2" t="s">
        <v>52</v>
      </c>
    </row>
    <row r="7225">
      <c r="A7225" s="1">
        <v>43702.4320293287</v>
      </c>
      <c r="B7225" s="2">
        <v>214.0</v>
      </c>
      <c r="C7225" s="2" t="s">
        <v>47</v>
      </c>
    </row>
    <row r="7226">
      <c r="A7226" s="1">
        <v>43702.432425335646</v>
      </c>
      <c r="C7226" s="2" t="s">
        <v>196</v>
      </c>
    </row>
    <row r="7227">
      <c r="A7227" s="1">
        <v>43702.43299094908</v>
      </c>
      <c r="B7227" s="2">
        <v>252.0</v>
      </c>
      <c r="C7227" s="2" t="s">
        <v>34</v>
      </c>
    </row>
    <row r="7228">
      <c r="A7228" s="1">
        <v>43702.433150428245</v>
      </c>
      <c r="B7228" s="2">
        <v>733.0</v>
      </c>
      <c r="C7228" s="2" t="s">
        <v>110</v>
      </c>
      <c r="D7228" s="2" t="s">
        <v>5</v>
      </c>
    </row>
    <row r="7229">
      <c r="A7229" s="1">
        <v>43702.43321690972</v>
      </c>
      <c r="B7229" s="2">
        <v>723.0</v>
      </c>
      <c r="C7229" s="2" t="s">
        <v>84</v>
      </c>
      <c r="D7229" s="2" t="s">
        <v>5</v>
      </c>
    </row>
    <row r="7230">
      <c r="A7230" s="1">
        <v>43702.433409351856</v>
      </c>
      <c r="B7230" s="3" t="s">
        <v>78</v>
      </c>
      <c r="C7230" s="2" t="s">
        <v>79</v>
      </c>
    </row>
    <row r="7231">
      <c r="A7231" s="1">
        <v>43702.4334762963</v>
      </c>
      <c r="B7231" s="3" t="s">
        <v>44</v>
      </c>
      <c r="C7231" s="2" t="s">
        <v>45</v>
      </c>
    </row>
    <row r="7232">
      <c r="A7232" s="1">
        <v>43702.43387471065</v>
      </c>
      <c r="B7232" s="2">
        <v>172.0</v>
      </c>
      <c r="C7232" s="2" t="s">
        <v>65</v>
      </c>
    </row>
    <row r="7233">
      <c r="A7233" s="1">
        <v>43702.43393223379</v>
      </c>
      <c r="B7233" s="2">
        <v>208.0</v>
      </c>
      <c r="C7233" s="2" t="s">
        <v>182</v>
      </c>
    </row>
    <row r="7234">
      <c r="A7234" s="1">
        <v>43702.43397662037</v>
      </c>
      <c r="B7234" s="2">
        <v>210.0</v>
      </c>
      <c r="C7234" s="2" t="s">
        <v>64</v>
      </c>
    </row>
    <row r="7235">
      <c r="A7235" s="1">
        <v>43702.43409497685</v>
      </c>
      <c r="B7235" s="3" t="s">
        <v>82</v>
      </c>
      <c r="C7235" s="2" t="s">
        <v>83</v>
      </c>
    </row>
    <row r="7236">
      <c r="A7236" s="1">
        <v>43702.43515800926</v>
      </c>
      <c r="B7236" s="2">
        <v>614.0</v>
      </c>
      <c r="C7236" s="2" t="s">
        <v>76</v>
      </c>
    </row>
    <row r="7237">
      <c r="A7237" s="1">
        <v>43702.43559886574</v>
      </c>
      <c r="B7237" s="2">
        <v>201.0</v>
      </c>
      <c r="C7237" s="2" t="s">
        <v>70</v>
      </c>
    </row>
    <row r="7238">
      <c r="A7238" s="1">
        <v>43702.43564560185</v>
      </c>
      <c r="B7238" s="2">
        <v>172.0</v>
      </c>
      <c r="C7238" s="2" t="s">
        <v>65</v>
      </c>
    </row>
    <row r="7239">
      <c r="A7239" s="1">
        <v>43702.43687755787</v>
      </c>
      <c r="B7239" s="2">
        <v>613.0</v>
      </c>
      <c r="C7239" s="2" t="s">
        <v>124</v>
      </c>
    </row>
    <row r="7240">
      <c r="A7240" s="1">
        <v>43702.43691892361</v>
      </c>
      <c r="B7240" s="3" t="s">
        <v>98</v>
      </c>
      <c r="C7240" s="2" t="s">
        <v>99</v>
      </c>
    </row>
    <row r="7241">
      <c r="A7241" s="1">
        <v>43702.43705146991</v>
      </c>
      <c r="B7241" s="2">
        <v>701.0</v>
      </c>
      <c r="C7241" s="2" t="s">
        <v>93</v>
      </c>
      <c r="D7241" s="2" t="s">
        <v>5</v>
      </c>
    </row>
    <row r="7242">
      <c r="A7242" s="1">
        <v>43702.437222650464</v>
      </c>
      <c r="B7242" s="2">
        <v>627.0</v>
      </c>
      <c r="C7242" s="2" t="s">
        <v>134</v>
      </c>
    </row>
    <row r="7243">
      <c r="A7243" s="1">
        <v>43702.43724829861</v>
      </c>
      <c r="B7243" s="3" t="s">
        <v>88</v>
      </c>
      <c r="C7243" s="2" t="s">
        <v>89</v>
      </c>
    </row>
    <row r="7244">
      <c r="A7244" s="1">
        <v>43702.43731978009</v>
      </c>
      <c r="B7244" s="2">
        <v>602.0</v>
      </c>
      <c r="C7244" s="2" t="s">
        <v>131</v>
      </c>
    </row>
    <row r="7245">
      <c r="A7245" s="1">
        <v>43702.43752361111</v>
      </c>
      <c r="B7245" s="2">
        <v>677.0</v>
      </c>
      <c r="C7245" s="2" t="s">
        <v>224</v>
      </c>
    </row>
    <row r="7246">
      <c r="A7246" s="1">
        <v>43702.43757071759</v>
      </c>
      <c r="B7246" s="2">
        <v>147.0</v>
      </c>
      <c r="C7246" s="2" t="s">
        <v>100</v>
      </c>
    </row>
    <row r="7247">
      <c r="A7247" s="1">
        <v>43702.43759785879</v>
      </c>
      <c r="B7247" s="3" t="s">
        <v>103</v>
      </c>
      <c r="C7247" s="2" t="s">
        <v>104</v>
      </c>
    </row>
    <row r="7248">
      <c r="A7248" s="1">
        <v>43702.43778724537</v>
      </c>
      <c r="B7248" s="3" t="s">
        <v>150</v>
      </c>
      <c r="C7248" s="2" t="s">
        <v>151</v>
      </c>
    </row>
    <row r="7249">
      <c r="A7249" s="1">
        <v>43702.43789671296</v>
      </c>
      <c r="B7249" s="3" t="s">
        <v>22</v>
      </c>
      <c r="C7249" s="2" t="s">
        <v>23</v>
      </c>
    </row>
    <row r="7250">
      <c r="A7250" s="1">
        <v>43702.43794467593</v>
      </c>
      <c r="B7250" s="2">
        <v>667.0</v>
      </c>
      <c r="C7250" s="2" t="s">
        <v>73</v>
      </c>
    </row>
    <row r="7251">
      <c r="A7251" s="1">
        <v>43702.43802152778</v>
      </c>
      <c r="B7251" s="2">
        <v>706.0</v>
      </c>
      <c r="C7251" s="2" t="s">
        <v>149</v>
      </c>
      <c r="D7251" s="2" t="s">
        <v>5</v>
      </c>
    </row>
    <row r="7252">
      <c r="A7252" s="1">
        <v>43702.4380480324</v>
      </c>
      <c r="B7252" s="2">
        <v>726.0</v>
      </c>
      <c r="C7252" s="2" t="s">
        <v>101</v>
      </c>
      <c r="D7252" s="2" t="s">
        <v>5</v>
      </c>
    </row>
    <row r="7253">
      <c r="A7253" s="1">
        <v>43702.438158530094</v>
      </c>
      <c r="B7253" s="2">
        <v>736.0</v>
      </c>
      <c r="C7253" s="2" t="s">
        <v>175</v>
      </c>
      <c r="D7253" s="2" t="s">
        <v>5</v>
      </c>
    </row>
    <row r="7254">
      <c r="A7254" s="1">
        <v>43702.43817983796</v>
      </c>
      <c r="B7254" s="2">
        <v>175.0</v>
      </c>
      <c r="C7254" s="2" t="s">
        <v>69</v>
      </c>
    </row>
    <row r="7255">
      <c r="A7255" s="1">
        <v>43702.43823990741</v>
      </c>
      <c r="B7255" s="2">
        <v>737.0</v>
      </c>
      <c r="C7255" s="2" t="s">
        <v>176</v>
      </c>
      <c r="D7255" s="2" t="s">
        <v>5</v>
      </c>
    </row>
    <row r="7256">
      <c r="A7256" s="1">
        <v>43702.43824754629</v>
      </c>
      <c r="B7256" s="2">
        <v>158.0</v>
      </c>
      <c r="C7256" s="2" t="s">
        <v>62</v>
      </c>
    </row>
    <row r="7257">
      <c r="A7257" s="1">
        <v>43702.43856116898</v>
      </c>
      <c r="B7257" s="2">
        <v>675.0</v>
      </c>
      <c r="C7257" s="2" t="s">
        <v>222</v>
      </c>
    </row>
    <row r="7258">
      <c r="A7258" s="1">
        <v>43702.43867390046</v>
      </c>
      <c r="B7258" s="2">
        <v>732.0</v>
      </c>
      <c r="C7258" s="2" t="s">
        <v>102</v>
      </c>
      <c r="D7258" s="2" t="s">
        <v>5</v>
      </c>
    </row>
    <row r="7259">
      <c r="A7259" s="1">
        <v>43702.43881166667</v>
      </c>
      <c r="B7259" s="2">
        <v>160.0</v>
      </c>
      <c r="C7259" s="2" t="s">
        <v>154</v>
      </c>
    </row>
    <row r="7260">
      <c r="A7260" s="1">
        <v>43702.43885268518</v>
      </c>
      <c r="B7260" s="2">
        <v>655.0</v>
      </c>
      <c r="C7260" s="2" t="s">
        <v>17</v>
      </c>
    </row>
    <row r="7261">
      <c r="A7261" s="1">
        <v>43702.43887021991</v>
      </c>
      <c r="B7261" s="3" t="s">
        <v>162</v>
      </c>
      <c r="C7261" s="2" t="s">
        <v>163</v>
      </c>
    </row>
    <row r="7262">
      <c r="A7262" s="1">
        <v>43702.43895766204</v>
      </c>
      <c r="B7262" s="2">
        <v>720.0</v>
      </c>
      <c r="C7262" s="2" t="s">
        <v>155</v>
      </c>
      <c r="D7262" s="2" t="s">
        <v>5</v>
      </c>
    </row>
    <row r="7263">
      <c r="A7263" s="1">
        <v>43702.43899443287</v>
      </c>
      <c r="B7263" s="2">
        <v>648.0</v>
      </c>
      <c r="C7263" s="2" t="s">
        <v>207</v>
      </c>
    </row>
    <row r="7264">
      <c r="A7264" s="1">
        <v>43702.43902173611</v>
      </c>
      <c r="B7264" s="2">
        <v>721.0</v>
      </c>
      <c r="C7264" s="2" t="s">
        <v>156</v>
      </c>
      <c r="D7264" s="2" t="s">
        <v>5</v>
      </c>
    </row>
    <row r="7265">
      <c r="A7265" s="1">
        <v>43702.43912207176</v>
      </c>
      <c r="B7265" s="2">
        <v>158.0</v>
      </c>
      <c r="C7265" s="2" t="s">
        <v>62</v>
      </c>
    </row>
    <row r="7266">
      <c r="A7266" s="1">
        <v>43702.44012922454</v>
      </c>
      <c r="B7266" s="3" t="s">
        <v>74</v>
      </c>
      <c r="C7266" s="2" t="s">
        <v>75</v>
      </c>
    </row>
    <row r="7267">
      <c r="A7267" s="1">
        <v>43702.440138668986</v>
      </c>
      <c r="B7267" s="3" t="s">
        <v>94</v>
      </c>
      <c r="C7267" s="2" t="s">
        <v>95</v>
      </c>
    </row>
    <row r="7268">
      <c r="A7268" s="1">
        <v>43702.44014821759</v>
      </c>
      <c r="B7268" s="2">
        <v>126.0</v>
      </c>
      <c r="C7268" s="2" t="s">
        <v>87</v>
      </c>
    </row>
    <row r="7269">
      <c r="A7269" s="1">
        <v>43702.440248287036</v>
      </c>
      <c r="B7269" s="2">
        <v>702.0</v>
      </c>
      <c r="C7269" s="2" t="s">
        <v>96</v>
      </c>
      <c r="D7269" s="2" t="s">
        <v>5</v>
      </c>
    </row>
    <row r="7270">
      <c r="A7270" s="1">
        <v>43702.44035350694</v>
      </c>
      <c r="B7270" s="2">
        <v>268.0</v>
      </c>
      <c r="C7270" s="2" t="s">
        <v>205</v>
      </c>
    </row>
    <row r="7271">
      <c r="A7271" s="1">
        <v>43702.440447546294</v>
      </c>
      <c r="B7271" s="2">
        <v>198.0</v>
      </c>
      <c r="C7271" s="2" t="s">
        <v>97</v>
      </c>
    </row>
    <row r="7272">
      <c r="A7272" s="1">
        <v>43702.44100681713</v>
      </c>
      <c r="B7272" s="2">
        <v>618.0</v>
      </c>
      <c r="C7272" s="2" t="s">
        <v>147</v>
      </c>
    </row>
    <row r="7273">
      <c r="A7273" s="1">
        <v>43702.44141254629</v>
      </c>
      <c r="B7273" s="2">
        <v>229.0</v>
      </c>
      <c r="C7273" s="2" t="s">
        <v>86</v>
      </c>
    </row>
    <row r="7274">
      <c r="A7274" s="1">
        <v>43702.44232607639</v>
      </c>
      <c r="B7274" s="2">
        <v>267.0</v>
      </c>
      <c r="C7274" s="2" t="s">
        <v>115</v>
      </c>
    </row>
    <row r="7275">
      <c r="A7275" s="1">
        <v>43702.44389819444</v>
      </c>
      <c r="B7275" s="2">
        <v>101.0</v>
      </c>
      <c r="C7275" s="2" t="s">
        <v>108</v>
      </c>
    </row>
    <row r="7276">
      <c r="A7276" s="1">
        <v>43702.44399782407</v>
      </c>
      <c r="B7276" s="2">
        <v>124.0</v>
      </c>
      <c r="C7276" s="2" t="s">
        <v>107</v>
      </c>
    </row>
    <row r="7277">
      <c r="A7277" s="1">
        <v>43702.444010057865</v>
      </c>
      <c r="B7277" s="2">
        <v>718.0</v>
      </c>
      <c r="C7277" s="2" t="s">
        <v>105</v>
      </c>
      <c r="D7277" s="2" t="s">
        <v>5</v>
      </c>
    </row>
    <row r="7278">
      <c r="A7278" s="1">
        <v>43702.44406475694</v>
      </c>
      <c r="B7278" s="2">
        <v>719.0</v>
      </c>
      <c r="C7278" s="2" t="s">
        <v>106</v>
      </c>
      <c r="D7278" s="2" t="s">
        <v>5</v>
      </c>
    </row>
    <row r="7279">
      <c r="A7279" s="1">
        <v>43702.44409474537</v>
      </c>
      <c r="B7279" s="3" t="s">
        <v>113</v>
      </c>
      <c r="C7279" s="2" t="s">
        <v>114</v>
      </c>
    </row>
    <row r="7280">
      <c r="A7280" s="1">
        <v>43702.4455506713</v>
      </c>
      <c r="B7280" s="3" t="s">
        <v>42</v>
      </c>
      <c r="C7280" s="2" t="s">
        <v>43</v>
      </c>
    </row>
    <row r="7281">
      <c r="A7281" s="1">
        <v>43702.50757765047</v>
      </c>
      <c r="B7281" s="2">
        <v>611.0</v>
      </c>
      <c r="C7281" s="2" t="s">
        <v>143</v>
      </c>
    </row>
    <row r="7282">
      <c r="A7282" s="1">
        <v>43702.75616763889</v>
      </c>
      <c r="B7282" s="3" t="s">
        <v>119</v>
      </c>
      <c r="C7282" s="2" t="s">
        <v>120</v>
      </c>
    </row>
    <row r="7283">
      <c r="A7283" s="1">
        <v>43702.75630603009</v>
      </c>
      <c r="B7283" s="3" t="s">
        <v>159</v>
      </c>
      <c r="C7283" s="2" t="s">
        <v>160</v>
      </c>
    </row>
    <row r="7284">
      <c r="A7284" s="1">
        <v>43702.75638832176</v>
      </c>
      <c r="B7284" s="3" t="s">
        <v>80</v>
      </c>
      <c r="C7284" s="2" t="s">
        <v>81</v>
      </c>
    </row>
    <row r="7285">
      <c r="A7285" s="1">
        <v>43702.890332939816</v>
      </c>
      <c r="B7285" s="2">
        <v>611.0</v>
      </c>
      <c r="C7285" s="2" t="s">
        <v>143</v>
      </c>
    </row>
    <row r="7286">
      <c r="A7286" s="1">
        <v>43703.63515688658</v>
      </c>
      <c r="B7286" s="2">
        <v>141.0</v>
      </c>
      <c r="C7286" s="2" t="s">
        <v>53</v>
      </c>
    </row>
    <row r="7287">
      <c r="A7287" s="1">
        <v>43703.63531493055</v>
      </c>
      <c r="B7287" s="2">
        <v>167.0</v>
      </c>
      <c r="C7287" s="2" t="s">
        <v>39</v>
      </c>
    </row>
    <row r="7288">
      <c r="A7288" s="1">
        <v>43703.635459745376</v>
      </c>
      <c r="B7288" s="2">
        <v>253.0</v>
      </c>
      <c r="C7288" s="2" t="s">
        <v>138</v>
      </c>
    </row>
    <row r="7289">
      <c r="A7289" s="1">
        <v>43703.6375208449</v>
      </c>
      <c r="B7289" s="2">
        <v>713.0</v>
      </c>
      <c r="C7289" s="2" t="s">
        <v>121</v>
      </c>
      <c r="D7289" s="2" t="s">
        <v>5</v>
      </c>
    </row>
    <row r="7290">
      <c r="A7290" s="1">
        <v>43703.63759450232</v>
      </c>
      <c r="B7290" s="2">
        <v>714.0</v>
      </c>
      <c r="C7290" s="2" t="s">
        <v>122</v>
      </c>
      <c r="D7290" s="2" t="s">
        <v>5</v>
      </c>
    </row>
    <row r="7291">
      <c r="A7291" s="1">
        <v>43704.43520359954</v>
      </c>
      <c r="B7291" s="3" t="s">
        <v>117</v>
      </c>
      <c r="C7291" s="2" t="s">
        <v>118</v>
      </c>
    </row>
    <row r="7292">
      <c r="A7292" s="1">
        <v>43704.43608438657</v>
      </c>
      <c r="B7292" s="3" t="s">
        <v>126</v>
      </c>
      <c r="C7292" s="2" t="s">
        <v>127</v>
      </c>
    </row>
    <row r="7293">
      <c r="A7293" s="1">
        <v>43704.436411435185</v>
      </c>
      <c r="B7293" s="2">
        <v>238.0</v>
      </c>
      <c r="C7293" s="2" t="s">
        <v>35</v>
      </c>
    </row>
    <row r="7294">
      <c r="A7294" s="1">
        <v>43706.674350057874</v>
      </c>
      <c r="B7294" s="2">
        <v>611.0</v>
      </c>
      <c r="C7294" s="2" t="s">
        <v>143</v>
      </c>
    </row>
    <row r="7295">
      <c r="A7295" s="1">
        <v>43709.39889222222</v>
      </c>
      <c r="B7295" s="2">
        <v>611.0</v>
      </c>
      <c r="C7295" s="2" t="s">
        <v>143</v>
      </c>
    </row>
    <row r="7296">
      <c r="A7296" s="1">
        <v>43709.42601597222</v>
      </c>
      <c r="B7296" s="2">
        <v>656.0</v>
      </c>
      <c r="C7296" s="2" t="s">
        <v>144</v>
      </c>
    </row>
    <row r="7297">
      <c r="A7297" s="1">
        <v>43709.42643841435</v>
      </c>
      <c r="B7297" s="2">
        <v>736.0</v>
      </c>
      <c r="C7297" s="2" t="s">
        <v>175</v>
      </c>
      <c r="D7297" s="2" t="s">
        <v>5</v>
      </c>
    </row>
    <row r="7298">
      <c r="A7298" s="1">
        <v>43709.42657106482</v>
      </c>
      <c r="B7298" s="2">
        <v>737.0</v>
      </c>
      <c r="C7298" s="2" t="s">
        <v>176</v>
      </c>
      <c r="D7298" s="2" t="s">
        <v>5</v>
      </c>
    </row>
    <row r="7299">
      <c r="A7299" s="1">
        <v>43709.42674753472</v>
      </c>
      <c r="B7299" s="3" t="s">
        <v>80</v>
      </c>
      <c r="C7299" s="2" t="s">
        <v>81</v>
      </c>
    </row>
    <row r="7300">
      <c r="A7300" s="1">
        <v>43709.427616643516</v>
      </c>
      <c r="B7300" s="2">
        <v>167.0</v>
      </c>
      <c r="C7300" s="2" t="s">
        <v>39</v>
      </c>
    </row>
    <row r="7301">
      <c r="A7301" s="1">
        <v>43709.42780034722</v>
      </c>
      <c r="B7301" s="2">
        <v>611.0</v>
      </c>
      <c r="C7301" s="2" t="s">
        <v>143</v>
      </c>
    </row>
    <row r="7302">
      <c r="A7302" s="1">
        <v>43709.42787053241</v>
      </c>
      <c r="B7302" s="2">
        <v>214.0</v>
      </c>
      <c r="C7302" s="2" t="s">
        <v>47</v>
      </c>
    </row>
    <row r="7303">
      <c r="A7303" s="1">
        <v>43709.42821064815</v>
      </c>
      <c r="B7303" s="2">
        <v>165.0</v>
      </c>
      <c r="C7303" s="2" t="s">
        <v>50</v>
      </c>
    </row>
    <row r="7304">
      <c r="A7304" s="1">
        <v>43709.42823938657</v>
      </c>
      <c r="B7304" s="2">
        <v>167.0</v>
      </c>
      <c r="C7304" s="2" t="s">
        <v>39</v>
      </c>
    </row>
    <row r="7305">
      <c r="A7305" s="1">
        <v>43709.42893461806</v>
      </c>
      <c r="B7305" s="2">
        <v>648.0</v>
      </c>
      <c r="C7305" s="2" t="s">
        <v>207</v>
      </c>
    </row>
    <row r="7306">
      <c r="A7306" s="1">
        <v>43709.42939622686</v>
      </c>
      <c r="B7306" s="2">
        <v>173.0</v>
      </c>
      <c r="C7306" s="2" t="s">
        <v>24</v>
      </c>
    </row>
    <row r="7307">
      <c r="A7307" s="1">
        <v>43709.429497812496</v>
      </c>
      <c r="B7307" s="2">
        <v>175.0</v>
      </c>
      <c r="C7307" s="2" t="s">
        <v>69</v>
      </c>
    </row>
    <row r="7308">
      <c r="A7308" s="1">
        <v>43709.42976666667</v>
      </c>
      <c r="B7308" s="2">
        <v>613.0</v>
      </c>
      <c r="C7308" s="2" t="s">
        <v>124</v>
      </c>
    </row>
    <row r="7309">
      <c r="A7309" s="1">
        <v>43709.430017349536</v>
      </c>
      <c r="B7309" s="2">
        <v>231.0</v>
      </c>
      <c r="C7309" s="2" t="s">
        <v>61</v>
      </c>
    </row>
    <row r="7310">
      <c r="A7310" s="1">
        <v>43709.43022122685</v>
      </c>
      <c r="B7310" s="2">
        <v>160.0</v>
      </c>
      <c r="C7310" s="2" t="s">
        <v>154</v>
      </c>
    </row>
    <row r="7311">
      <c r="A7311" s="1">
        <v>43709.43034381945</v>
      </c>
      <c r="B7311" s="3" t="s">
        <v>74</v>
      </c>
      <c r="C7311" s="2" t="s">
        <v>75</v>
      </c>
    </row>
    <row r="7312">
      <c r="A7312" s="1">
        <v>43709.43046747685</v>
      </c>
      <c r="B7312" s="2">
        <v>262.0</v>
      </c>
      <c r="C7312" s="2" t="s">
        <v>28</v>
      </c>
    </row>
    <row r="7313">
      <c r="A7313" s="1">
        <v>43709.43066431713</v>
      </c>
      <c r="B7313" s="2">
        <v>607.0</v>
      </c>
      <c r="C7313" s="2" t="s">
        <v>68</v>
      </c>
    </row>
    <row r="7314">
      <c r="A7314" s="1">
        <v>43709.43090474537</v>
      </c>
      <c r="B7314" s="2">
        <v>607.0</v>
      </c>
      <c r="C7314" s="2" t="s">
        <v>68</v>
      </c>
    </row>
    <row r="7315">
      <c r="A7315" s="1">
        <v>43709.431156446764</v>
      </c>
      <c r="B7315" s="2">
        <v>158.0</v>
      </c>
      <c r="C7315" s="2" t="s">
        <v>62</v>
      </c>
    </row>
    <row r="7316">
      <c r="A7316" s="1">
        <v>43709.43140339121</v>
      </c>
      <c r="B7316" s="2">
        <v>614.0</v>
      </c>
      <c r="C7316" s="2" t="s">
        <v>76</v>
      </c>
    </row>
    <row r="7317">
      <c r="A7317" s="1">
        <v>43709.43198097222</v>
      </c>
      <c r="B7317" s="3" t="s">
        <v>150</v>
      </c>
      <c r="C7317" s="2" t="s">
        <v>151</v>
      </c>
    </row>
    <row r="7318">
      <c r="A7318" s="1">
        <v>43709.43223013889</v>
      </c>
      <c r="B7318" s="2">
        <v>706.0</v>
      </c>
      <c r="C7318" s="2" t="s">
        <v>149</v>
      </c>
      <c r="D7318" s="2" t="s">
        <v>5</v>
      </c>
    </row>
    <row r="7319">
      <c r="A7319" s="1">
        <v>43709.43233820602</v>
      </c>
      <c r="B7319" s="2">
        <v>707.0</v>
      </c>
      <c r="C7319" s="2" t="s">
        <v>57</v>
      </c>
      <c r="D7319" s="2" t="s">
        <v>5</v>
      </c>
    </row>
    <row r="7320">
      <c r="A7320" s="1">
        <v>43709.432465798614</v>
      </c>
      <c r="B7320" s="2">
        <v>207.0</v>
      </c>
      <c r="C7320" s="2" t="s">
        <v>85</v>
      </c>
    </row>
    <row r="7321">
      <c r="A7321" s="1">
        <v>43709.43249247685</v>
      </c>
      <c r="B7321" s="2">
        <v>270.0</v>
      </c>
      <c r="C7321" s="2" t="s">
        <v>153</v>
      </c>
    </row>
    <row r="7322">
      <c r="A7322" s="1">
        <v>43709.432583773145</v>
      </c>
      <c r="B7322" s="3" t="s">
        <v>55</v>
      </c>
      <c r="C7322" s="2" t="s">
        <v>56</v>
      </c>
    </row>
    <row r="7323">
      <c r="A7323" s="1">
        <v>43709.43270592592</v>
      </c>
      <c r="B7323" s="2">
        <v>717.0</v>
      </c>
      <c r="C7323" s="2" t="s">
        <v>152</v>
      </c>
      <c r="D7323" s="2" t="s">
        <v>5</v>
      </c>
    </row>
    <row r="7324">
      <c r="A7324" s="1">
        <v>43709.43274269676</v>
      </c>
      <c r="B7324" s="2">
        <v>207.0</v>
      </c>
      <c r="C7324" s="2" t="s">
        <v>85</v>
      </c>
    </row>
    <row r="7325">
      <c r="A7325" s="1">
        <v>43709.4329321875</v>
      </c>
      <c r="B7325" s="2">
        <v>52.0</v>
      </c>
      <c r="C7325" s="2" t="s">
        <v>41</v>
      </c>
    </row>
    <row r="7326">
      <c r="A7326" s="1">
        <v>43709.43309107639</v>
      </c>
      <c r="B7326" s="2">
        <v>141.0</v>
      </c>
      <c r="C7326" s="2" t="s">
        <v>53</v>
      </c>
    </row>
    <row r="7327">
      <c r="A7327" s="1">
        <v>43709.43320515046</v>
      </c>
      <c r="B7327" s="2">
        <v>207.0</v>
      </c>
      <c r="C7327" s="2" t="s">
        <v>85</v>
      </c>
    </row>
    <row r="7328">
      <c r="A7328" s="1">
        <v>43709.433290625</v>
      </c>
      <c r="B7328" s="3" t="s">
        <v>44</v>
      </c>
      <c r="C7328" s="2" t="s">
        <v>45</v>
      </c>
    </row>
    <row r="7329">
      <c r="A7329" s="1">
        <v>43709.43338192129</v>
      </c>
      <c r="B7329" s="3" t="s">
        <v>82</v>
      </c>
      <c r="C7329" s="2" t="s">
        <v>83</v>
      </c>
    </row>
    <row r="7330">
      <c r="A7330" s="1">
        <v>43709.433508877315</v>
      </c>
      <c r="B7330" s="3" t="s">
        <v>78</v>
      </c>
      <c r="C7330" s="2" t="s">
        <v>79</v>
      </c>
    </row>
    <row r="7331">
      <c r="A7331" s="1">
        <v>43709.43362960649</v>
      </c>
      <c r="B7331" s="3" t="s">
        <v>11</v>
      </c>
      <c r="C7331" s="2" t="s">
        <v>12</v>
      </c>
    </row>
    <row r="7332">
      <c r="A7332" s="1">
        <v>43709.43364458333</v>
      </c>
      <c r="B7332" s="2">
        <v>707.0</v>
      </c>
      <c r="C7332" s="2" t="s">
        <v>57</v>
      </c>
      <c r="D7332" s="2" t="s">
        <v>5</v>
      </c>
    </row>
    <row r="7333">
      <c r="A7333" s="1">
        <v>43709.43370407408</v>
      </c>
      <c r="B7333" s="3" t="s">
        <v>126</v>
      </c>
      <c r="C7333" s="2" t="s">
        <v>127</v>
      </c>
    </row>
    <row r="7334">
      <c r="A7334" s="1">
        <v>43709.4338096412</v>
      </c>
      <c r="B7334" s="3" t="s">
        <v>88</v>
      </c>
      <c r="C7334" s="2" t="s">
        <v>89</v>
      </c>
    </row>
    <row r="7335">
      <c r="A7335" s="1">
        <v>43709.43391010417</v>
      </c>
      <c r="B7335" s="3" t="s">
        <v>159</v>
      </c>
      <c r="C7335" s="2" t="s">
        <v>160</v>
      </c>
    </row>
    <row r="7336">
      <c r="A7336" s="1">
        <v>43709.43416238426</v>
      </c>
      <c r="B7336" s="2">
        <v>667.0</v>
      </c>
      <c r="C7336" s="2" t="s">
        <v>73</v>
      </c>
    </row>
    <row r="7337">
      <c r="A7337" s="1">
        <v>43709.43417361111</v>
      </c>
      <c r="B7337" s="2">
        <v>729.0</v>
      </c>
      <c r="C7337" s="2" t="s">
        <v>54</v>
      </c>
      <c r="D7337" s="2" t="s">
        <v>5</v>
      </c>
    </row>
    <row r="7338">
      <c r="A7338" s="1">
        <v>43709.43442127315</v>
      </c>
      <c r="B7338" s="3" t="s">
        <v>51</v>
      </c>
      <c r="C7338" s="2" t="s">
        <v>52</v>
      </c>
    </row>
    <row r="7339">
      <c r="A7339" s="1">
        <v>43709.43458586806</v>
      </c>
      <c r="B7339" s="2">
        <v>201.0</v>
      </c>
      <c r="C7339" s="2" t="s">
        <v>70</v>
      </c>
    </row>
    <row r="7340">
      <c r="A7340" s="1">
        <v>43709.43473809028</v>
      </c>
      <c r="B7340" s="2">
        <v>210.0</v>
      </c>
      <c r="C7340" s="2" t="s">
        <v>64</v>
      </c>
    </row>
    <row r="7341">
      <c r="A7341" s="1">
        <v>43709.4348424537</v>
      </c>
      <c r="B7341" s="2">
        <v>208.0</v>
      </c>
      <c r="C7341" s="2" t="s">
        <v>182</v>
      </c>
    </row>
    <row r="7342">
      <c r="A7342" s="1">
        <v>43709.43496501158</v>
      </c>
      <c r="B7342" s="2">
        <v>209.0</v>
      </c>
      <c r="C7342" s="2" t="s">
        <v>219</v>
      </c>
    </row>
    <row r="7343">
      <c r="A7343" s="1">
        <v>43709.43504591435</v>
      </c>
      <c r="B7343" s="2">
        <v>219.0</v>
      </c>
      <c r="C7343" s="2" t="s">
        <v>31</v>
      </c>
    </row>
    <row r="7344">
      <c r="A7344" s="1">
        <v>43709.435206932874</v>
      </c>
      <c r="B7344" s="2">
        <v>246.0</v>
      </c>
      <c r="C7344" s="2" t="s">
        <v>26</v>
      </c>
    </row>
    <row r="7345">
      <c r="A7345" s="1">
        <v>43709.4353085301</v>
      </c>
      <c r="B7345" s="2">
        <v>267.0</v>
      </c>
      <c r="C7345" s="2" t="s">
        <v>115</v>
      </c>
    </row>
    <row r="7346">
      <c r="A7346" s="1">
        <v>43709.43554140047</v>
      </c>
      <c r="B7346" s="2">
        <v>602.0</v>
      </c>
      <c r="C7346" s="2" t="s">
        <v>131</v>
      </c>
    </row>
    <row r="7347">
      <c r="A7347" s="1">
        <v>43709.43581787037</v>
      </c>
      <c r="B7347" s="2">
        <v>644.0</v>
      </c>
      <c r="C7347" s="2" t="s">
        <v>227</v>
      </c>
    </row>
    <row r="7348">
      <c r="A7348" s="1">
        <v>43709.43590755787</v>
      </c>
      <c r="B7348" s="2">
        <v>643.0</v>
      </c>
      <c r="C7348" s="2" t="s">
        <v>166</v>
      </c>
    </row>
    <row r="7349">
      <c r="A7349" s="1">
        <v>43709.436167175925</v>
      </c>
      <c r="B7349" s="2">
        <v>655.0</v>
      </c>
      <c r="C7349" s="2" t="s">
        <v>17</v>
      </c>
    </row>
    <row r="7350">
      <c r="A7350" s="1">
        <v>43709.436431504626</v>
      </c>
      <c r="B7350" s="2">
        <v>676.0</v>
      </c>
      <c r="C7350" s="2" t="s">
        <v>223</v>
      </c>
    </row>
    <row r="7351">
      <c r="A7351" s="1">
        <v>43709.436624699076</v>
      </c>
      <c r="B7351" s="2">
        <v>653.0</v>
      </c>
      <c r="C7351" s="2" t="s">
        <v>77</v>
      </c>
    </row>
    <row r="7352">
      <c r="A7352" s="1">
        <v>43709.43674267361</v>
      </c>
      <c r="B7352" s="2">
        <v>673.0</v>
      </c>
      <c r="C7352" s="2" t="s">
        <v>189</v>
      </c>
    </row>
    <row r="7353">
      <c r="A7353" s="1">
        <v>43709.43727599537</v>
      </c>
      <c r="B7353" s="2">
        <v>722.0</v>
      </c>
      <c r="C7353" s="2" t="s">
        <v>25</v>
      </c>
      <c r="D7353" s="2" t="s">
        <v>5</v>
      </c>
    </row>
    <row r="7354">
      <c r="A7354" s="1">
        <v>43709.43750273148</v>
      </c>
      <c r="B7354" s="3" t="s">
        <v>103</v>
      </c>
      <c r="C7354" s="2" t="s">
        <v>104</v>
      </c>
    </row>
    <row r="7355">
      <c r="A7355" s="1">
        <v>43709.437679560186</v>
      </c>
      <c r="B7355" s="2">
        <v>254.0</v>
      </c>
      <c r="C7355" s="2" t="s">
        <v>132</v>
      </c>
    </row>
    <row r="7356">
      <c r="A7356" s="1">
        <v>43709.43791806713</v>
      </c>
      <c r="B7356" s="2">
        <v>734.0</v>
      </c>
      <c r="C7356" s="2" t="s">
        <v>63</v>
      </c>
      <c r="D7356" s="2" t="s">
        <v>5</v>
      </c>
    </row>
    <row r="7357">
      <c r="A7357" s="1">
        <v>43709.43820682871</v>
      </c>
      <c r="B7357" s="2">
        <v>259.0</v>
      </c>
      <c r="C7357" s="2" t="s">
        <v>66</v>
      </c>
    </row>
    <row r="7358">
      <c r="A7358" s="1">
        <v>43709.438318182874</v>
      </c>
      <c r="B7358" s="2">
        <v>260.0</v>
      </c>
      <c r="C7358" s="2" t="s">
        <v>67</v>
      </c>
    </row>
    <row r="7359">
      <c r="A7359" s="1">
        <v>43709.43845714121</v>
      </c>
      <c r="B7359" s="2">
        <v>244.0</v>
      </c>
      <c r="C7359" s="2" t="s">
        <v>38</v>
      </c>
    </row>
    <row r="7360">
      <c r="A7360" s="1">
        <v>43709.438580925926</v>
      </c>
      <c r="B7360" s="2">
        <v>738.0</v>
      </c>
      <c r="C7360" s="2" t="s">
        <v>161</v>
      </c>
    </row>
    <row r="7361">
      <c r="A7361" s="1">
        <v>43709.43896357639</v>
      </c>
      <c r="B7361" s="2">
        <v>631.0</v>
      </c>
      <c r="C7361" s="2" t="s">
        <v>178</v>
      </c>
    </row>
    <row r="7362">
      <c r="A7362" s="1">
        <v>43709.4393434375</v>
      </c>
      <c r="B7362" s="2">
        <v>229.0</v>
      </c>
      <c r="C7362" s="2" t="s">
        <v>86</v>
      </c>
    </row>
    <row r="7363">
      <c r="A7363" s="1">
        <v>43709.4394909375</v>
      </c>
      <c r="B7363" s="2">
        <v>677.0</v>
      </c>
      <c r="C7363" s="2" t="s">
        <v>224</v>
      </c>
    </row>
    <row r="7364">
      <c r="A7364" s="1">
        <v>43709.44003747685</v>
      </c>
      <c r="B7364" s="2">
        <v>677.0</v>
      </c>
      <c r="C7364" s="2" t="s">
        <v>224</v>
      </c>
    </row>
    <row r="7365">
      <c r="A7365" s="1">
        <v>43709.44054560185</v>
      </c>
      <c r="B7365" s="2">
        <v>607.0</v>
      </c>
      <c r="C7365" s="2" t="s">
        <v>68</v>
      </c>
    </row>
    <row r="7366">
      <c r="A7366" s="1">
        <v>43709.44097931713</v>
      </c>
      <c r="B7366" s="2">
        <v>716.0</v>
      </c>
      <c r="C7366" s="2" t="s">
        <v>123</v>
      </c>
      <c r="D7366" s="2" t="s">
        <v>5</v>
      </c>
    </row>
    <row r="7367">
      <c r="A7367" s="1">
        <v>43709.44108070602</v>
      </c>
      <c r="B7367" s="2">
        <v>723.0</v>
      </c>
      <c r="C7367" s="2" t="s">
        <v>84</v>
      </c>
      <c r="D7367" s="2" t="s">
        <v>5</v>
      </c>
    </row>
    <row r="7368">
      <c r="A7368" s="1">
        <v>43709.441384641206</v>
      </c>
      <c r="B7368" s="3" t="s">
        <v>186</v>
      </c>
      <c r="C7368" s="2" t="s">
        <v>187</v>
      </c>
    </row>
    <row r="7369">
      <c r="A7369" s="1">
        <v>43709.44506456019</v>
      </c>
      <c r="B7369" s="2">
        <v>672.0</v>
      </c>
      <c r="C7369" s="2" t="s">
        <v>6</v>
      </c>
    </row>
    <row r="7370">
      <c r="A7370" s="1">
        <v>43709.45085069444</v>
      </c>
      <c r="B7370" s="2">
        <v>708.0</v>
      </c>
      <c r="C7370" s="2" t="s">
        <v>4</v>
      </c>
      <c r="D7370" s="2" t="s">
        <v>5</v>
      </c>
    </row>
    <row r="7371">
      <c r="A7371" s="1">
        <v>43709.45092863426</v>
      </c>
      <c r="B7371" s="2">
        <v>709.0</v>
      </c>
      <c r="C7371" s="2" t="s">
        <v>20</v>
      </c>
      <c r="D7371" s="2" t="s">
        <v>5</v>
      </c>
    </row>
    <row r="7372">
      <c r="A7372" s="1">
        <v>43709.45104506944</v>
      </c>
      <c r="B7372" s="2">
        <v>710.0</v>
      </c>
      <c r="C7372" s="2" t="s">
        <v>21</v>
      </c>
      <c r="D7372" s="2" t="s">
        <v>5</v>
      </c>
    </row>
    <row r="7373">
      <c r="A7373" s="1">
        <v>43709.45125056713</v>
      </c>
      <c r="B7373" s="3" t="s">
        <v>9</v>
      </c>
      <c r="C7373" s="2" t="s">
        <v>10</v>
      </c>
    </row>
    <row r="7374">
      <c r="A7374" s="1">
        <v>43709.45169233796</v>
      </c>
      <c r="B7374" s="2">
        <v>114.0</v>
      </c>
      <c r="C7374" s="2" t="s">
        <v>15</v>
      </c>
    </row>
    <row r="7375">
      <c r="A7375" s="1">
        <v>43709.4566537037</v>
      </c>
      <c r="B7375" s="3" t="s">
        <v>13</v>
      </c>
      <c r="C7375" s="2" t="s">
        <v>14</v>
      </c>
    </row>
    <row r="7376">
      <c r="A7376" s="1">
        <v>43709.4653046875</v>
      </c>
      <c r="B7376" s="2">
        <v>238.0</v>
      </c>
      <c r="C7376" s="2" t="s">
        <v>35</v>
      </c>
    </row>
    <row r="7377">
      <c r="A7377" s="1">
        <v>43709.465647199075</v>
      </c>
      <c r="B7377" s="3" t="s">
        <v>119</v>
      </c>
      <c r="C7377" s="2" t="s">
        <v>120</v>
      </c>
    </row>
    <row r="7378">
      <c r="A7378" s="1">
        <v>43709.46580859953</v>
      </c>
      <c r="B7378" s="3" t="s">
        <v>117</v>
      </c>
      <c r="C7378" s="2" t="s">
        <v>118</v>
      </c>
    </row>
    <row r="7379">
      <c r="A7379" s="1">
        <v>43709.46616707176</v>
      </c>
      <c r="B7379" s="2">
        <v>713.0</v>
      </c>
      <c r="C7379" s="2" t="s">
        <v>121</v>
      </c>
      <c r="D7379" s="2" t="s">
        <v>5</v>
      </c>
    </row>
    <row r="7380">
      <c r="A7380" s="1">
        <v>43709.466245601856</v>
      </c>
      <c r="B7380" s="2">
        <v>714.0</v>
      </c>
      <c r="C7380" s="2" t="s">
        <v>122</v>
      </c>
      <c r="D7380" s="2" t="s">
        <v>5</v>
      </c>
    </row>
    <row r="7381">
      <c r="A7381" s="1">
        <v>43709.48290260417</v>
      </c>
      <c r="B7381" s="2">
        <v>611.0</v>
      </c>
      <c r="C7381" s="2" t="s">
        <v>143</v>
      </c>
    </row>
    <row r="7382">
      <c r="A7382" s="1">
        <v>43712.626349004626</v>
      </c>
      <c r="B7382" s="2">
        <v>193.0</v>
      </c>
      <c r="C7382" s="2" t="s">
        <v>30</v>
      </c>
    </row>
    <row r="7383">
      <c r="A7383" s="1">
        <v>43712.630203900466</v>
      </c>
      <c r="B7383" s="3" t="s">
        <v>111</v>
      </c>
      <c r="C7383" s="2" t="s">
        <v>112</v>
      </c>
    </row>
    <row r="7384">
      <c r="A7384" s="1">
        <v>43712.631900196764</v>
      </c>
      <c r="B7384" s="2">
        <v>210.0</v>
      </c>
      <c r="C7384" s="2" t="s">
        <v>64</v>
      </c>
    </row>
    <row r="7385">
      <c r="A7385" s="1">
        <v>43712.65632297454</v>
      </c>
      <c r="B7385" s="2">
        <v>738.0</v>
      </c>
      <c r="C7385" s="2" t="s">
        <v>161</v>
      </c>
    </row>
    <row r="7386">
      <c r="A7386" s="1">
        <v>43713.620210451394</v>
      </c>
      <c r="B7386" s="2">
        <v>738.0</v>
      </c>
      <c r="C7386" s="2" t="s">
        <v>161</v>
      </c>
    </row>
    <row r="7387">
      <c r="A7387" s="1">
        <v>43713.62074873842</v>
      </c>
      <c r="B7387" s="2">
        <v>736.0</v>
      </c>
      <c r="C7387" s="2" t="s">
        <v>175</v>
      </c>
      <c r="D7387" s="2" t="s">
        <v>5</v>
      </c>
    </row>
    <row r="7388">
      <c r="A7388" s="1">
        <v>43713.62571209491</v>
      </c>
      <c r="B7388" s="2">
        <v>738.0</v>
      </c>
      <c r="C7388" s="2" t="s">
        <v>161</v>
      </c>
      <c r="D7388" s="2" t="s">
        <v>5</v>
      </c>
    </row>
    <row r="7389">
      <c r="A7389" s="1">
        <v>43713.62688909722</v>
      </c>
      <c r="B7389" s="2">
        <v>738.0</v>
      </c>
      <c r="C7389" s="2" t="s">
        <v>161</v>
      </c>
      <c r="D7389" s="2" t="s">
        <v>5</v>
      </c>
    </row>
    <row r="7390">
      <c r="A7390" s="1">
        <v>43713.62943262732</v>
      </c>
      <c r="B7390" s="2">
        <v>738.0</v>
      </c>
      <c r="C7390" s="2" t="s">
        <v>161</v>
      </c>
    </row>
    <row r="7391">
      <c r="A7391" s="1">
        <v>43713.62983063658</v>
      </c>
      <c r="B7391" s="2">
        <v>738.0</v>
      </c>
      <c r="C7391" s="2" t="s">
        <v>161</v>
      </c>
    </row>
    <row r="7392">
      <c r="A7392" s="1">
        <v>43713.6306059375</v>
      </c>
      <c r="B7392" s="2">
        <v>738.0</v>
      </c>
      <c r="C7392" s="2" t="s">
        <v>161</v>
      </c>
      <c r="D7392" s="2" t="s">
        <v>5</v>
      </c>
    </row>
    <row r="7393">
      <c r="A7393" s="1">
        <v>43713.630851967595</v>
      </c>
      <c r="B7393" s="2">
        <v>738.0</v>
      </c>
      <c r="C7393" s="2" t="s">
        <v>161</v>
      </c>
      <c r="D7393" s="2" t="s">
        <v>5</v>
      </c>
    </row>
    <row r="7394">
      <c r="A7394" s="1">
        <v>43713.67670607639</v>
      </c>
      <c r="B7394" s="2">
        <v>678.0</v>
      </c>
      <c r="C7394" s="2" t="s">
        <v>228</v>
      </c>
    </row>
    <row r="7395">
      <c r="A7395" s="1">
        <v>43713.67677542824</v>
      </c>
      <c r="B7395" s="2">
        <v>679.0</v>
      </c>
      <c r="C7395" s="2" t="s">
        <v>229</v>
      </c>
    </row>
    <row r="7396">
      <c r="A7396" s="1">
        <v>43714.63851770833</v>
      </c>
      <c r="B7396" s="2">
        <v>679.0</v>
      </c>
      <c r="C7396" s="2" t="s">
        <v>229</v>
      </c>
    </row>
    <row r="7397">
      <c r="A7397" s="1">
        <v>43716.39374609954</v>
      </c>
      <c r="B7397" s="2">
        <v>165.0</v>
      </c>
      <c r="C7397" s="2" t="s">
        <v>50</v>
      </c>
    </row>
    <row r="7398">
      <c r="A7398" s="1">
        <v>43716.417916666665</v>
      </c>
      <c r="B7398" s="2">
        <v>246.0</v>
      </c>
      <c r="C7398" s="2" t="s">
        <v>26</v>
      </c>
    </row>
    <row r="7399">
      <c r="A7399" s="1">
        <v>43716.41814246528</v>
      </c>
      <c r="B7399" s="2">
        <v>722.0</v>
      </c>
      <c r="C7399" s="2" t="s">
        <v>25</v>
      </c>
      <c r="D7399" s="2" t="s">
        <v>5</v>
      </c>
    </row>
    <row r="7400">
      <c r="A7400" s="1">
        <v>43716.418791874996</v>
      </c>
      <c r="B7400" s="2">
        <v>631.0</v>
      </c>
      <c r="C7400" s="2" t="s">
        <v>178</v>
      </c>
    </row>
    <row r="7401">
      <c r="A7401" s="1">
        <v>43716.419655543985</v>
      </c>
      <c r="B7401" s="2">
        <v>209.0</v>
      </c>
      <c r="C7401" s="2" t="s">
        <v>219</v>
      </c>
    </row>
    <row r="7402">
      <c r="A7402" s="1">
        <v>43716.42080748842</v>
      </c>
      <c r="B7402" s="2">
        <v>244.0</v>
      </c>
      <c r="C7402" s="2" t="s">
        <v>38</v>
      </c>
    </row>
    <row r="7403">
      <c r="A7403" s="1">
        <v>43716.42097659722</v>
      </c>
      <c r="B7403" s="2">
        <v>648.0</v>
      </c>
      <c r="C7403" s="2" t="s">
        <v>207</v>
      </c>
    </row>
    <row r="7404">
      <c r="A7404" s="1">
        <v>43716.42105694444</v>
      </c>
      <c r="B7404" s="2">
        <v>649.0</v>
      </c>
      <c r="C7404" s="2" t="s">
        <v>177</v>
      </c>
    </row>
    <row r="7405">
      <c r="A7405" s="1">
        <v>43716.42214796296</v>
      </c>
      <c r="B7405" s="2">
        <v>52.0</v>
      </c>
      <c r="C7405" s="2" t="s">
        <v>41</v>
      </c>
    </row>
    <row r="7406">
      <c r="A7406" s="1">
        <v>43716.42227988426</v>
      </c>
      <c r="B7406" s="2">
        <v>207.0</v>
      </c>
      <c r="C7406" s="2" t="s">
        <v>85</v>
      </c>
    </row>
    <row r="7407">
      <c r="A7407" s="1">
        <v>43716.422366087965</v>
      </c>
      <c r="B7407" s="2">
        <v>219.0</v>
      </c>
      <c r="C7407" s="2" t="s">
        <v>31</v>
      </c>
    </row>
    <row r="7408">
      <c r="A7408" s="1">
        <v>43716.423028749996</v>
      </c>
      <c r="B7408" s="2">
        <v>238.0</v>
      </c>
      <c r="C7408" s="2" t="s">
        <v>35</v>
      </c>
    </row>
    <row r="7409">
      <c r="A7409" s="1">
        <v>43716.424194872685</v>
      </c>
      <c r="B7409" s="2">
        <v>607.0</v>
      </c>
      <c r="C7409" s="2" t="s">
        <v>68</v>
      </c>
    </row>
    <row r="7410">
      <c r="A7410" s="1">
        <v>43716.42441386574</v>
      </c>
      <c r="B7410" s="2">
        <v>262.0</v>
      </c>
      <c r="C7410" s="2" t="s">
        <v>28</v>
      </c>
    </row>
    <row r="7411">
      <c r="A7411" s="1">
        <v>43716.42452377315</v>
      </c>
      <c r="B7411" s="2">
        <v>611.0</v>
      </c>
      <c r="C7411" s="2" t="s">
        <v>143</v>
      </c>
    </row>
    <row r="7412">
      <c r="A7412" s="1">
        <v>43716.42814587963</v>
      </c>
      <c r="B7412" s="2">
        <v>167.0</v>
      </c>
      <c r="C7412" s="2" t="s">
        <v>39</v>
      </c>
    </row>
    <row r="7413">
      <c r="A7413" s="1">
        <v>43716.428337777776</v>
      </c>
      <c r="B7413" s="2">
        <v>678.0</v>
      </c>
      <c r="C7413" s="2" t="s">
        <v>228</v>
      </c>
    </row>
    <row r="7414">
      <c r="A7414" s="1">
        <v>43716.428432835644</v>
      </c>
      <c r="B7414" s="2">
        <v>173.0</v>
      </c>
      <c r="C7414" s="2" t="s">
        <v>24</v>
      </c>
    </row>
    <row r="7415">
      <c r="A7415" s="1">
        <v>43716.42906490741</v>
      </c>
      <c r="B7415" s="2">
        <v>165.0</v>
      </c>
      <c r="C7415" s="2" t="s">
        <v>50</v>
      </c>
    </row>
    <row r="7416">
      <c r="A7416" s="1">
        <v>43716.42949231481</v>
      </c>
      <c r="B7416" s="2">
        <v>52.0</v>
      </c>
      <c r="C7416" s="2" t="s">
        <v>41</v>
      </c>
    </row>
    <row r="7417">
      <c r="A7417" s="1">
        <v>43716.42975549768</v>
      </c>
      <c r="B7417" s="2">
        <v>207.0</v>
      </c>
      <c r="C7417" s="2" t="s">
        <v>85</v>
      </c>
    </row>
    <row r="7418">
      <c r="A7418" s="1">
        <v>43716.430567731484</v>
      </c>
      <c r="B7418" s="2">
        <v>219.0</v>
      </c>
      <c r="C7418" s="2" t="s">
        <v>31</v>
      </c>
    </row>
    <row r="7419">
      <c r="A7419" s="1">
        <v>43716.430655069445</v>
      </c>
      <c r="B7419" s="2">
        <v>238.0</v>
      </c>
      <c r="C7419" s="2" t="s">
        <v>35</v>
      </c>
    </row>
    <row r="7420">
      <c r="A7420" s="1">
        <v>43716.43078170139</v>
      </c>
      <c r="B7420" s="2">
        <v>607.0</v>
      </c>
      <c r="C7420" s="2" t="s">
        <v>68</v>
      </c>
    </row>
    <row r="7421">
      <c r="A7421" s="1">
        <v>43716.431031678236</v>
      </c>
      <c r="B7421" s="2">
        <v>262.0</v>
      </c>
      <c r="C7421" s="2" t="s">
        <v>28</v>
      </c>
    </row>
    <row r="7422">
      <c r="A7422" s="1">
        <v>43716.43135267361</v>
      </c>
      <c r="B7422" s="2">
        <v>611.0</v>
      </c>
      <c r="C7422" s="2" t="s">
        <v>143</v>
      </c>
    </row>
    <row r="7423">
      <c r="A7423" s="1">
        <v>43716.4321083449</v>
      </c>
      <c r="B7423" s="3" t="s">
        <v>74</v>
      </c>
      <c r="C7423" s="2" t="s">
        <v>75</v>
      </c>
    </row>
    <row r="7424">
      <c r="A7424" s="1">
        <v>43716.434137592594</v>
      </c>
      <c r="B7424" s="2">
        <v>231.0</v>
      </c>
      <c r="C7424" s="2" t="s">
        <v>61</v>
      </c>
    </row>
    <row r="7425">
      <c r="A7425" s="1">
        <v>43716.4344508912</v>
      </c>
      <c r="B7425" s="2">
        <v>210.0</v>
      </c>
      <c r="C7425" s="2" t="s">
        <v>64</v>
      </c>
    </row>
    <row r="7426">
      <c r="A7426" s="1">
        <v>43716.43468247685</v>
      </c>
      <c r="B7426" s="2">
        <v>740.0</v>
      </c>
      <c r="C7426" s="2" t="s">
        <v>221</v>
      </c>
      <c r="D7426" s="2" t="s">
        <v>5</v>
      </c>
    </row>
    <row r="7427">
      <c r="A7427" s="1">
        <v>43716.434808171296</v>
      </c>
      <c r="B7427" s="2">
        <v>201.0</v>
      </c>
      <c r="C7427" s="2" t="s">
        <v>70</v>
      </c>
    </row>
    <row r="7428">
      <c r="A7428" s="1">
        <v>43716.43499528935</v>
      </c>
      <c r="B7428" s="2">
        <v>158.0</v>
      </c>
      <c r="C7428" s="2" t="s">
        <v>62</v>
      </c>
    </row>
    <row r="7429">
      <c r="A7429" s="1">
        <v>43716.43514996528</v>
      </c>
      <c r="B7429" s="3" t="s">
        <v>32</v>
      </c>
      <c r="C7429" s="2" t="s">
        <v>33</v>
      </c>
    </row>
    <row r="7430">
      <c r="A7430" s="1">
        <v>43716.43523212963</v>
      </c>
      <c r="B7430" s="2">
        <v>252.0</v>
      </c>
      <c r="C7430" s="2" t="s">
        <v>34</v>
      </c>
    </row>
    <row r="7431">
      <c r="A7431" s="1">
        <v>43716.4353894213</v>
      </c>
      <c r="B7431" s="2">
        <v>193.0</v>
      </c>
      <c r="C7431" s="2" t="s">
        <v>30</v>
      </c>
    </row>
    <row r="7432">
      <c r="A7432" s="1">
        <v>43716.435469143515</v>
      </c>
      <c r="B7432" s="2">
        <v>214.0</v>
      </c>
      <c r="C7432" s="2" t="s">
        <v>47</v>
      </c>
    </row>
    <row r="7433">
      <c r="A7433" s="1">
        <v>43716.435568483794</v>
      </c>
      <c r="B7433" s="3" t="s">
        <v>150</v>
      </c>
      <c r="C7433" s="2" t="s">
        <v>151</v>
      </c>
    </row>
    <row r="7434">
      <c r="A7434" s="1">
        <v>43716.43569402778</v>
      </c>
      <c r="B7434" s="2">
        <v>706.0</v>
      </c>
      <c r="C7434" s="2" t="s">
        <v>149</v>
      </c>
      <c r="D7434" s="2" t="s">
        <v>5</v>
      </c>
    </row>
    <row r="7435">
      <c r="A7435" s="1">
        <v>43716.435794756944</v>
      </c>
      <c r="B7435" s="2">
        <v>667.0</v>
      </c>
      <c r="C7435" s="2" t="s">
        <v>73</v>
      </c>
    </row>
    <row r="7436">
      <c r="A7436" s="1">
        <v>43716.43589835648</v>
      </c>
      <c r="B7436" s="2">
        <v>734.0</v>
      </c>
      <c r="C7436" s="2" t="s">
        <v>63</v>
      </c>
      <c r="D7436" s="2" t="s">
        <v>5</v>
      </c>
    </row>
    <row r="7437">
      <c r="A7437" s="1">
        <v>43716.4360158912</v>
      </c>
      <c r="B7437" s="2">
        <v>259.0</v>
      </c>
      <c r="C7437" s="2" t="s">
        <v>66</v>
      </c>
    </row>
    <row r="7438">
      <c r="A7438" s="1">
        <v>43716.43610597222</v>
      </c>
      <c r="B7438" s="2">
        <v>260.0</v>
      </c>
      <c r="C7438" s="2" t="s">
        <v>67</v>
      </c>
    </row>
    <row r="7439">
      <c r="A7439" s="1">
        <v>43716.43621263889</v>
      </c>
      <c r="B7439" s="3" t="s">
        <v>82</v>
      </c>
      <c r="C7439" s="2" t="s">
        <v>83</v>
      </c>
    </row>
    <row r="7440">
      <c r="A7440" s="1">
        <v>43716.43629385417</v>
      </c>
      <c r="B7440" s="3" t="s">
        <v>78</v>
      </c>
      <c r="C7440" s="2" t="s">
        <v>79</v>
      </c>
    </row>
    <row r="7441">
      <c r="A7441" s="1">
        <v>43716.43748518519</v>
      </c>
      <c r="B7441" s="2">
        <v>723.0</v>
      </c>
      <c r="C7441" s="2" t="s">
        <v>84</v>
      </c>
      <c r="D7441" s="2" t="s">
        <v>5</v>
      </c>
    </row>
    <row r="7442">
      <c r="A7442" s="1">
        <v>43716.43789671296</v>
      </c>
      <c r="B7442" s="2">
        <v>614.0</v>
      </c>
      <c r="C7442" s="2" t="s">
        <v>76</v>
      </c>
    </row>
    <row r="7443">
      <c r="A7443" s="1">
        <v>43716.4382554051</v>
      </c>
      <c r="B7443" s="2">
        <v>735.0</v>
      </c>
      <c r="C7443" s="2" t="s">
        <v>37</v>
      </c>
      <c r="D7443" s="2" t="s">
        <v>5</v>
      </c>
    </row>
    <row r="7444">
      <c r="A7444" s="1">
        <v>43716.43836555556</v>
      </c>
      <c r="B7444" s="2">
        <v>720.0</v>
      </c>
      <c r="C7444" s="2" t="s">
        <v>155</v>
      </c>
      <c r="D7444" s="2" t="s">
        <v>5</v>
      </c>
    </row>
    <row r="7445">
      <c r="A7445" s="1">
        <v>43716.43884708334</v>
      </c>
      <c r="B7445" s="2">
        <v>721.0</v>
      </c>
      <c r="C7445" s="2" t="s">
        <v>156</v>
      </c>
      <c r="D7445" s="2" t="s">
        <v>5</v>
      </c>
    </row>
    <row r="7446">
      <c r="A7446" s="1">
        <v>43716.44016810185</v>
      </c>
      <c r="B7446" s="2">
        <v>160.0</v>
      </c>
      <c r="C7446" s="2" t="s">
        <v>154</v>
      </c>
    </row>
    <row r="7447">
      <c r="A7447" s="1">
        <v>43716.440366111114</v>
      </c>
      <c r="B7447" s="2">
        <v>624.0</v>
      </c>
      <c r="C7447" s="2" t="s">
        <v>90</v>
      </c>
    </row>
    <row r="7448">
      <c r="A7448" s="1">
        <v>43716.44062675926</v>
      </c>
      <c r="B7448" s="2">
        <v>724.0</v>
      </c>
      <c r="C7448" s="2" t="s">
        <v>91</v>
      </c>
      <c r="D7448" s="2" t="s">
        <v>5</v>
      </c>
    </row>
    <row r="7449">
      <c r="A7449" s="1">
        <v>43716.440788900465</v>
      </c>
      <c r="B7449" s="3" t="s">
        <v>159</v>
      </c>
      <c r="C7449" s="2" t="s">
        <v>160</v>
      </c>
    </row>
    <row r="7450">
      <c r="A7450" s="1">
        <v>43716.44088303241</v>
      </c>
      <c r="B7450" s="3" t="s">
        <v>51</v>
      </c>
      <c r="C7450" s="2" t="s">
        <v>52</v>
      </c>
    </row>
    <row r="7451">
      <c r="A7451" s="1">
        <v>43716.44097488426</v>
      </c>
      <c r="B7451" s="3" t="s">
        <v>44</v>
      </c>
      <c r="C7451" s="2" t="s">
        <v>45</v>
      </c>
    </row>
    <row r="7452">
      <c r="A7452" s="1">
        <v>43716.44106619213</v>
      </c>
      <c r="B7452" s="3" t="s">
        <v>22</v>
      </c>
      <c r="C7452" s="2" t="s">
        <v>23</v>
      </c>
    </row>
    <row r="7453">
      <c r="A7453" s="1">
        <v>43716.441149872684</v>
      </c>
      <c r="B7453" s="3" t="s">
        <v>80</v>
      </c>
      <c r="C7453" s="2" t="s">
        <v>81</v>
      </c>
    </row>
    <row r="7454">
      <c r="A7454" s="1">
        <v>43716.44126226852</v>
      </c>
      <c r="B7454" s="2">
        <v>254.0</v>
      </c>
      <c r="C7454" s="2" t="s">
        <v>132</v>
      </c>
    </row>
    <row r="7455">
      <c r="A7455" s="1">
        <v>43716.44133887731</v>
      </c>
      <c r="B7455" s="2">
        <v>719.0</v>
      </c>
      <c r="C7455" s="2" t="s">
        <v>106</v>
      </c>
      <c r="D7455" s="2" t="s">
        <v>5</v>
      </c>
    </row>
    <row r="7456">
      <c r="A7456" s="1">
        <v>43716.441403958335</v>
      </c>
      <c r="B7456" s="2">
        <v>718.0</v>
      </c>
      <c r="C7456" s="2" t="s">
        <v>105</v>
      </c>
      <c r="D7456" s="2" t="s">
        <v>5</v>
      </c>
    </row>
    <row r="7457">
      <c r="A7457" s="1">
        <v>43716.44146797454</v>
      </c>
      <c r="B7457" s="2">
        <v>268.0</v>
      </c>
      <c r="C7457" s="2" t="s">
        <v>205</v>
      </c>
    </row>
    <row r="7458">
      <c r="A7458" s="1">
        <v>43716.44160518519</v>
      </c>
      <c r="B7458" s="2">
        <v>101.0</v>
      </c>
      <c r="C7458" s="2" t="s">
        <v>108</v>
      </c>
    </row>
    <row r="7459">
      <c r="A7459" s="1">
        <v>43716.44167569444</v>
      </c>
      <c r="B7459" s="3" t="s">
        <v>113</v>
      </c>
      <c r="C7459" s="2" t="s">
        <v>114</v>
      </c>
    </row>
    <row r="7460">
      <c r="A7460" s="1">
        <v>43716.44174976852</v>
      </c>
      <c r="B7460" s="2">
        <v>215.0</v>
      </c>
      <c r="C7460" s="2" t="s">
        <v>137</v>
      </c>
    </row>
    <row r="7461">
      <c r="A7461" s="1">
        <v>43716.441847662034</v>
      </c>
      <c r="B7461" s="2">
        <v>124.0</v>
      </c>
      <c r="C7461" s="2" t="s">
        <v>107</v>
      </c>
    </row>
    <row r="7462">
      <c r="A7462" s="1">
        <v>43716.441992210646</v>
      </c>
      <c r="B7462" s="3" t="s">
        <v>88</v>
      </c>
      <c r="C7462" s="2" t="s">
        <v>89</v>
      </c>
    </row>
    <row r="7463">
      <c r="A7463" s="1">
        <v>43716.442173055555</v>
      </c>
      <c r="B7463" s="3" t="s">
        <v>11</v>
      </c>
      <c r="C7463" s="2" t="s">
        <v>12</v>
      </c>
    </row>
    <row r="7464">
      <c r="A7464" s="1">
        <v>43716.442246736115</v>
      </c>
      <c r="B7464" s="3" t="s">
        <v>103</v>
      </c>
      <c r="C7464" s="2" t="s">
        <v>104</v>
      </c>
    </row>
    <row r="7465">
      <c r="A7465" s="1">
        <v>43716.44251491898</v>
      </c>
      <c r="B7465" s="2">
        <v>229.0</v>
      </c>
      <c r="C7465" s="2" t="s">
        <v>86</v>
      </c>
    </row>
    <row r="7466">
      <c r="A7466" s="1">
        <v>43716.44276131944</v>
      </c>
      <c r="B7466" s="3" t="s">
        <v>126</v>
      </c>
      <c r="C7466" s="2" t="s">
        <v>127</v>
      </c>
    </row>
    <row r="7467">
      <c r="A7467" s="1">
        <v>43716.44285708333</v>
      </c>
      <c r="B7467" s="2">
        <v>172.0</v>
      </c>
      <c r="C7467" s="2" t="s">
        <v>65</v>
      </c>
    </row>
    <row r="7468">
      <c r="A7468" s="1">
        <v>43716.443021851854</v>
      </c>
      <c r="B7468" s="2">
        <v>736.0</v>
      </c>
      <c r="C7468" s="2" t="s">
        <v>175</v>
      </c>
      <c r="D7468" s="2" t="s">
        <v>5</v>
      </c>
    </row>
    <row r="7469">
      <c r="A7469" s="1">
        <v>43716.44308085648</v>
      </c>
      <c r="B7469" s="2">
        <v>737.0</v>
      </c>
      <c r="C7469" s="2" t="s">
        <v>176</v>
      </c>
      <c r="D7469" s="2" t="s">
        <v>5</v>
      </c>
    </row>
    <row r="7470">
      <c r="A7470" s="1">
        <v>43716.443197430555</v>
      </c>
      <c r="B7470" s="2">
        <v>627.0</v>
      </c>
      <c r="C7470" s="2" t="s">
        <v>134</v>
      </c>
    </row>
    <row r="7471">
      <c r="A7471" s="1">
        <v>43716.44333015046</v>
      </c>
      <c r="B7471" s="3" t="s">
        <v>98</v>
      </c>
      <c r="C7471" s="2" t="s">
        <v>99</v>
      </c>
    </row>
    <row r="7472">
      <c r="A7472" s="1">
        <v>43716.44344307871</v>
      </c>
      <c r="B7472" s="2">
        <v>147.0</v>
      </c>
      <c r="C7472" s="2" t="s">
        <v>100</v>
      </c>
    </row>
    <row r="7473">
      <c r="A7473" s="1">
        <v>43716.44356478009</v>
      </c>
      <c r="B7473" s="2">
        <v>726.0</v>
      </c>
      <c r="C7473" s="2" t="s">
        <v>101</v>
      </c>
      <c r="D7473" s="2" t="s">
        <v>5</v>
      </c>
    </row>
    <row r="7474">
      <c r="A7474" s="1">
        <v>43716.44365903935</v>
      </c>
      <c r="B7474" s="2">
        <v>732.0</v>
      </c>
      <c r="C7474" s="2" t="s">
        <v>102</v>
      </c>
      <c r="D7474" s="2" t="s">
        <v>5</v>
      </c>
    </row>
    <row r="7475">
      <c r="A7475" s="1">
        <v>43716.443744108794</v>
      </c>
      <c r="B7475" s="2">
        <v>677.0</v>
      </c>
      <c r="C7475" s="2" t="s">
        <v>224</v>
      </c>
    </row>
    <row r="7476">
      <c r="A7476" s="1">
        <v>43716.44386474537</v>
      </c>
      <c r="B7476" s="2">
        <v>198.0</v>
      </c>
      <c r="C7476" s="2" t="s">
        <v>97</v>
      </c>
    </row>
    <row r="7477">
      <c r="A7477" s="1">
        <v>43716.44395547453</v>
      </c>
      <c r="B7477" s="2">
        <v>702.0</v>
      </c>
      <c r="C7477" s="2" t="s">
        <v>96</v>
      </c>
      <c r="D7477" s="2" t="s">
        <v>5</v>
      </c>
    </row>
    <row r="7478">
      <c r="A7478" s="1">
        <v>43716.44409567129</v>
      </c>
      <c r="B7478" s="3" t="s">
        <v>94</v>
      </c>
      <c r="C7478" s="2" t="s">
        <v>95</v>
      </c>
    </row>
    <row r="7479">
      <c r="A7479" s="1">
        <v>43716.44418224537</v>
      </c>
      <c r="B7479" s="2">
        <v>701.0</v>
      </c>
      <c r="C7479" s="2" t="s">
        <v>93</v>
      </c>
      <c r="D7479" s="2" t="s">
        <v>5</v>
      </c>
    </row>
    <row r="7480">
      <c r="A7480" s="1">
        <v>43716.44430333334</v>
      </c>
      <c r="B7480" s="2">
        <v>673.0</v>
      </c>
      <c r="C7480" s="2" t="s">
        <v>189</v>
      </c>
    </row>
    <row r="7481">
      <c r="A7481" s="1">
        <v>43716.44441674769</v>
      </c>
      <c r="B7481" s="2">
        <v>604.0</v>
      </c>
      <c r="C7481" s="2" t="s">
        <v>36</v>
      </c>
    </row>
    <row r="7482">
      <c r="A7482" s="1">
        <v>43716.451527349534</v>
      </c>
      <c r="B7482" s="3" t="s">
        <v>42</v>
      </c>
      <c r="C7482" s="2" t="s">
        <v>43</v>
      </c>
    </row>
    <row r="7483">
      <c r="A7483" s="1">
        <v>43716.97085087963</v>
      </c>
      <c r="B7483" s="3" t="s">
        <v>9</v>
      </c>
      <c r="C7483" s="2" t="s">
        <v>10</v>
      </c>
    </row>
    <row r="7484">
      <c r="A7484" s="1">
        <v>43716.970934791665</v>
      </c>
      <c r="B7484" s="3" t="s">
        <v>117</v>
      </c>
      <c r="C7484" s="2" t="s">
        <v>118</v>
      </c>
    </row>
    <row r="7485">
      <c r="A7485" s="1">
        <v>43716.97101821759</v>
      </c>
      <c r="B7485" s="3" t="s">
        <v>119</v>
      </c>
      <c r="C7485" s="2" t="s">
        <v>120</v>
      </c>
    </row>
    <row r="7486">
      <c r="A7486" s="1">
        <v>43716.971265995366</v>
      </c>
      <c r="B7486" s="3" t="s">
        <v>162</v>
      </c>
      <c r="C7486" s="2" t="s">
        <v>163</v>
      </c>
    </row>
    <row r="7487">
      <c r="A7487" s="1">
        <v>43716.97182414352</v>
      </c>
      <c r="B7487" s="2">
        <v>126.0</v>
      </c>
      <c r="C7487" s="2" t="s">
        <v>87</v>
      </c>
    </row>
    <row r="7488">
      <c r="A7488" s="1">
        <v>43716.97197309027</v>
      </c>
      <c r="B7488" s="2">
        <v>141.0</v>
      </c>
      <c r="C7488" s="2" t="s">
        <v>53</v>
      </c>
    </row>
    <row r="7489">
      <c r="A7489" s="1">
        <v>43716.97210789352</v>
      </c>
      <c r="B7489" s="2">
        <v>157.0</v>
      </c>
      <c r="C7489" s="2" t="s">
        <v>141</v>
      </c>
    </row>
    <row r="7490">
      <c r="A7490" s="1">
        <v>43716.972496689814</v>
      </c>
      <c r="B7490" s="2">
        <v>208.0</v>
      </c>
      <c r="C7490" s="2" t="s">
        <v>182</v>
      </c>
    </row>
    <row r="7491">
      <c r="A7491" s="1">
        <v>43716.97300248843</v>
      </c>
      <c r="B7491" s="2">
        <v>257.0</v>
      </c>
      <c r="C7491" s="2" t="s">
        <v>27</v>
      </c>
    </row>
    <row r="7492">
      <c r="A7492" s="1">
        <v>43716.973205243055</v>
      </c>
      <c r="B7492" s="2">
        <v>267.0</v>
      </c>
      <c r="C7492" s="2" t="s">
        <v>115</v>
      </c>
    </row>
    <row r="7493">
      <c r="A7493" s="1">
        <v>43716.973316261574</v>
      </c>
      <c r="B7493" s="2">
        <v>602.0</v>
      </c>
      <c r="C7493" s="2" t="s">
        <v>131</v>
      </c>
    </row>
    <row r="7494">
      <c r="A7494" s="1">
        <v>43716.97339909722</v>
      </c>
      <c r="B7494" s="2">
        <v>603.0</v>
      </c>
      <c r="C7494" s="2" t="s">
        <v>40</v>
      </c>
    </row>
    <row r="7495">
      <c r="A7495" s="1">
        <v>43716.97405878472</v>
      </c>
      <c r="B7495" s="2">
        <v>643.0</v>
      </c>
      <c r="C7495" s="2" t="s">
        <v>166</v>
      </c>
    </row>
    <row r="7496">
      <c r="A7496" s="1">
        <v>43716.97425380787</v>
      </c>
      <c r="B7496" s="2">
        <v>653.0</v>
      </c>
      <c r="C7496" s="2" t="s">
        <v>77</v>
      </c>
    </row>
    <row r="7497">
      <c r="A7497" s="1">
        <v>43716.974355729166</v>
      </c>
      <c r="B7497" s="2">
        <v>655.0</v>
      </c>
      <c r="C7497" s="2" t="s">
        <v>17</v>
      </c>
    </row>
    <row r="7498">
      <c r="A7498" s="1">
        <v>43716.97481884259</v>
      </c>
      <c r="B7498" s="2">
        <v>708.0</v>
      </c>
      <c r="C7498" s="2" t="s">
        <v>4</v>
      </c>
      <c r="D7498" s="2" t="s">
        <v>5</v>
      </c>
    </row>
    <row r="7499">
      <c r="A7499" s="1">
        <v>43716.97487283565</v>
      </c>
      <c r="B7499" s="2">
        <v>709.0</v>
      </c>
      <c r="C7499" s="2" t="s">
        <v>20</v>
      </c>
      <c r="D7499" s="2" t="s">
        <v>5</v>
      </c>
    </row>
    <row r="7500">
      <c r="A7500" s="1">
        <v>43716.97492835648</v>
      </c>
      <c r="B7500" s="2">
        <v>710.0</v>
      </c>
      <c r="C7500" s="2" t="s">
        <v>21</v>
      </c>
      <c r="D7500" s="2" t="s">
        <v>5</v>
      </c>
    </row>
    <row r="7501">
      <c r="A7501" s="1">
        <v>43716.9750594213</v>
      </c>
      <c r="B7501" s="2">
        <v>713.0</v>
      </c>
      <c r="C7501" s="2" t="s">
        <v>121</v>
      </c>
      <c r="D7501" s="2" t="s">
        <v>5</v>
      </c>
    </row>
    <row r="7502">
      <c r="A7502" s="1">
        <v>43716.97512079861</v>
      </c>
      <c r="B7502" s="2">
        <v>714.0</v>
      </c>
      <c r="C7502" s="2" t="s">
        <v>122</v>
      </c>
      <c r="D7502" s="2" t="s">
        <v>5</v>
      </c>
    </row>
    <row r="7503">
      <c r="A7503" s="1">
        <v>43716.97560939815</v>
      </c>
      <c r="B7503" s="2">
        <v>738.0</v>
      </c>
      <c r="C7503" s="2" t="s">
        <v>161</v>
      </c>
      <c r="D7503" s="2" t="s">
        <v>5</v>
      </c>
    </row>
    <row r="7504">
      <c r="A7504" s="1">
        <v>43716.98105422454</v>
      </c>
      <c r="B7504" s="2">
        <v>114.0</v>
      </c>
      <c r="C7504" s="2" t="s">
        <v>15</v>
      </c>
    </row>
    <row r="7505">
      <c r="A7505" s="1">
        <v>43716.98418483796</v>
      </c>
      <c r="B7505" s="2">
        <v>707.0</v>
      </c>
      <c r="C7505" s="2" t="s">
        <v>57</v>
      </c>
      <c r="D7505" s="2" t="s">
        <v>5</v>
      </c>
    </row>
    <row r="7506">
      <c r="A7506" s="1">
        <v>43716.98428210648</v>
      </c>
      <c r="B7506" s="2">
        <v>729.0</v>
      </c>
      <c r="C7506" s="2" t="s">
        <v>54</v>
      </c>
      <c r="D7506" s="2" t="s">
        <v>5</v>
      </c>
    </row>
    <row r="7507">
      <c r="A7507" s="1">
        <v>43717.61298446759</v>
      </c>
      <c r="B7507" s="2">
        <v>675.0</v>
      </c>
      <c r="C7507" s="2" t="s">
        <v>222</v>
      </c>
    </row>
    <row r="7508">
      <c r="A7508" s="1">
        <v>43717.61413422454</v>
      </c>
      <c r="B7508" s="2">
        <v>716.0</v>
      </c>
      <c r="C7508" s="2" t="s">
        <v>123</v>
      </c>
      <c r="D7508" s="2" t="s">
        <v>5</v>
      </c>
    </row>
    <row r="7509">
      <c r="A7509" s="1">
        <v>43723.40142069444</v>
      </c>
      <c r="B7509" s="2">
        <v>165.0</v>
      </c>
      <c r="C7509" s="2" t="s">
        <v>50</v>
      </c>
    </row>
    <row r="7510">
      <c r="A7510" s="1">
        <v>43723.42126008101</v>
      </c>
      <c r="B7510" s="3" t="s">
        <v>88</v>
      </c>
      <c r="C7510" s="2" t="s">
        <v>89</v>
      </c>
    </row>
    <row r="7511">
      <c r="A7511" s="1">
        <v>43723.421533333334</v>
      </c>
      <c r="B7511" s="3" t="s">
        <v>88</v>
      </c>
      <c r="C7511" s="2" t="s">
        <v>89</v>
      </c>
    </row>
    <row r="7512">
      <c r="A7512" s="1">
        <v>43723.423001435185</v>
      </c>
      <c r="B7512" s="2">
        <v>602.0</v>
      </c>
      <c r="C7512" s="2" t="s">
        <v>131</v>
      </c>
    </row>
    <row r="7513">
      <c r="A7513" s="1">
        <v>43723.42312403936</v>
      </c>
      <c r="B7513" s="2">
        <v>602.0</v>
      </c>
      <c r="C7513" s="2" t="s">
        <v>131</v>
      </c>
    </row>
    <row r="7514">
      <c r="A7514" s="1">
        <v>43723.423265868056</v>
      </c>
      <c r="B7514" s="3" t="s">
        <v>80</v>
      </c>
      <c r="C7514" s="2" t="s">
        <v>81</v>
      </c>
    </row>
    <row r="7515">
      <c r="A7515" s="1">
        <v>43723.42399434028</v>
      </c>
      <c r="B7515" s="2">
        <v>735.0</v>
      </c>
      <c r="C7515" s="2" t="s">
        <v>37</v>
      </c>
      <c r="D7515" s="2" t="s">
        <v>5</v>
      </c>
    </row>
    <row r="7516">
      <c r="A7516" s="1">
        <v>43723.42416016204</v>
      </c>
      <c r="B7516" s="2">
        <v>735.0</v>
      </c>
      <c r="C7516" s="2" t="s">
        <v>37</v>
      </c>
      <c r="D7516" s="2" t="s">
        <v>5</v>
      </c>
    </row>
    <row r="7517">
      <c r="A7517" s="1">
        <v>43723.42446013889</v>
      </c>
      <c r="B7517" s="2">
        <v>643.0</v>
      </c>
      <c r="C7517" s="2" t="s">
        <v>166</v>
      </c>
    </row>
    <row r="7518">
      <c r="A7518" s="1">
        <v>43723.42477491898</v>
      </c>
      <c r="B7518" s="2">
        <v>175.0</v>
      </c>
      <c r="C7518" s="2" t="s">
        <v>69</v>
      </c>
    </row>
    <row r="7519">
      <c r="A7519" s="1">
        <v>43723.42524254629</v>
      </c>
      <c r="B7519" s="2">
        <v>613.0</v>
      </c>
      <c r="C7519" s="2" t="s">
        <v>124</v>
      </c>
    </row>
    <row r="7520">
      <c r="A7520" s="1">
        <v>43723.4255362963</v>
      </c>
      <c r="B7520" s="2">
        <v>52.0</v>
      </c>
      <c r="C7520" s="2" t="s">
        <v>41</v>
      </c>
    </row>
    <row r="7521">
      <c r="A7521" s="1">
        <v>43723.42589571759</v>
      </c>
      <c r="B7521" s="3" t="s">
        <v>88</v>
      </c>
      <c r="C7521" s="2" t="s">
        <v>89</v>
      </c>
    </row>
    <row r="7522">
      <c r="A7522" s="1">
        <v>43723.42662734954</v>
      </c>
      <c r="B7522" s="2">
        <v>238.0</v>
      </c>
      <c r="C7522" s="2" t="s">
        <v>35</v>
      </c>
    </row>
    <row r="7523">
      <c r="A7523" s="1">
        <v>43723.4274362037</v>
      </c>
      <c r="B7523" s="2">
        <v>627.0</v>
      </c>
      <c r="C7523" s="2" t="s">
        <v>134</v>
      </c>
    </row>
    <row r="7524">
      <c r="A7524" s="1">
        <v>43723.428841851855</v>
      </c>
      <c r="B7524" s="2">
        <v>627.0</v>
      </c>
      <c r="C7524" s="2" t="s">
        <v>134</v>
      </c>
    </row>
    <row r="7525">
      <c r="A7525" s="1">
        <v>43723.42908884259</v>
      </c>
      <c r="B7525" s="2">
        <v>734.0</v>
      </c>
      <c r="C7525" s="2" t="s">
        <v>63</v>
      </c>
      <c r="D7525" s="2" t="s">
        <v>5</v>
      </c>
    </row>
    <row r="7526">
      <c r="A7526" s="1">
        <v>43723.42931762731</v>
      </c>
      <c r="B7526" s="2">
        <v>259.0</v>
      </c>
      <c r="C7526" s="2" t="s">
        <v>66</v>
      </c>
    </row>
    <row r="7527">
      <c r="A7527" s="1">
        <v>43723.42952947917</v>
      </c>
      <c r="B7527" s="2">
        <v>260.0</v>
      </c>
      <c r="C7527" s="2" t="s">
        <v>67</v>
      </c>
    </row>
    <row r="7528">
      <c r="A7528" s="1">
        <v>43723.4301155787</v>
      </c>
      <c r="B7528" s="2">
        <v>605.0</v>
      </c>
      <c r="C7528" s="2" t="s">
        <v>206</v>
      </c>
    </row>
    <row r="7529">
      <c r="A7529" s="1">
        <v>43723.43016899306</v>
      </c>
      <c r="B7529" s="3" t="s">
        <v>55</v>
      </c>
      <c r="C7529" s="2" t="s">
        <v>56</v>
      </c>
    </row>
    <row r="7530">
      <c r="A7530" s="1">
        <v>43723.43032893518</v>
      </c>
      <c r="B7530" s="2">
        <v>167.0</v>
      </c>
      <c r="C7530" s="2" t="s">
        <v>39</v>
      </c>
    </row>
    <row r="7531">
      <c r="A7531" s="1">
        <v>43723.430497685185</v>
      </c>
      <c r="B7531" s="2">
        <v>158.0</v>
      </c>
      <c r="C7531" s="2" t="s">
        <v>62</v>
      </c>
    </row>
    <row r="7532">
      <c r="A7532" s="1">
        <v>43723.43068146991</v>
      </c>
      <c r="B7532" s="3" t="s">
        <v>159</v>
      </c>
      <c r="C7532" s="2" t="s">
        <v>160</v>
      </c>
    </row>
    <row r="7533">
      <c r="A7533" s="1">
        <v>43723.43095978009</v>
      </c>
      <c r="B7533" s="2">
        <v>678.0</v>
      </c>
      <c r="C7533" s="2" t="s">
        <v>228</v>
      </c>
    </row>
    <row r="7534">
      <c r="A7534" s="1">
        <v>43723.43159224537</v>
      </c>
      <c r="B7534" s="2">
        <v>193.0</v>
      </c>
      <c r="C7534" s="2" t="s">
        <v>30</v>
      </c>
    </row>
    <row r="7535">
      <c r="A7535" s="1">
        <v>43723.431833993054</v>
      </c>
      <c r="B7535" s="2">
        <v>165.0</v>
      </c>
      <c r="C7535" s="2" t="s">
        <v>50</v>
      </c>
    </row>
    <row r="7536">
      <c r="A7536" s="1">
        <v>43723.43199814815</v>
      </c>
      <c r="B7536" s="3" t="s">
        <v>32</v>
      </c>
      <c r="C7536" s="2" t="s">
        <v>33</v>
      </c>
    </row>
    <row r="7537">
      <c r="A7537" s="1">
        <v>43723.43220927083</v>
      </c>
      <c r="B7537" s="2">
        <v>246.0</v>
      </c>
      <c r="C7537" s="2" t="s">
        <v>26</v>
      </c>
    </row>
    <row r="7538">
      <c r="A7538" s="1">
        <v>43723.432425694446</v>
      </c>
      <c r="B7538" s="2">
        <v>722.0</v>
      </c>
      <c r="C7538" s="2" t="s">
        <v>25</v>
      </c>
      <c r="D7538" s="2" t="s">
        <v>5</v>
      </c>
    </row>
    <row r="7539">
      <c r="A7539" s="1">
        <v>43723.43264509259</v>
      </c>
      <c r="B7539" s="2">
        <v>201.0</v>
      </c>
      <c r="C7539" s="2" t="s">
        <v>70</v>
      </c>
    </row>
    <row r="7540">
      <c r="A7540" s="1">
        <v>43723.43272814815</v>
      </c>
      <c r="B7540" s="2">
        <v>215.0</v>
      </c>
      <c r="C7540" s="2" t="s">
        <v>137</v>
      </c>
    </row>
    <row r="7541">
      <c r="A7541" s="1">
        <v>43723.432848888886</v>
      </c>
      <c r="B7541" s="2">
        <v>631.0</v>
      </c>
      <c r="C7541" s="2" t="s">
        <v>178</v>
      </c>
    </row>
    <row r="7542">
      <c r="A7542" s="1">
        <v>43723.43300984954</v>
      </c>
      <c r="B7542" s="2">
        <v>738.0</v>
      </c>
      <c r="C7542" s="2" t="s">
        <v>161</v>
      </c>
      <c r="D7542" s="2" t="s">
        <v>5</v>
      </c>
    </row>
    <row r="7543">
      <c r="A7543" s="1">
        <v>43723.4332741088</v>
      </c>
      <c r="B7543" s="2">
        <v>631.0</v>
      </c>
      <c r="C7543" s="2" t="s">
        <v>178</v>
      </c>
    </row>
    <row r="7544">
      <c r="A7544" s="1">
        <v>43723.43341935185</v>
      </c>
      <c r="B7544" s="2">
        <v>173.0</v>
      </c>
      <c r="C7544" s="2" t="s">
        <v>24</v>
      </c>
    </row>
    <row r="7545">
      <c r="A7545" s="1">
        <v>43723.433583356484</v>
      </c>
      <c r="B7545" s="2">
        <v>214.0</v>
      </c>
      <c r="C7545" s="2" t="s">
        <v>47</v>
      </c>
    </row>
    <row r="7546">
      <c r="A7546" s="1">
        <v>43723.43360319444</v>
      </c>
      <c r="B7546" s="2">
        <v>201.0</v>
      </c>
      <c r="C7546" s="2" t="s">
        <v>70</v>
      </c>
    </row>
    <row r="7547">
      <c r="A7547" s="1">
        <v>43723.43368048611</v>
      </c>
      <c r="B7547" s="2">
        <v>611.0</v>
      </c>
      <c r="C7547" s="2" t="s">
        <v>143</v>
      </c>
    </row>
    <row r="7548">
      <c r="A7548" s="1">
        <v>43723.433947303245</v>
      </c>
      <c r="B7548" s="2">
        <v>113.0</v>
      </c>
      <c r="C7548" s="2" t="s">
        <v>29</v>
      </c>
    </row>
    <row r="7549">
      <c r="A7549" s="1">
        <v>43723.43425351851</v>
      </c>
      <c r="B7549" s="2">
        <v>618.0</v>
      </c>
      <c r="C7549" s="2" t="s">
        <v>147</v>
      </c>
    </row>
    <row r="7550">
      <c r="A7550" s="1">
        <v>43723.43426976852</v>
      </c>
      <c r="B7550" s="2">
        <v>113.0</v>
      </c>
      <c r="C7550" s="2" t="s">
        <v>29</v>
      </c>
    </row>
    <row r="7551">
      <c r="A7551" s="1">
        <v>43723.43433321759</v>
      </c>
      <c r="B7551" s="3" t="s">
        <v>150</v>
      </c>
      <c r="C7551" s="2" t="s">
        <v>151</v>
      </c>
    </row>
    <row r="7552">
      <c r="A7552" s="1">
        <v>43723.434456585645</v>
      </c>
      <c r="B7552" s="3" t="s">
        <v>82</v>
      </c>
      <c r="C7552" s="2" t="s">
        <v>83</v>
      </c>
    </row>
    <row r="7553">
      <c r="A7553" s="1">
        <v>43723.434564375</v>
      </c>
      <c r="B7553" s="3" t="s">
        <v>78</v>
      </c>
      <c r="C7553" s="2" t="s">
        <v>79</v>
      </c>
    </row>
    <row r="7554">
      <c r="A7554" s="1">
        <v>43723.43476747685</v>
      </c>
      <c r="B7554" s="2">
        <v>723.0</v>
      </c>
      <c r="C7554" s="2" t="s">
        <v>84</v>
      </c>
      <c r="D7554" s="2" t="s">
        <v>5</v>
      </c>
    </row>
    <row r="7555">
      <c r="A7555" s="1">
        <v>43723.4348725</v>
      </c>
      <c r="B7555" s="2">
        <v>614.0</v>
      </c>
      <c r="C7555" s="2" t="s">
        <v>76</v>
      </c>
    </row>
    <row r="7556">
      <c r="A7556" s="1">
        <v>43723.43489333334</v>
      </c>
      <c r="B7556" s="2">
        <v>193.0</v>
      </c>
      <c r="C7556" s="2" t="s">
        <v>30</v>
      </c>
    </row>
    <row r="7557">
      <c r="A7557" s="1">
        <v>43723.43528450231</v>
      </c>
      <c r="B7557" s="3" t="s">
        <v>74</v>
      </c>
      <c r="C7557" s="2" t="s">
        <v>75</v>
      </c>
    </row>
    <row r="7558">
      <c r="A7558" s="1">
        <v>43723.435522326385</v>
      </c>
      <c r="B7558" s="2">
        <v>160.0</v>
      </c>
      <c r="C7558" s="2" t="s">
        <v>154</v>
      </c>
    </row>
    <row r="7559">
      <c r="A7559" s="1">
        <v>43723.43571597223</v>
      </c>
      <c r="B7559" s="2">
        <v>677.0</v>
      </c>
      <c r="C7559" s="2" t="s">
        <v>224</v>
      </c>
    </row>
    <row r="7560">
      <c r="A7560" s="1">
        <v>43723.435857847224</v>
      </c>
      <c r="B7560" s="2">
        <v>677.0</v>
      </c>
      <c r="C7560" s="2" t="s">
        <v>224</v>
      </c>
    </row>
    <row r="7561">
      <c r="A7561" s="1">
        <v>43723.43588121528</v>
      </c>
      <c r="B7561" s="2">
        <v>667.0</v>
      </c>
      <c r="C7561" s="2" t="s">
        <v>73</v>
      </c>
    </row>
    <row r="7562">
      <c r="A7562" s="1">
        <v>43723.436033668986</v>
      </c>
      <c r="B7562" s="3" t="s">
        <v>150</v>
      </c>
      <c r="C7562" s="2" t="s">
        <v>151</v>
      </c>
    </row>
    <row r="7563">
      <c r="A7563" s="1">
        <v>43723.43689173611</v>
      </c>
      <c r="B7563" s="3" t="s">
        <v>51</v>
      </c>
      <c r="C7563" s="2" t="s">
        <v>52</v>
      </c>
    </row>
    <row r="7564">
      <c r="A7564" s="1">
        <v>43723.43705</v>
      </c>
      <c r="B7564" s="2">
        <v>229.0</v>
      </c>
      <c r="C7564" s="2" t="s">
        <v>86</v>
      </c>
    </row>
    <row r="7565">
      <c r="A7565" s="1">
        <v>43723.43714592593</v>
      </c>
      <c r="B7565" s="2">
        <v>736.0</v>
      </c>
      <c r="C7565" s="2" t="s">
        <v>175</v>
      </c>
      <c r="D7565" s="2" t="s">
        <v>5</v>
      </c>
    </row>
    <row r="7566">
      <c r="A7566" s="1">
        <v>43723.43723686342</v>
      </c>
      <c r="B7566" s="2">
        <v>737.0</v>
      </c>
      <c r="C7566" s="2" t="s">
        <v>176</v>
      </c>
      <c r="D7566" s="2" t="s">
        <v>5</v>
      </c>
    </row>
    <row r="7567">
      <c r="A7567" s="1">
        <v>43723.43727609953</v>
      </c>
      <c r="B7567" s="2">
        <v>607.0</v>
      </c>
      <c r="C7567" s="2" t="s">
        <v>68</v>
      </c>
    </row>
    <row r="7568">
      <c r="A7568" s="1">
        <v>43723.437369039355</v>
      </c>
      <c r="B7568" s="2">
        <v>262.0</v>
      </c>
      <c r="C7568" s="2" t="s">
        <v>28</v>
      </c>
    </row>
    <row r="7569">
      <c r="A7569" s="1">
        <v>43723.43745791666</v>
      </c>
      <c r="B7569" s="2">
        <v>254.0</v>
      </c>
      <c r="C7569" s="2" t="s">
        <v>132</v>
      </c>
    </row>
    <row r="7570">
      <c r="A7570" s="1">
        <v>43723.43751307871</v>
      </c>
      <c r="B7570" s="3" t="s">
        <v>13</v>
      </c>
      <c r="C7570" s="2" t="s">
        <v>14</v>
      </c>
    </row>
    <row r="7571">
      <c r="A7571" s="1">
        <v>43723.43754811343</v>
      </c>
      <c r="B7571" s="3" t="s">
        <v>13</v>
      </c>
      <c r="C7571" s="2" t="s">
        <v>14</v>
      </c>
    </row>
    <row r="7572">
      <c r="A7572" s="1">
        <v>43723.437774907405</v>
      </c>
      <c r="B7572" s="2">
        <v>712.0</v>
      </c>
      <c r="C7572" s="2" t="s">
        <v>116</v>
      </c>
      <c r="D7572" s="2" t="s">
        <v>5</v>
      </c>
    </row>
    <row r="7573">
      <c r="A7573" s="1">
        <v>43723.43784596065</v>
      </c>
      <c r="B7573" s="3" t="s">
        <v>111</v>
      </c>
      <c r="C7573" s="2" t="s">
        <v>112</v>
      </c>
    </row>
    <row r="7574">
      <c r="A7574" s="1">
        <v>43723.43956994213</v>
      </c>
      <c r="B7574" s="3" t="s">
        <v>44</v>
      </c>
      <c r="C7574" s="2" t="s">
        <v>45</v>
      </c>
    </row>
    <row r="7575">
      <c r="A7575" s="1">
        <v>43723.43982215278</v>
      </c>
      <c r="B7575" s="2">
        <v>208.0</v>
      </c>
      <c r="C7575" s="2" t="s">
        <v>182</v>
      </c>
    </row>
    <row r="7576">
      <c r="A7576" s="1">
        <v>43723.43994462963</v>
      </c>
      <c r="B7576" s="2">
        <v>254.0</v>
      </c>
      <c r="C7576" s="2" t="s">
        <v>132</v>
      </c>
    </row>
    <row r="7577">
      <c r="A7577" s="1">
        <v>43723.440118680555</v>
      </c>
      <c r="B7577" s="2">
        <v>244.0</v>
      </c>
      <c r="C7577" s="2" t="s">
        <v>38</v>
      </c>
    </row>
    <row r="7578">
      <c r="A7578" s="1">
        <v>43723.44202530093</v>
      </c>
      <c r="B7578" s="2">
        <v>624.0</v>
      </c>
      <c r="C7578" s="2" t="s">
        <v>90</v>
      </c>
    </row>
    <row r="7579">
      <c r="A7579" s="1">
        <v>43723.44218835648</v>
      </c>
      <c r="B7579" s="2">
        <v>724.0</v>
      </c>
      <c r="C7579" s="2" t="s">
        <v>91</v>
      </c>
      <c r="D7579" s="2" t="s">
        <v>5</v>
      </c>
    </row>
    <row r="7580">
      <c r="A7580" s="1">
        <v>43723.44348634259</v>
      </c>
      <c r="B7580" s="2">
        <v>673.0</v>
      </c>
      <c r="C7580" s="2" t="s">
        <v>189</v>
      </c>
    </row>
    <row r="7581">
      <c r="A7581" s="1">
        <v>43723.44362104167</v>
      </c>
      <c r="B7581" s="3" t="s">
        <v>98</v>
      </c>
      <c r="C7581" s="2" t="s">
        <v>99</v>
      </c>
    </row>
    <row r="7582">
      <c r="A7582" s="1">
        <v>43723.44374028935</v>
      </c>
      <c r="B7582" s="2">
        <v>147.0</v>
      </c>
      <c r="C7582" s="2" t="s">
        <v>100</v>
      </c>
    </row>
    <row r="7583">
      <c r="A7583" s="1">
        <v>43723.443878171296</v>
      </c>
      <c r="B7583" s="2">
        <v>726.0</v>
      </c>
      <c r="C7583" s="2" t="s">
        <v>101</v>
      </c>
      <c r="D7583" s="2" t="s">
        <v>5</v>
      </c>
    </row>
    <row r="7584">
      <c r="A7584" s="1">
        <v>43723.4441859375</v>
      </c>
      <c r="B7584" s="2">
        <v>732.0</v>
      </c>
      <c r="C7584" s="2" t="s">
        <v>102</v>
      </c>
      <c r="D7584" s="2" t="s">
        <v>5</v>
      </c>
    </row>
    <row r="7585">
      <c r="A7585" s="1">
        <v>43723.44435384259</v>
      </c>
      <c r="B7585" s="2">
        <v>655.0</v>
      </c>
      <c r="C7585" s="2" t="s">
        <v>17</v>
      </c>
    </row>
    <row r="7586">
      <c r="A7586" s="1">
        <v>43723.44444228009</v>
      </c>
      <c r="B7586" s="2">
        <v>641.0</v>
      </c>
      <c r="C7586" s="2" t="s">
        <v>210</v>
      </c>
    </row>
    <row r="7587">
      <c r="A7587" s="1">
        <v>43723.45331003472</v>
      </c>
      <c r="B7587" s="3" t="s">
        <v>113</v>
      </c>
      <c r="C7587" s="2" t="s">
        <v>114</v>
      </c>
    </row>
    <row r="7588">
      <c r="A7588" s="1">
        <v>43723.453461192126</v>
      </c>
      <c r="B7588" s="2">
        <v>718.0</v>
      </c>
      <c r="C7588" s="2" t="s">
        <v>105</v>
      </c>
      <c r="D7588" s="2" t="s">
        <v>5</v>
      </c>
    </row>
    <row r="7589">
      <c r="A7589" s="1">
        <v>43723.45353658564</v>
      </c>
      <c r="B7589" s="2">
        <v>719.0</v>
      </c>
      <c r="C7589" s="2" t="s">
        <v>106</v>
      </c>
      <c r="D7589" s="2" t="s">
        <v>5</v>
      </c>
    </row>
    <row r="7590">
      <c r="A7590" s="1">
        <v>43723.453690532406</v>
      </c>
      <c r="B7590" s="2">
        <v>101.0</v>
      </c>
      <c r="C7590" s="2" t="s">
        <v>108</v>
      </c>
    </row>
    <row r="7591">
      <c r="A7591" s="1">
        <v>43723.45378077547</v>
      </c>
      <c r="B7591" s="2">
        <v>124.0</v>
      </c>
      <c r="C7591" s="2" t="s">
        <v>107</v>
      </c>
    </row>
    <row r="7592">
      <c r="A7592" s="1">
        <v>43723.46051309028</v>
      </c>
      <c r="B7592" s="2">
        <v>663.0</v>
      </c>
      <c r="C7592" s="2" t="s">
        <v>109</v>
      </c>
    </row>
    <row r="7593">
      <c r="A7593" s="1">
        <v>43723.460649189816</v>
      </c>
      <c r="B7593" s="2">
        <v>733.0</v>
      </c>
      <c r="C7593" s="2" t="s">
        <v>110</v>
      </c>
      <c r="D7593" s="2" t="s">
        <v>5</v>
      </c>
    </row>
    <row r="7594">
      <c r="A7594" s="1">
        <v>43723.46450773148</v>
      </c>
      <c r="B7594" s="3" t="s">
        <v>103</v>
      </c>
      <c r="C7594" s="2" t="s">
        <v>104</v>
      </c>
    </row>
    <row r="7595">
      <c r="A7595" s="1">
        <v>43723.95638739583</v>
      </c>
      <c r="B7595" s="3" t="s">
        <v>22</v>
      </c>
      <c r="C7595" s="2" t="s">
        <v>23</v>
      </c>
    </row>
    <row r="7596">
      <c r="A7596" s="1">
        <v>43723.95646400463</v>
      </c>
      <c r="B7596" s="3" t="s">
        <v>9</v>
      </c>
      <c r="C7596" s="2" t="s">
        <v>10</v>
      </c>
    </row>
    <row r="7597">
      <c r="A7597" s="1">
        <v>43723.95654422454</v>
      </c>
      <c r="B7597" s="3" t="s">
        <v>117</v>
      </c>
      <c r="C7597" s="2" t="s">
        <v>118</v>
      </c>
    </row>
    <row r="7598">
      <c r="A7598" s="1">
        <v>43723.956607037035</v>
      </c>
      <c r="B7598" s="3" t="s">
        <v>119</v>
      </c>
      <c r="C7598" s="2" t="s">
        <v>120</v>
      </c>
    </row>
    <row r="7599">
      <c r="A7599" s="1">
        <v>43723.956706875004</v>
      </c>
      <c r="B7599" s="3" t="s">
        <v>11</v>
      </c>
      <c r="C7599" s="2" t="s">
        <v>12</v>
      </c>
    </row>
    <row r="7600">
      <c r="A7600" s="1">
        <v>43723.95730417824</v>
      </c>
      <c r="B7600" s="2">
        <v>114.0</v>
      </c>
      <c r="C7600" s="2" t="s">
        <v>15</v>
      </c>
    </row>
    <row r="7601">
      <c r="A7601" s="1">
        <v>43723.95792059028</v>
      </c>
      <c r="B7601" s="2">
        <v>231.0</v>
      </c>
      <c r="C7601" s="2" t="s">
        <v>61</v>
      </c>
    </row>
    <row r="7602">
      <c r="A7602" s="1">
        <v>43723.959115474536</v>
      </c>
      <c r="B7602" s="2">
        <v>603.0</v>
      </c>
      <c r="C7602" s="2" t="s">
        <v>40</v>
      </c>
    </row>
    <row r="7603">
      <c r="A7603" s="1">
        <v>43723.95918982639</v>
      </c>
      <c r="B7603" s="2">
        <v>604.0</v>
      </c>
      <c r="C7603" s="2" t="s">
        <v>36</v>
      </c>
    </row>
    <row r="7604">
      <c r="A7604" s="1">
        <v>43723.96028600694</v>
      </c>
      <c r="B7604" s="2">
        <v>675.0</v>
      </c>
      <c r="C7604" s="2" t="s">
        <v>222</v>
      </c>
    </row>
    <row r="7605">
      <c r="A7605" s="1">
        <v>43723.96043827546</v>
      </c>
      <c r="B7605" s="2">
        <v>679.0</v>
      </c>
      <c r="C7605" s="2" t="s">
        <v>229</v>
      </c>
    </row>
    <row r="7606">
      <c r="A7606" s="1">
        <v>43723.960823263886</v>
      </c>
      <c r="B7606" s="2">
        <v>709.0</v>
      </c>
      <c r="C7606" s="2" t="s">
        <v>20</v>
      </c>
      <c r="D7606" s="2" t="s">
        <v>5</v>
      </c>
    </row>
    <row r="7607">
      <c r="A7607" s="1">
        <v>43723.9609444213</v>
      </c>
      <c r="B7607" s="2">
        <v>713.0</v>
      </c>
      <c r="C7607" s="2" t="s">
        <v>121</v>
      </c>
      <c r="D7607" s="2" t="s">
        <v>5</v>
      </c>
    </row>
    <row r="7608">
      <c r="A7608" s="1">
        <v>43723.96104677083</v>
      </c>
      <c r="B7608" s="2">
        <v>714.0</v>
      </c>
      <c r="C7608" s="2" t="s">
        <v>122</v>
      </c>
      <c r="D7608" s="2" t="s">
        <v>5</v>
      </c>
    </row>
    <row r="7609">
      <c r="A7609" s="1">
        <v>43723.961142141205</v>
      </c>
      <c r="B7609" s="2">
        <v>708.0</v>
      </c>
      <c r="C7609" s="2" t="s">
        <v>4</v>
      </c>
      <c r="D7609" s="2" t="s">
        <v>5</v>
      </c>
    </row>
    <row r="7610">
      <c r="A7610" s="1">
        <v>43723.96120159722</v>
      </c>
      <c r="B7610" s="2">
        <v>710.0</v>
      </c>
      <c r="C7610" s="2" t="s">
        <v>21</v>
      </c>
      <c r="D7610" s="2" t="s">
        <v>5</v>
      </c>
    </row>
    <row r="7611">
      <c r="A7611" s="1">
        <v>43724.46751364583</v>
      </c>
      <c r="B7611" s="2">
        <v>716.0</v>
      </c>
      <c r="C7611" s="2" t="s">
        <v>123</v>
      </c>
      <c r="D7611" s="2" t="s">
        <v>5</v>
      </c>
    </row>
    <row r="7612">
      <c r="A7612" s="1">
        <v>43724.468252164355</v>
      </c>
      <c r="B7612" s="2">
        <v>721.0</v>
      </c>
      <c r="C7612" s="2" t="s">
        <v>156</v>
      </c>
      <c r="D7612" s="2" t="s">
        <v>5</v>
      </c>
    </row>
    <row r="7613">
      <c r="A7613" s="1">
        <v>43724.482077962966</v>
      </c>
      <c r="B7613" s="2">
        <v>253.0</v>
      </c>
      <c r="C7613" s="2" t="s">
        <v>138</v>
      </c>
    </row>
    <row r="7614">
      <c r="A7614" s="1">
        <v>43726.72978409722</v>
      </c>
      <c r="B7614" s="2">
        <v>609.0</v>
      </c>
      <c r="C7614" s="2" t="s">
        <v>179</v>
      </c>
    </row>
    <row r="7615">
      <c r="A7615" s="1">
        <v>43730.420526064816</v>
      </c>
      <c r="B7615" s="3" t="s">
        <v>150</v>
      </c>
      <c r="C7615" s="2" t="s">
        <v>151</v>
      </c>
    </row>
    <row r="7616">
      <c r="A7616" s="1">
        <v>43730.420712245366</v>
      </c>
      <c r="B7616" s="2">
        <v>52.0</v>
      </c>
      <c r="C7616" s="2" t="s">
        <v>41</v>
      </c>
    </row>
    <row r="7617">
      <c r="A7617" s="1">
        <v>43730.42089326389</v>
      </c>
      <c r="B7617" s="3" t="s">
        <v>159</v>
      </c>
      <c r="C7617" s="2" t="s">
        <v>160</v>
      </c>
    </row>
    <row r="7618">
      <c r="A7618" s="1">
        <v>43730.42103695602</v>
      </c>
      <c r="B7618" s="3" t="s">
        <v>80</v>
      </c>
      <c r="C7618" s="2" t="s">
        <v>81</v>
      </c>
    </row>
    <row r="7619">
      <c r="A7619" s="1">
        <v>43730.42132356481</v>
      </c>
      <c r="B7619" s="3" t="s">
        <v>94</v>
      </c>
      <c r="C7619" s="2" t="s">
        <v>95</v>
      </c>
    </row>
    <row r="7620">
      <c r="A7620" s="1">
        <v>43730.42147059028</v>
      </c>
      <c r="B7620" s="3" t="s">
        <v>42</v>
      </c>
      <c r="C7620" s="2" t="s">
        <v>43</v>
      </c>
    </row>
    <row r="7621">
      <c r="A7621" s="1">
        <v>43730.4219050463</v>
      </c>
      <c r="B7621" s="2">
        <v>175.0</v>
      </c>
      <c r="C7621" s="2" t="s">
        <v>69</v>
      </c>
    </row>
    <row r="7622">
      <c r="A7622" s="1">
        <v>43730.422106875005</v>
      </c>
      <c r="B7622" s="2">
        <v>231.0</v>
      </c>
      <c r="C7622" s="2" t="s">
        <v>61</v>
      </c>
    </row>
    <row r="7623">
      <c r="A7623" s="1">
        <v>43730.422245231486</v>
      </c>
      <c r="B7623" s="2">
        <v>231.0</v>
      </c>
      <c r="C7623" s="2" t="s">
        <v>61</v>
      </c>
    </row>
    <row r="7624">
      <c r="A7624" s="1">
        <v>43730.42225853009</v>
      </c>
      <c r="B7624" s="2">
        <v>244.0</v>
      </c>
      <c r="C7624" s="2" t="s">
        <v>38</v>
      </c>
    </row>
    <row r="7625">
      <c r="A7625" s="1">
        <v>43730.42229107639</v>
      </c>
      <c r="B7625" s="2">
        <v>231.0</v>
      </c>
      <c r="C7625" s="2" t="s">
        <v>61</v>
      </c>
    </row>
    <row r="7626">
      <c r="A7626" s="1">
        <v>43730.42273586805</v>
      </c>
      <c r="B7626" s="2">
        <v>678.0</v>
      </c>
      <c r="C7626" s="2" t="s">
        <v>228</v>
      </c>
    </row>
    <row r="7627">
      <c r="A7627" s="1">
        <v>43730.42286668981</v>
      </c>
      <c r="B7627" s="2">
        <v>678.0</v>
      </c>
      <c r="C7627" s="2" t="s">
        <v>228</v>
      </c>
    </row>
    <row r="7628">
      <c r="A7628" s="1">
        <v>43730.42321400463</v>
      </c>
      <c r="B7628" s="2">
        <v>707.0</v>
      </c>
      <c r="C7628" s="2" t="s">
        <v>57</v>
      </c>
      <c r="D7628" s="2" t="s">
        <v>5</v>
      </c>
    </row>
    <row r="7629">
      <c r="A7629" s="1">
        <v>43730.423607766206</v>
      </c>
      <c r="B7629" s="2">
        <v>729.0</v>
      </c>
      <c r="C7629" s="2" t="s">
        <v>54</v>
      </c>
      <c r="D7629" s="2" t="s">
        <v>5</v>
      </c>
    </row>
    <row r="7630">
      <c r="A7630" s="1">
        <v>43730.42373710648</v>
      </c>
      <c r="B7630" s="2">
        <v>175.0</v>
      </c>
      <c r="C7630" s="2" t="s">
        <v>69</v>
      </c>
    </row>
    <row r="7631">
      <c r="A7631" s="1">
        <v>43730.42378994213</v>
      </c>
      <c r="B7631" s="3" t="s">
        <v>55</v>
      </c>
      <c r="C7631" s="2" t="s">
        <v>56</v>
      </c>
    </row>
    <row r="7632">
      <c r="A7632" s="1">
        <v>43730.424064039355</v>
      </c>
      <c r="B7632" s="2">
        <v>141.0</v>
      </c>
      <c r="C7632" s="2" t="s">
        <v>53</v>
      </c>
    </row>
    <row r="7633">
      <c r="A7633" s="1">
        <v>43730.42424548611</v>
      </c>
      <c r="B7633" s="2">
        <v>175.0</v>
      </c>
      <c r="C7633" s="2" t="s">
        <v>69</v>
      </c>
    </row>
    <row r="7634">
      <c r="A7634" s="1">
        <v>43730.42438704861</v>
      </c>
      <c r="B7634" s="2">
        <v>175.0</v>
      </c>
      <c r="C7634" s="2" t="s">
        <v>69</v>
      </c>
    </row>
    <row r="7635">
      <c r="A7635" s="1">
        <v>43730.424538796295</v>
      </c>
      <c r="B7635" s="2">
        <v>175.0</v>
      </c>
      <c r="C7635" s="2" t="s">
        <v>69</v>
      </c>
    </row>
    <row r="7636">
      <c r="A7636" s="1">
        <v>43730.42468303241</v>
      </c>
      <c r="B7636" s="2">
        <v>167.0</v>
      </c>
      <c r="C7636" s="2" t="s">
        <v>39</v>
      </c>
    </row>
    <row r="7637">
      <c r="A7637" s="1">
        <v>43730.426955324074</v>
      </c>
      <c r="B7637" s="2">
        <v>165.0</v>
      </c>
      <c r="C7637" s="2" t="s">
        <v>50</v>
      </c>
    </row>
    <row r="7638">
      <c r="A7638" s="1">
        <v>43730.42715570602</v>
      </c>
      <c r="B7638" s="2">
        <v>262.0</v>
      </c>
      <c r="C7638" s="2" t="s">
        <v>28</v>
      </c>
    </row>
    <row r="7639">
      <c r="A7639" s="1">
        <v>43730.42801721065</v>
      </c>
      <c r="B7639" s="2">
        <v>210.0</v>
      </c>
      <c r="C7639" s="2" t="s">
        <v>64</v>
      </c>
    </row>
    <row r="7640">
      <c r="A7640" s="1">
        <v>43730.42822865741</v>
      </c>
      <c r="B7640" s="2">
        <v>740.0</v>
      </c>
      <c r="C7640" s="2" t="s">
        <v>221</v>
      </c>
      <c r="D7640" s="2" t="s">
        <v>5</v>
      </c>
    </row>
    <row r="7641">
      <c r="A7641" s="1">
        <v>43730.42839002315</v>
      </c>
      <c r="B7641" s="2">
        <v>229.0</v>
      </c>
      <c r="C7641" s="2" t="s">
        <v>86</v>
      </c>
    </row>
    <row r="7642">
      <c r="A7642" s="1">
        <v>43730.42874787037</v>
      </c>
      <c r="B7642" s="3" t="s">
        <v>82</v>
      </c>
      <c r="C7642" s="2" t="s">
        <v>83</v>
      </c>
    </row>
    <row r="7643">
      <c r="A7643" s="1">
        <v>43730.42983731482</v>
      </c>
      <c r="B7643" s="3" t="s">
        <v>78</v>
      </c>
      <c r="C7643" s="2" t="s">
        <v>79</v>
      </c>
    </row>
    <row r="7644">
      <c r="A7644" s="1">
        <v>43730.4300325463</v>
      </c>
      <c r="B7644" s="3" t="s">
        <v>94</v>
      </c>
      <c r="C7644" s="2" t="s">
        <v>95</v>
      </c>
    </row>
    <row r="7645">
      <c r="A7645" s="1">
        <v>43730.43020548611</v>
      </c>
      <c r="B7645" s="2">
        <v>723.0</v>
      </c>
      <c r="C7645" s="2" t="s">
        <v>84</v>
      </c>
      <c r="D7645" s="2" t="s">
        <v>5</v>
      </c>
    </row>
    <row r="7646">
      <c r="A7646" s="1">
        <v>43730.43042849537</v>
      </c>
      <c r="B7646" s="3" t="s">
        <v>111</v>
      </c>
      <c r="C7646" s="2" t="s">
        <v>112</v>
      </c>
    </row>
    <row r="7647">
      <c r="A7647" s="1">
        <v>43730.43111704861</v>
      </c>
      <c r="B7647" s="2">
        <v>173.0</v>
      </c>
      <c r="C7647" s="2" t="s">
        <v>24</v>
      </c>
    </row>
    <row r="7648">
      <c r="A7648" s="1">
        <v>43730.43123689815</v>
      </c>
      <c r="B7648" s="3" t="s">
        <v>32</v>
      </c>
      <c r="C7648" s="2" t="s">
        <v>33</v>
      </c>
    </row>
    <row r="7649">
      <c r="A7649" s="1">
        <v>43730.431336724534</v>
      </c>
      <c r="B7649" s="3" t="s">
        <v>150</v>
      </c>
      <c r="C7649" s="2" t="s">
        <v>151</v>
      </c>
    </row>
    <row r="7650">
      <c r="A7650" s="1">
        <v>43730.4314716088</v>
      </c>
      <c r="B7650" s="2">
        <v>214.0</v>
      </c>
      <c r="C7650" s="2" t="s">
        <v>47</v>
      </c>
    </row>
    <row r="7651">
      <c r="A7651" s="1">
        <v>43730.431689467594</v>
      </c>
      <c r="B7651" s="3" t="s">
        <v>42</v>
      </c>
      <c r="C7651" s="2" t="s">
        <v>43</v>
      </c>
    </row>
    <row r="7652">
      <c r="A7652" s="1">
        <v>43730.43255435185</v>
      </c>
      <c r="B7652" s="2">
        <v>231.0</v>
      </c>
      <c r="C7652" s="2" t="s">
        <v>61</v>
      </c>
    </row>
    <row r="7653">
      <c r="A7653" s="1">
        <v>43730.43291809028</v>
      </c>
      <c r="B7653" s="3" t="s">
        <v>80</v>
      </c>
      <c r="C7653" s="2" t="s">
        <v>81</v>
      </c>
    </row>
    <row r="7654">
      <c r="A7654" s="1">
        <v>43730.43538767361</v>
      </c>
      <c r="B7654" s="2">
        <v>158.0</v>
      </c>
      <c r="C7654" s="2" t="s">
        <v>62</v>
      </c>
    </row>
    <row r="7655">
      <c r="A7655" s="1">
        <v>43730.43567421296</v>
      </c>
      <c r="B7655" s="3" t="s">
        <v>88</v>
      </c>
      <c r="C7655" s="2" t="s">
        <v>89</v>
      </c>
    </row>
    <row r="7656">
      <c r="A7656" s="1">
        <v>43730.43591858796</v>
      </c>
      <c r="B7656" s="2">
        <v>702.0</v>
      </c>
      <c r="C7656" s="2" t="s">
        <v>96</v>
      </c>
      <c r="D7656" s="2" t="s">
        <v>5</v>
      </c>
    </row>
    <row r="7657">
      <c r="A7657" s="1">
        <v>43730.43664114583</v>
      </c>
      <c r="B7657" s="2">
        <v>198.0</v>
      </c>
      <c r="C7657" s="2" t="s">
        <v>97</v>
      </c>
    </row>
    <row r="7658">
      <c r="A7658" s="1">
        <v>43730.43706758102</v>
      </c>
      <c r="B7658" s="2">
        <v>259.0</v>
      </c>
      <c r="C7658" s="2" t="s">
        <v>66</v>
      </c>
    </row>
    <row r="7659">
      <c r="A7659" s="1">
        <v>43730.43726258102</v>
      </c>
      <c r="B7659" s="2">
        <v>260.0</v>
      </c>
      <c r="C7659" s="2" t="s">
        <v>67</v>
      </c>
    </row>
    <row r="7660">
      <c r="A7660" s="1">
        <v>43730.43742869213</v>
      </c>
      <c r="B7660" s="2">
        <v>734.0</v>
      </c>
      <c r="C7660" s="2" t="s">
        <v>63</v>
      </c>
      <c r="D7660" s="2" t="s">
        <v>5</v>
      </c>
    </row>
    <row r="7661">
      <c r="A7661" s="1">
        <v>43730.43776864583</v>
      </c>
      <c r="B7661" s="2">
        <v>724.0</v>
      </c>
      <c r="C7661" s="2" t="s">
        <v>91</v>
      </c>
      <c r="D7661" s="2" t="s">
        <v>5</v>
      </c>
    </row>
    <row r="7662">
      <c r="A7662" s="1">
        <v>43730.43796333333</v>
      </c>
      <c r="B7662" s="2">
        <v>725.0</v>
      </c>
      <c r="C7662" s="2" t="s">
        <v>92</v>
      </c>
      <c r="D7662" s="2" t="s">
        <v>5</v>
      </c>
    </row>
    <row r="7663">
      <c r="A7663" s="1">
        <v>43730.43829716435</v>
      </c>
      <c r="B7663" s="2">
        <v>624.0</v>
      </c>
      <c r="C7663" s="2" t="s">
        <v>90</v>
      </c>
    </row>
    <row r="7664">
      <c r="A7664" s="1">
        <v>43730.43845302083</v>
      </c>
      <c r="B7664" s="2">
        <v>702.0</v>
      </c>
      <c r="C7664" s="2" t="s">
        <v>96</v>
      </c>
      <c r="D7664" s="2" t="s">
        <v>5</v>
      </c>
    </row>
    <row r="7665">
      <c r="A7665" s="1">
        <v>43730.4387031713</v>
      </c>
      <c r="B7665" s="3" t="s">
        <v>44</v>
      </c>
      <c r="C7665" s="2" t="s">
        <v>45</v>
      </c>
    </row>
    <row r="7666">
      <c r="A7666" s="1">
        <v>43730.43903622685</v>
      </c>
      <c r="B7666" s="2">
        <v>253.0</v>
      </c>
      <c r="C7666" s="2" t="s">
        <v>138</v>
      </c>
    </row>
    <row r="7667">
      <c r="A7667" s="1">
        <v>43730.43980571759</v>
      </c>
      <c r="B7667" s="2">
        <v>602.0</v>
      </c>
      <c r="C7667" s="2" t="s">
        <v>131</v>
      </c>
    </row>
    <row r="7668">
      <c r="A7668" s="1">
        <v>43730.439945555554</v>
      </c>
      <c r="B7668" s="3" t="s">
        <v>103</v>
      </c>
      <c r="C7668" s="2" t="s">
        <v>104</v>
      </c>
    </row>
    <row r="7669">
      <c r="A7669" s="1">
        <v>43730.44012417824</v>
      </c>
      <c r="B7669" s="3" t="s">
        <v>22</v>
      </c>
      <c r="C7669" s="2" t="s">
        <v>23</v>
      </c>
    </row>
    <row r="7670">
      <c r="A7670" s="1">
        <v>43730.44031012732</v>
      </c>
      <c r="B7670" s="2">
        <v>201.0</v>
      </c>
      <c r="C7670" s="2" t="s">
        <v>70</v>
      </c>
    </row>
    <row r="7671">
      <c r="A7671" s="1">
        <v>43730.44068858796</v>
      </c>
      <c r="B7671" s="2">
        <v>124.0</v>
      </c>
      <c r="C7671" s="2" t="s">
        <v>107</v>
      </c>
    </row>
    <row r="7672">
      <c r="A7672" s="1">
        <v>43730.44097667824</v>
      </c>
      <c r="B7672" s="2">
        <v>611.0</v>
      </c>
      <c r="C7672" s="2" t="s">
        <v>143</v>
      </c>
    </row>
    <row r="7673">
      <c r="A7673" s="1">
        <v>43730.441163298616</v>
      </c>
      <c r="B7673" s="2">
        <v>193.0</v>
      </c>
      <c r="C7673" s="2" t="s">
        <v>30</v>
      </c>
    </row>
    <row r="7674">
      <c r="A7674" s="1">
        <v>43730.44144108796</v>
      </c>
      <c r="B7674" s="2">
        <v>735.0</v>
      </c>
      <c r="C7674" s="2" t="s">
        <v>37</v>
      </c>
      <c r="D7674" s="2" t="s">
        <v>5</v>
      </c>
    </row>
    <row r="7675">
      <c r="A7675" s="1">
        <v>43730.4415892824</v>
      </c>
      <c r="B7675" s="2">
        <v>267.0</v>
      </c>
      <c r="C7675" s="2" t="s">
        <v>115</v>
      </c>
    </row>
    <row r="7676">
      <c r="A7676" s="1">
        <v>43730.44186840278</v>
      </c>
      <c r="B7676" s="2">
        <v>607.0</v>
      </c>
      <c r="C7676" s="2" t="s">
        <v>68</v>
      </c>
    </row>
    <row r="7677">
      <c r="A7677" s="1">
        <v>43730.44204709491</v>
      </c>
      <c r="B7677" s="3" t="s">
        <v>162</v>
      </c>
      <c r="C7677" s="2" t="s">
        <v>163</v>
      </c>
    </row>
    <row r="7678">
      <c r="A7678" s="1">
        <v>43730.442246238425</v>
      </c>
      <c r="B7678" s="2">
        <v>721.0</v>
      </c>
      <c r="C7678" s="2" t="s">
        <v>156</v>
      </c>
      <c r="D7678" s="2" t="s">
        <v>5</v>
      </c>
    </row>
    <row r="7679">
      <c r="A7679" s="1">
        <v>43730.4424603125</v>
      </c>
      <c r="B7679" s="2">
        <v>208.0</v>
      </c>
      <c r="C7679" s="2" t="s">
        <v>182</v>
      </c>
    </row>
    <row r="7680">
      <c r="A7680" s="1">
        <v>43730.44272734954</v>
      </c>
      <c r="B7680" s="2">
        <v>172.0</v>
      </c>
      <c r="C7680" s="2" t="s">
        <v>65</v>
      </c>
    </row>
    <row r="7681">
      <c r="A7681" s="1">
        <v>43730.44331189815</v>
      </c>
      <c r="B7681" s="2">
        <v>52.0</v>
      </c>
      <c r="C7681" s="2" t="s">
        <v>41</v>
      </c>
    </row>
    <row r="7682">
      <c r="A7682" s="1">
        <v>43730.4435461574</v>
      </c>
      <c r="B7682" s="2">
        <v>614.0</v>
      </c>
      <c r="C7682" s="2" t="s">
        <v>76</v>
      </c>
    </row>
    <row r="7683">
      <c r="A7683" s="1">
        <v>43730.44371111111</v>
      </c>
      <c r="B7683" s="3" t="s">
        <v>51</v>
      </c>
      <c r="C7683" s="2" t="s">
        <v>52</v>
      </c>
    </row>
    <row r="7684">
      <c r="A7684" s="1">
        <v>43730.44392751157</v>
      </c>
      <c r="B7684" s="2">
        <v>648.0</v>
      </c>
      <c r="C7684" s="2" t="s">
        <v>207</v>
      </c>
    </row>
    <row r="7685">
      <c r="A7685" s="1">
        <v>43730.444150474534</v>
      </c>
      <c r="B7685" s="2">
        <v>737.0</v>
      </c>
      <c r="C7685" s="2" t="s">
        <v>176</v>
      </c>
      <c r="D7685" s="2" t="s">
        <v>5</v>
      </c>
    </row>
    <row r="7686">
      <c r="A7686" s="1">
        <v>43730.44427072917</v>
      </c>
      <c r="B7686" s="2">
        <v>736.0</v>
      </c>
      <c r="C7686" s="2" t="s">
        <v>175</v>
      </c>
      <c r="D7686" s="2" t="s">
        <v>5</v>
      </c>
    </row>
    <row r="7687">
      <c r="A7687" s="1">
        <v>43730.4443975</v>
      </c>
      <c r="B7687" s="3" t="s">
        <v>98</v>
      </c>
      <c r="C7687" s="2" t="s">
        <v>99</v>
      </c>
    </row>
    <row r="7688">
      <c r="A7688" s="1">
        <v>43730.44479194444</v>
      </c>
      <c r="B7688" s="2">
        <v>726.0</v>
      </c>
      <c r="C7688" s="2" t="s">
        <v>101</v>
      </c>
      <c r="D7688" s="2" t="s">
        <v>5</v>
      </c>
    </row>
    <row r="7689">
      <c r="A7689" s="1">
        <v>43730.44492701389</v>
      </c>
      <c r="B7689" s="2">
        <v>732.0</v>
      </c>
      <c r="C7689" s="2" t="s">
        <v>102</v>
      </c>
      <c r="D7689" s="2" t="s">
        <v>5</v>
      </c>
    </row>
    <row r="7690">
      <c r="A7690" s="1">
        <v>43730.445123831014</v>
      </c>
      <c r="B7690" s="2">
        <v>268.0</v>
      </c>
      <c r="C7690" s="2" t="s">
        <v>205</v>
      </c>
    </row>
    <row r="7691">
      <c r="A7691" s="1">
        <v>43730.44609298611</v>
      </c>
      <c r="B7691" s="2">
        <v>618.0</v>
      </c>
      <c r="C7691" s="2" t="s">
        <v>147</v>
      </c>
    </row>
    <row r="7692">
      <c r="A7692" s="1">
        <v>43730.446357939814</v>
      </c>
      <c r="B7692" s="2">
        <v>673.0</v>
      </c>
      <c r="C7692" s="2" t="s">
        <v>189</v>
      </c>
    </row>
    <row r="7693">
      <c r="A7693" s="1">
        <v>43730.44762547454</v>
      </c>
      <c r="B7693" s="2">
        <v>678.0</v>
      </c>
      <c r="C7693" s="2" t="s">
        <v>228</v>
      </c>
    </row>
    <row r="7694">
      <c r="A7694" s="1">
        <v>43730.448243032406</v>
      </c>
      <c r="B7694" s="2">
        <v>268.0</v>
      </c>
      <c r="C7694" s="2" t="s">
        <v>205</v>
      </c>
    </row>
    <row r="7695">
      <c r="A7695" s="1">
        <v>43730.448928645834</v>
      </c>
      <c r="B7695" s="2">
        <v>733.0</v>
      </c>
      <c r="C7695" s="2" t="s">
        <v>110</v>
      </c>
      <c r="D7695" s="2" t="s">
        <v>5</v>
      </c>
    </row>
    <row r="7696">
      <c r="A7696" s="1">
        <v>43730.449153379624</v>
      </c>
      <c r="B7696" s="2">
        <v>663.0</v>
      </c>
      <c r="C7696" s="2" t="s">
        <v>109</v>
      </c>
    </row>
    <row r="7697">
      <c r="A7697" s="1">
        <v>43730.44940762731</v>
      </c>
      <c r="B7697" s="3" t="s">
        <v>74</v>
      </c>
      <c r="C7697" s="2" t="s">
        <v>75</v>
      </c>
    </row>
    <row r="7698">
      <c r="A7698" s="1">
        <v>43731.64573834491</v>
      </c>
      <c r="B7698" s="2">
        <v>677.0</v>
      </c>
      <c r="C7698" s="2" t="s">
        <v>224</v>
      </c>
    </row>
    <row r="7699">
      <c r="A7699" s="1">
        <v>43731.645776307865</v>
      </c>
      <c r="B7699" s="2">
        <v>675.0</v>
      </c>
      <c r="C7699" s="2" t="s">
        <v>222</v>
      </c>
    </row>
    <row r="7700">
      <c r="A7700" s="1">
        <v>43731.65722395833</v>
      </c>
      <c r="B7700" s="2">
        <v>677.0</v>
      </c>
      <c r="C7700" s="2" t="s">
        <v>224</v>
      </c>
    </row>
    <row r="7701">
      <c r="A7701" s="1">
        <v>43731.66327039352</v>
      </c>
      <c r="B7701" s="2">
        <v>655.0</v>
      </c>
      <c r="C7701" s="2" t="s">
        <v>17</v>
      </c>
    </row>
    <row r="7702">
      <c r="A7702" s="1">
        <v>43731.664977395834</v>
      </c>
      <c r="B7702" s="2">
        <v>679.0</v>
      </c>
      <c r="C7702" s="2" t="s">
        <v>229</v>
      </c>
    </row>
    <row r="7703">
      <c r="A7703" s="1">
        <v>43731.665555995365</v>
      </c>
      <c r="B7703" s="2">
        <v>643.0</v>
      </c>
      <c r="C7703" s="2" t="s">
        <v>166</v>
      </c>
    </row>
    <row r="7704">
      <c r="A7704" s="1">
        <v>43731.67140450231</v>
      </c>
      <c r="B7704" s="2">
        <v>238.0</v>
      </c>
      <c r="C7704" s="2" t="s">
        <v>35</v>
      </c>
    </row>
    <row r="7705">
      <c r="A7705" s="1">
        <v>43731.67321649306</v>
      </c>
      <c r="B7705" s="2">
        <v>641.0</v>
      </c>
      <c r="C7705" s="2" t="s">
        <v>210</v>
      </c>
    </row>
    <row r="7706">
      <c r="A7706" s="1">
        <v>43731.67456373843</v>
      </c>
      <c r="B7706" s="3" t="s">
        <v>9</v>
      </c>
      <c r="C7706" s="2" t="s">
        <v>10</v>
      </c>
    </row>
    <row r="7707">
      <c r="A7707" s="1">
        <v>43731.674602141204</v>
      </c>
      <c r="B7707" s="3" t="s">
        <v>119</v>
      </c>
      <c r="C7707" s="2" t="s">
        <v>120</v>
      </c>
    </row>
    <row r="7708">
      <c r="A7708" s="1">
        <v>43731.67466152778</v>
      </c>
      <c r="B7708" s="3" t="s">
        <v>11</v>
      </c>
      <c r="C7708" s="2" t="s">
        <v>12</v>
      </c>
    </row>
    <row r="7709">
      <c r="A7709" s="1">
        <v>43731.67470403935</v>
      </c>
      <c r="B7709" s="3" t="s">
        <v>117</v>
      </c>
      <c r="C7709" s="2" t="s">
        <v>118</v>
      </c>
    </row>
    <row r="7710">
      <c r="A7710" s="1">
        <v>43731.67488673611</v>
      </c>
      <c r="B7710" s="2">
        <v>114.0</v>
      </c>
      <c r="C7710" s="2" t="s">
        <v>15</v>
      </c>
    </row>
    <row r="7711">
      <c r="A7711" s="1">
        <v>43731.67565761574</v>
      </c>
      <c r="B7711" s="3" t="s">
        <v>103</v>
      </c>
      <c r="C7711" s="2" t="s">
        <v>104</v>
      </c>
    </row>
    <row r="7712">
      <c r="A7712" s="1">
        <v>43731.6765028588</v>
      </c>
      <c r="B7712" s="3" t="s">
        <v>126</v>
      </c>
      <c r="C7712" s="2" t="s">
        <v>127</v>
      </c>
    </row>
    <row r="7713">
      <c r="A7713" s="1">
        <v>43731.68038253472</v>
      </c>
      <c r="B7713" s="2">
        <v>126.0</v>
      </c>
      <c r="C7713" s="2" t="s">
        <v>87</v>
      </c>
    </row>
    <row r="7714">
      <c r="A7714" s="1">
        <v>43731.681144305556</v>
      </c>
      <c r="B7714" s="2">
        <v>706.0</v>
      </c>
      <c r="C7714" s="2" t="s">
        <v>149</v>
      </c>
      <c r="D7714" s="2" t="s">
        <v>5</v>
      </c>
    </row>
    <row r="7715">
      <c r="A7715" s="1">
        <v>43731.68133349537</v>
      </c>
      <c r="B7715" s="2">
        <v>716.0</v>
      </c>
      <c r="C7715" s="2" t="s">
        <v>123</v>
      </c>
      <c r="D7715" s="2" t="s">
        <v>5</v>
      </c>
    </row>
    <row r="7716">
      <c r="A7716" s="1">
        <v>43731.68146743056</v>
      </c>
      <c r="B7716" s="2">
        <v>740.0</v>
      </c>
      <c r="C7716" s="2" t="s">
        <v>221</v>
      </c>
      <c r="D7716" s="2" t="s">
        <v>5</v>
      </c>
    </row>
    <row r="7717">
      <c r="A7717" s="1">
        <v>43731.681528113426</v>
      </c>
      <c r="B7717" s="2">
        <v>738.0</v>
      </c>
      <c r="C7717" s="2" t="s">
        <v>161</v>
      </c>
      <c r="D7717" s="2" t="s">
        <v>5</v>
      </c>
    </row>
    <row r="7718">
      <c r="A7718" s="1">
        <v>43731.68166715278</v>
      </c>
      <c r="B7718" s="2">
        <v>667.0</v>
      </c>
      <c r="C7718" s="2" t="s">
        <v>73</v>
      </c>
    </row>
    <row r="7719">
      <c r="A7719" s="1">
        <v>43731.681971655096</v>
      </c>
      <c r="B7719" s="3" t="s">
        <v>150</v>
      </c>
      <c r="C7719" s="2" t="s">
        <v>151</v>
      </c>
    </row>
    <row r="7720">
      <c r="A7720" s="1">
        <v>43731.682727384265</v>
      </c>
      <c r="B7720" s="2">
        <v>631.0</v>
      </c>
      <c r="C7720" s="2" t="s">
        <v>178</v>
      </c>
    </row>
    <row r="7721">
      <c r="A7721" s="1">
        <v>43731.68276278935</v>
      </c>
      <c r="B7721" s="2">
        <v>630.0</v>
      </c>
      <c r="C7721" s="2" t="s">
        <v>158</v>
      </c>
    </row>
    <row r="7722">
      <c r="A7722" s="1">
        <v>43731.68407959491</v>
      </c>
      <c r="B7722" s="2">
        <v>209.0</v>
      </c>
      <c r="C7722" s="2" t="s">
        <v>219</v>
      </c>
    </row>
    <row r="7723">
      <c r="A7723" s="1">
        <v>43731.68487302083</v>
      </c>
      <c r="B7723" s="2">
        <v>733.0</v>
      </c>
      <c r="C7723" s="2" t="s">
        <v>110</v>
      </c>
      <c r="D7723" s="2" t="s">
        <v>5</v>
      </c>
    </row>
    <row r="7724">
      <c r="A7724" s="1">
        <v>43731.68499657407</v>
      </c>
      <c r="B7724" s="2">
        <v>663.0</v>
      </c>
      <c r="C7724" s="2" t="s">
        <v>109</v>
      </c>
    </row>
    <row r="7725">
      <c r="A7725" s="1">
        <v>43731.68591534722</v>
      </c>
      <c r="B7725" s="2">
        <v>701.0</v>
      </c>
      <c r="C7725" s="2" t="s">
        <v>93</v>
      </c>
      <c r="D7725" s="2" t="s">
        <v>5</v>
      </c>
    </row>
    <row r="7726">
      <c r="A7726" s="1">
        <v>43731.687103923614</v>
      </c>
      <c r="B7726" s="2">
        <v>147.0</v>
      </c>
      <c r="C7726" s="2" t="s">
        <v>100</v>
      </c>
    </row>
    <row r="7727">
      <c r="A7727" s="1">
        <v>43731.69028768518</v>
      </c>
      <c r="B7727" s="2">
        <v>708.0</v>
      </c>
      <c r="C7727" s="2" t="s">
        <v>4</v>
      </c>
      <c r="D7727" s="2" t="s">
        <v>5</v>
      </c>
    </row>
    <row r="7728">
      <c r="A7728" s="1">
        <v>43731.690321030095</v>
      </c>
      <c r="B7728" s="2">
        <v>709.0</v>
      </c>
      <c r="C7728" s="2" t="s">
        <v>20</v>
      </c>
      <c r="D7728" s="2" t="s">
        <v>5</v>
      </c>
    </row>
    <row r="7729">
      <c r="A7729" s="1">
        <v>43731.69034732639</v>
      </c>
      <c r="B7729" s="2">
        <v>710.0</v>
      </c>
      <c r="C7729" s="2" t="s">
        <v>21</v>
      </c>
      <c r="D7729" s="2" t="s">
        <v>5</v>
      </c>
    </row>
    <row r="7730">
      <c r="A7730" s="1">
        <v>43731.69039157407</v>
      </c>
      <c r="B7730" s="2">
        <v>713.0</v>
      </c>
      <c r="C7730" s="2" t="s">
        <v>121</v>
      </c>
      <c r="D7730" s="2" t="s">
        <v>5</v>
      </c>
    </row>
    <row r="7731">
      <c r="A7731" s="1">
        <v>43731.69043902778</v>
      </c>
      <c r="B7731" s="2">
        <v>714.0</v>
      </c>
      <c r="C7731" s="2" t="s">
        <v>122</v>
      </c>
      <c r="D7731" s="2" t="s">
        <v>5</v>
      </c>
    </row>
    <row r="7732">
      <c r="A7732" s="1">
        <v>43731.69116362269</v>
      </c>
      <c r="B7732" s="2">
        <v>604.0</v>
      </c>
      <c r="C7732" s="2" t="s">
        <v>36</v>
      </c>
    </row>
    <row r="7733">
      <c r="A7733" s="1">
        <v>43731.691508240736</v>
      </c>
      <c r="B7733" s="2">
        <v>114.0</v>
      </c>
      <c r="C7733" s="2" t="s">
        <v>15</v>
      </c>
    </row>
    <row r="7734">
      <c r="A7734" s="1">
        <v>43732.4075310301</v>
      </c>
      <c r="B7734" s="2">
        <v>609.0</v>
      </c>
      <c r="C7734" s="2" t="s">
        <v>179</v>
      </c>
    </row>
    <row r="7735">
      <c r="A7735" s="1">
        <v>43737.3946787037</v>
      </c>
      <c r="B7735" s="2">
        <v>167.0</v>
      </c>
      <c r="C7735" s="2" t="s">
        <v>39</v>
      </c>
    </row>
    <row r="7736">
      <c r="A7736" s="1">
        <v>43737.4167381713</v>
      </c>
      <c r="B7736" s="2">
        <v>735.0</v>
      </c>
      <c r="C7736" s="2" t="s">
        <v>37</v>
      </c>
      <c r="D7736" s="2" t="s">
        <v>5</v>
      </c>
    </row>
    <row r="7737">
      <c r="A7737" s="1">
        <v>43737.41826494213</v>
      </c>
      <c r="B7737" s="2">
        <v>735.0</v>
      </c>
      <c r="C7737" s="2" t="s">
        <v>37</v>
      </c>
      <c r="D7737" s="2" t="s">
        <v>5</v>
      </c>
    </row>
    <row r="7738">
      <c r="A7738" s="1">
        <v>43737.41917317129</v>
      </c>
      <c r="B7738" s="2">
        <v>158.0</v>
      </c>
      <c r="C7738" s="2" t="s">
        <v>62</v>
      </c>
    </row>
    <row r="7739">
      <c r="A7739" s="1">
        <v>43737.423736979166</v>
      </c>
      <c r="B7739" s="2">
        <v>246.0</v>
      </c>
      <c r="C7739" s="2" t="s">
        <v>26</v>
      </c>
    </row>
    <row r="7740">
      <c r="A7740" s="1">
        <v>43737.423987002316</v>
      </c>
      <c r="B7740" s="2">
        <v>246.0</v>
      </c>
      <c r="C7740" s="2" t="s">
        <v>26</v>
      </c>
    </row>
    <row r="7741">
      <c r="A7741" s="1">
        <v>43737.42438861111</v>
      </c>
      <c r="B7741" s="2">
        <v>738.0</v>
      </c>
      <c r="C7741" s="2" t="s">
        <v>161</v>
      </c>
      <c r="D7741" s="2" t="s">
        <v>5</v>
      </c>
    </row>
    <row r="7742">
      <c r="A7742" s="1">
        <v>43737.426973368056</v>
      </c>
      <c r="B7742" s="2">
        <v>653.0</v>
      </c>
      <c r="C7742" s="2" t="s">
        <v>77</v>
      </c>
    </row>
    <row r="7743">
      <c r="A7743" s="1">
        <v>43737.42748673611</v>
      </c>
      <c r="B7743" s="2">
        <v>165.0</v>
      </c>
      <c r="C7743" s="2" t="s">
        <v>50</v>
      </c>
    </row>
    <row r="7744">
      <c r="A7744" s="1">
        <v>43737.42755515046</v>
      </c>
      <c r="B7744" s="2">
        <v>231.0</v>
      </c>
      <c r="C7744" s="2" t="s">
        <v>61</v>
      </c>
    </row>
    <row r="7745">
      <c r="A7745" s="1">
        <v>43737.42774038194</v>
      </c>
      <c r="B7745" s="2">
        <v>52.0</v>
      </c>
      <c r="C7745" s="2" t="s">
        <v>41</v>
      </c>
    </row>
    <row r="7746">
      <c r="A7746" s="1">
        <v>43737.42781952546</v>
      </c>
      <c r="B7746" s="3" t="s">
        <v>32</v>
      </c>
      <c r="C7746" s="2" t="s">
        <v>33</v>
      </c>
    </row>
    <row r="7747">
      <c r="A7747" s="1">
        <v>43737.42792001157</v>
      </c>
      <c r="B7747" s="3" t="s">
        <v>88</v>
      </c>
      <c r="C7747" s="2" t="s">
        <v>89</v>
      </c>
    </row>
    <row r="7748">
      <c r="A7748" s="1">
        <v>43737.429343599535</v>
      </c>
      <c r="B7748" s="2">
        <v>244.0</v>
      </c>
      <c r="C7748" s="2" t="s">
        <v>38</v>
      </c>
    </row>
    <row r="7749">
      <c r="A7749" s="1">
        <v>43737.42971049769</v>
      </c>
      <c r="B7749" s="2">
        <v>173.0</v>
      </c>
      <c r="C7749" s="2" t="s">
        <v>24</v>
      </c>
    </row>
    <row r="7750">
      <c r="A7750" s="1">
        <v>43737.429973136575</v>
      </c>
      <c r="B7750" s="2">
        <v>643.0</v>
      </c>
      <c r="C7750" s="2" t="s">
        <v>166</v>
      </c>
    </row>
    <row r="7751">
      <c r="A7751" s="1">
        <v>43737.430163020836</v>
      </c>
      <c r="B7751" s="3" t="s">
        <v>22</v>
      </c>
      <c r="C7751" s="2" t="s">
        <v>23</v>
      </c>
    </row>
    <row r="7752">
      <c r="A7752" s="1">
        <v>43737.430754733796</v>
      </c>
      <c r="B7752" s="2">
        <v>207.0</v>
      </c>
      <c r="C7752" s="2" t="s">
        <v>85</v>
      </c>
    </row>
    <row r="7753">
      <c r="A7753" s="1">
        <v>43737.43202770833</v>
      </c>
      <c r="B7753" s="2">
        <v>632.0</v>
      </c>
      <c r="C7753" s="2" t="s">
        <v>146</v>
      </c>
    </row>
    <row r="7754">
      <c r="A7754" s="1">
        <v>43737.43294576389</v>
      </c>
      <c r="B7754" s="2">
        <v>736.0</v>
      </c>
      <c r="C7754" s="2" t="s">
        <v>175</v>
      </c>
      <c r="D7754" s="2" t="s">
        <v>5</v>
      </c>
    </row>
    <row r="7755">
      <c r="A7755" s="1">
        <v>43737.43325865741</v>
      </c>
      <c r="B7755" s="3" t="s">
        <v>44</v>
      </c>
      <c r="C7755" s="2" t="s">
        <v>45</v>
      </c>
    </row>
    <row r="7756">
      <c r="A7756" s="1">
        <v>43737.43344070602</v>
      </c>
      <c r="B7756" s="2">
        <v>723.0</v>
      </c>
      <c r="C7756" s="2" t="s">
        <v>84</v>
      </c>
      <c r="D7756" s="2" t="s">
        <v>5</v>
      </c>
    </row>
    <row r="7757">
      <c r="A7757" s="1">
        <v>43737.433745891205</v>
      </c>
      <c r="B7757" s="3" t="s">
        <v>78</v>
      </c>
      <c r="C7757" s="2" t="s">
        <v>79</v>
      </c>
    </row>
    <row r="7758">
      <c r="A7758" s="1">
        <v>43737.4340646412</v>
      </c>
      <c r="B7758" s="3" t="s">
        <v>82</v>
      </c>
      <c r="C7758" s="2" t="s">
        <v>83</v>
      </c>
    </row>
    <row r="7759">
      <c r="A7759" s="1">
        <v>43737.43441850695</v>
      </c>
      <c r="B7759" s="2">
        <v>736.0</v>
      </c>
      <c r="C7759" s="2" t="s">
        <v>175</v>
      </c>
      <c r="D7759" s="2" t="s">
        <v>5</v>
      </c>
    </row>
    <row r="7760">
      <c r="A7760" s="1">
        <v>43737.4345244213</v>
      </c>
      <c r="B7760" s="2">
        <v>736.0</v>
      </c>
      <c r="C7760" s="2" t="s">
        <v>175</v>
      </c>
      <c r="D7760" s="2" t="s">
        <v>5</v>
      </c>
    </row>
    <row r="7761">
      <c r="A7761" s="1">
        <v>43737.43452859954</v>
      </c>
      <c r="B7761" s="2">
        <v>737.0</v>
      </c>
      <c r="C7761" s="2" t="s">
        <v>176</v>
      </c>
      <c r="D7761" s="2" t="s">
        <v>5</v>
      </c>
    </row>
    <row r="7762">
      <c r="A7762" s="1">
        <v>43737.43648446759</v>
      </c>
      <c r="B7762" s="2">
        <v>126.0</v>
      </c>
      <c r="C7762" s="2" t="s">
        <v>87</v>
      </c>
    </row>
    <row r="7763">
      <c r="A7763" s="1">
        <v>43737.437421423616</v>
      </c>
      <c r="B7763" s="2">
        <v>736.0</v>
      </c>
      <c r="C7763" s="2" t="s">
        <v>175</v>
      </c>
      <c r="D7763" s="2" t="s">
        <v>5</v>
      </c>
    </row>
    <row r="7764">
      <c r="A7764" s="1">
        <v>43737.43749914352</v>
      </c>
      <c r="B7764" s="2">
        <v>736.0</v>
      </c>
      <c r="C7764" s="2" t="s">
        <v>175</v>
      </c>
      <c r="D7764" s="2" t="s">
        <v>5</v>
      </c>
    </row>
    <row r="7765">
      <c r="A7765" s="1">
        <v>43737.43818577546</v>
      </c>
      <c r="B7765" s="2">
        <v>736.0</v>
      </c>
      <c r="C7765" s="2" t="s">
        <v>175</v>
      </c>
      <c r="D7765" s="2" t="s">
        <v>5</v>
      </c>
    </row>
    <row r="7766">
      <c r="A7766" s="1">
        <v>43737.438297280096</v>
      </c>
      <c r="B7766" s="2">
        <v>736.0</v>
      </c>
      <c r="C7766" s="2" t="s">
        <v>175</v>
      </c>
      <c r="D7766" s="2" t="s">
        <v>5</v>
      </c>
    </row>
    <row r="7767">
      <c r="A7767" s="1">
        <v>43737.438631111116</v>
      </c>
      <c r="B7767" s="2">
        <v>268.0</v>
      </c>
      <c r="C7767" s="2" t="s">
        <v>205</v>
      </c>
    </row>
    <row r="7768">
      <c r="A7768" s="1">
        <v>43737.43889528935</v>
      </c>
      <c r="B7768" s="2">
        <v>701.0</v>
      </c>
      <c r="C7768" s="2" t="s">
        <v>93</v>
      </c>
      <c r="D7768" s="2" t="s">
        <v>5</v>
      </c>
    </row>
    <row r="7769">
      <c r="A7769" s="1">
        <v>43737.43917415509</v>
      </c>
      <c r="B7769" s="2">
        <v>259.0</v>
      </c>
      <c r="C7769" s="2" t="s">
        <v>66</v>
      </c>
    </row>
    <row r="7770">
      <c r="A7770" s="1">
        <v>43737.4392724537</v>
      </c>
      <c r="B7770" s="2">
        <v>260.0</v>
      </c>
      <c r="C7770" s="2" t="s">
        <v>67</v>
      </c>
    </row>
    <row r="7771">
      <c r="A7771" s="1">
        <v>43737.43952005787</v>
      </c>
      <c r="B7771" s="2">
        <v>734.0</v>
      </c>
      <c r="C7771" s="2" t="s">
        <v>63</v>
      </c>
      <c r="D7771" s="2" t="s">
        <v>5</v>
      </c>
    </row>
    <row r="7772">
      <c r="A7772" s="1">
        <v>43737.43969989583</v>
      </c>
      <c r="B7772" s="3" t="s">
        <v>111</v>
      </c>
      <c r="C7772" s="2" t="s">
        <v>112</v>
      </c>
    </row>
    <row r="7773">
      <c r="A7773" s="1">
        <v>43737.43984247685</v>
      </c>
      <c r="B7773" s="3" t="s">
        <v>150</v>
      </c>
      <c r="C7773" s="2" t="s">
        <v>151</v>
      </c>
    </row>
    <row r="7774">
      <c r="A7774" s="1">
        <v>43737.44014078703</v>
      </c>
      <c r="B7774" s="2">
        <v>667.0</v>
      </c>
      <c r="C7774" s="2" t="s">
        <v>73</v>
      </c>
    </row>
    <row r="7775">
      <c r="A7775" s="1">
        <v>43737.440396157406</v>
      </c>
      <c r="B7775" s="2">
        <v>706.0</v>
      </c>
      <c r="C7775" s="2" t="s">
        <v>149</v>
      </c>
      <c r="D7775" s="2" t="s">
        <v>5</v>
      </c>
    </row>
    <row r="7776">
      <c r="A7776" s="1">
        <v>43737.4405956713</v>
      </c>
      <c r="B7776" s="2">
        <v>611.0</v>
      </c>
      <c r="C7776" s="2" t="s">
        <v>143</v>
      </c>
    </row>
    <row r="7777">
      <c r="A7777" s="1">
        <v>43737.44083229167</v>
      </c>
      <c r="B7777" s="2">
        <v>604.0</v>
      </c>
      <c r="C7777" s="2" t="s">
        <v>36</v>
      </c>
    </row>
    <row r="7778">
      <c r="A7778" s="1">
        <v>43737.44139465278</v>
      </c>
      <c r="B7778" s="3" t="s">
        <v>113</v>
      </c>
      <c r="C7778" s="2" t="s">
        <v>114</v>
      </c>
    </row>
    <row r="7779">
      <c r="A7779" s="1">
        <v>43737.441578391205</v>
      </c>
      <c r="B7779" s="2">
        <v>101.0</v>
      </c>
      <c r="C7779" s="2" t="s">
        <v>108</v>
      </c>
    </row>
    <row r="7780">
      <c r="A7780" s="1">
        <v>43737.441738865746</v>
      </c>
      <c r="B7780" s="2">
        <v>124.0</v>
      </c>
      <c r="C7780" s="2" t="s">
        <v>107</v>
      </c>
    </row>
    <row r="7781">
      <c r="A7781" s="1">
        <v>43737.4419081713</v>
      </c>
      <c r="B7781" s="2">
        <v>718.0</v>
      </c>
      <c r="C7781" s="2" t="s">
        <v>105</v>
      </c>
      <c r="D7781" s="2" t="s">
        <v>5</v>
      </c>
    </row>
    <row r="7782">
      <c r="A7782" s="1">
        <v>43737.442016747686</v>
      </c>
      <c r="B7782" s="2">
        <v>719.0</v>
      </c>
      <c r="C7782" s="2" t="s">
        <v>106</v>
      </c>
      <c r="D7782" s="2" t="s">
        <v>5</v>
      </c>
    </row>
    <row r="7783">
      <c r="A7783" s="1">
        <v>43737.442423252316</v>
      </c>
      <c r="B7783" s="2">
        <v>201.0</v>
      </c>
      <c r="C7783" s="2" t="s">
        <v>70</v>
      </c>
    </row>
    <row r="7784">
      <c r="A7784" s="1">
        <v>43737.44257998843</v>
      </c>
      <c r="B7784" s="2">
        <v>229.0</v>
      </c>
      <c r="C7784" s="2" t="s">
        <v>86</v>
      </c>
    </row>
    <row r="7785">
      <c r="A7785" s="1">
        <v>43737.44272765046</v>
      </c>
      <c r="B7785" s="2">
        <v>229.0</v>
      </c>
      <c r="C7785" s="2" t="s">
        <v>86</v>
      </c>
    </row>
    <row r="7786">
      <c r="A7786" s="1">
        <v>43737.44273203704</v>
      </c>
      <c r="B7786" s="2">
        <v>262.0</v>
      </c>
      <c r="C7786" s="2" t="s">
        <v>28</v>
      </c>
    </row>
    <row r="7787">
      <c r="A7787" s="1">
        <v>43737.44285083334</v>
      </c>
      <c r="B7787" s="2">
        <v>229.0</v>
      </c>
      <c r="C7787" s="2" t="s">
        <v>86</v>
      </c>
    </row>
    <row r="7788">
      <c r="A7788" s="1">
        <v>43737.443089837965</v>
      </c>
      <c r="B7788" s="2">
        <v>254.0</v>
      </c>
      <c r="C7788" s="2" t="s">
        <v>132</v>
      </c>
    </row>
    <row r="7789">
      <c r="A7789" s="1">
        <v>43737.44343675926</v>
      </c>
      <c r="B7789" s="2">
        <v>726.0</v>
      </c>
      <c r="C7789" s="2" t="s">
        <v>101</v>
      </c>
      <c r="D7789" s="2" t="s">
        <v>5</v>
      </c>
    </row>
    <row r="7790">
      <c r="A7790" s="1">
        <v>43737.44384868056</v>
      </c>
      <c r="B7790" s="3" t="s">
        <v>98</v>
      </c>
      <c r="C7790" s="2" t="s">
        <v>99</v>
      </c>
    </row>
    <row r="7791">
      <c r="A7791" s="1">
        <v>43737.44400753472</v>
      </c>
      <c r="B7791" s="3" t="s">
        <v>11</v>
      </c>
      <c r="C7791" s="2" t="s">
        <v>12</v>
      </c>
    </row>
    <row r="7792">
      <c r="A7792" s="1">
        <v>43737.44421616898</v>
      </c>
      <c r="B7792" s="3" t="s">
        <v>42</v>
      </c>
      <c r="C7792" s="2" t="s">
        <v>43</v>
      </c>
    </row>
    <row r="7793">
      <c r="A7793" s="1">
        <v>43737.444618379624</v>
      </c>
      <c r="B7793" s="2">
        <v>732.0</v>
      </c>
      <c r="C7793" s="2" t="s">
        <v>102</v>
      </c>
      <c r="D7793" s="2" t="s">
        <v>5</v>
      </c>
    </row>
    <row r="7794">
      <c r="A7794" s="1">
        <v>43737.44691662037</v>
      </c>
      <c r="B7794" s="2">
        <v>602.0</v>
      </c>
      <c r="C7794" s="2" t="s">
        <v>131</v>
      </c>
    </row>
    <row r="7795">
      <c r="A7795" s="1">
        <v>43737.45239967592</v>
      </c>
      <c r="B7795" s="2">
        <v>601.0</v>
      </c>
      <c r="C7795" s="2" t="s">
        <v>125</v>
      </c>
    </row>
    <row r="7796">
      <c r="A7796" s="1">
        <v>43737.452638414354</v>
      </c>
      <c r="B7796" s="2">
        <v>601.0</v>
      </c>
      <c r="C7796" s="2" t="s">
        <v>125</v>
      </c>
    </row>
    <row r="7797">
      <c r="A7797" s="1">
        <v>43737.45287086806</v>
      </c>
      <c r="B7797" s="2">
        <v>733.0</v>
      </c>
      <c r="C7797" s="2" t="s">
        <v>110</v>
      </c>
      <c r="D7797" s="2" t="s">
        <v>5</v>
      </c>
    </row>
    <row r="7798">
      <c r="A7798" s="1">
        <v>43737.45304879629</v>
      </c>
      <c r="B7798" s="2">
        <v>663.0</v>
      </c>
      <c r="C7798" s="2" t="s">
        <v>109</v>
      </c>
    </row>
    <row r="7799">
      <c r="A7799" s="1">
        <v>43737.453193090274</v>
      </c>
      <c r="B7799" s="2">
        <v>648.0</v>
      </c>
      <c r="C7799" s="2" t="s">
        <v>207</v>
      </c>
    </row>
    <row r="7800">
      <c r="A7800" s="1">
        <v>43737.45780664352</v>
      </c>
      <c r="B7800" s="3" t="s">
        <v>9</v>
      </c>
      <c r="C7800" s="2" t="s">
        <v>10</v>
      </c>
    </row>
    <row r="7801">
      <c r="A7801" s="1">
        <v>43738.42405265046</v>
      </c>
      <c r="B7801" s="2">
        <v>153.0</v>
      </c>
      <c r="C7801" s="2" t="s">
        <v>148</v>
      </c>
    </row>
    <row r="7802">
      <c r="A7802" s="1">
        <v>43738.425968854164</v>
      </c>
      <c r="B7802" s="3" t="s">
        <v>74</v>
      </c>
      <c r="C7802" s="2" t="s">
        <v>75</v>
      </c>
    </row>
    <row r="7803">
      <c r="A7803" s="1">
        <v>43738.432638645834</v>
      </c>
      <c r="B7803" s="2">
        <v>678.0</v>
      </c>
      <c r="C7803" s="2" t="s">
        <v>228</v>
      </c>
    </row>
    <row r="7804">
      <c r="A7804" s="1">
        <v>43738.43301070602</v>
      </c>
      <c r="B7804" s="2">
        <v>214.0</v>
      </c>
      <c r="C7804" s="2" t="s">
        <v>47</v>
      </c>
    </row>
    <row r="7805">
      <c r="A7805" s="1">
        <v>43738.43328491898</v>
      </c>
      <c r="B7805" s="2">
        <v>253.0</v>
      </c>
      <c r="C7805" s="2" t="s">
        <v>138</v>
      </c>
    </row>
    <row r="7806">
      <c r="A7806" s="1">
        <v>43738.43368086805</v>
      </c>
      <c r="B7806" s="2">
        <v>193.0</v>
      </c>
      <c r="C7806" s="2" t="s">
        <v>30</v>
      </c>
    </row>
    <row r="7807">
      <c r="A7807" s="1">
        <v>43738.433986909724</v>
      </c>
      <c r="B7807" s="2">
        <v>219.0</v>
      </c>
      <c r="C7807" s="2" t="s">
        <v>31</v>
      </c>
    </row>
    <row r="7808">
      <c r="A7808" s="1">
        <v>43738.43412697916</v>
      </c>
      <c r="B7808" s="3" t="s">
        <v>80</v>
      </c>
      <c r="C7808" s="2" t="s">
        <v>81</v>
      </c>
    </row>
    <row r="7809">
      <c r="A7809" s="1">
        <v>43738.434419467594</v>
      </c>
      <c r="B7809" s="3" t="s">
        <v>51</v>
      </c>
      <c r="C7809" s="2" t="s">
        <v>52</v>
      </c>
    </row>
    <row r="7810">
      <c r="A7810" s="1">
        <v>43738.43471725694</v>
      </c>
      <c r="B7810" s="2">
        <v>614.0</v>
      </c>
      <c r="C7810" s="2" t="s">
        <v>76</v>
      </c>
    </row>
    <row r="7811">
      <c r="A7811" s="1">
        <v>43738.43494387731</v>
      </c>
      <c r="B7811" s="2">
        <v>238.0</v>
      </c>
      <c r="C7811" s="2" t="s">
        <v>35</v>
      </c>
    </row>
    <row r="7812">
      <c r="A7812" s="1">
        <v>43738.43586979166</v>
      </c>
      <c r="B7812" s="3" t="s">
        <v>159</v>
      </c>
      <c r="C7812" s="2" t="s">
        <v>160</v>
      </c>
    </row>
    <row r="7813">
      <c r="A7813" s="1">
        <v>43738.43615974537</v>
      </c>
      <c r="B7813" s="2">
        <v>114.0</v>
      </c>
      <c r="C7813" s="2" t="s">
        <v>15</v>
      </c>
    </row>
    <row r="7814">
      <c r="A7814" s="1">
        <v>43738.43629079861</v>
      </c>
      <c r="B7814" s="2">
        <v>716.0</v>
      </c>
      <c r="C7814" s="2" t="s">
        <v>123</v>
      </c>
      <c r="D7814" s="2" t="s">
        <v>5</v>
      </c>
    </row>
    <row r="7815">
      <c r="A7815" s="1">
        <v>43738.43653298611</v>
      </c>
      <c r="B7815" s="2">
        <v>709.0</v>
      </c>
      <c r="C7815" s="2" t="s">
        <v>20</v>
      </c>
      <c r="D7815" s="2" t="s">
        <v>5</v>
      </c>
    </row>
    <row r="7816">
      <c r="A7816" s="1">
        <v>43738.43656526621</v>
      </c>
      <c r="B7816" s="2">
        <v>708.0</v>
      </c>
      <c r="C7816" s="2" t="s">
        <v>4</v>
      </c>
      <c r="D7816" s="2" t="s">
        <v>5</v>
      </c>
    </row>
    <row r="7817">
      <c r="A7817" s="1">
        <v>43738.43660079861</v>
      </c>
      <c r="B7817" s="2">
        <v>710.0</v>
      </c>
      <c r="C7817" s="2" t="s">
        <v>21</v>
      </c>
      <c r="D7817" s="2" t="s">
        <v>5</v>
      </c>
    </row>
    <row r="7818">
      <c r="A7818" s="1">
        <v>43738.43702787037</v>
      </c>
      <c r="B7818" s="2">
        <v>147.0</v>
      </c>
      <c r="C7818" s="2" t="s">
        <v>100</v>
      </c>
    </row>
    <row r="7819">
      <c r="A7819" s="1">
        <v>43738.437371215274</v>
      </c>
      <c r="B7819" s="2">
        <v>631.0</v>
      </c>
      <c r="C7819" s="2" t="s">
        <v>178</v>
      </c>
    </row>
    <row r="7820">
      <c r="A7820" s="1">
        <v>43738.43755590278</v>
      </c>
      <c r="B7820" s="2">
        <v>713.0</v>
      </c>
      <c r="C7820" s="2" t="s">
        <v>121</v>
      </c>
      <c r="D7820" s="2" t="s">
        <v>5</v>
      </c>
    </row>
    <row r="7821">
      <c r="A7821" s="1">
        <v>43738.437590057874</v>
      </c>
      <c r="B7821" s="2">
        <v>714.0</v>
      </c>
      <c r="C7821" s="2" t="s">
        <v>122</v>
      </c>
      <c r="D7821" s="2" t="s">
        <v>5</v>
      </c>
    </row>
    <row r="7822">
      <c r="A7822" s="1">
        <v>43738.437774108796</v>
      </c>
      <c r="B7822" s="2">
        <v>722.0</v>
      </c>
      <c r="C7822" s="2" t="s">
        <v>25</v>
      </c>
      <c r="D7822" s="2" t="s">
        <v>5</v>
      </c>
    </row>
    <row r="7823">
      <c r="A7823" s="1">
        <v>43738.43814283564</v>
      </c>
      <c r="B7823" s="3" t="s">
        <v>103</v>
      </c>
      <c r="C7823" s="2" t="s">
        <v>104</v>
      </c>
    </row>
    <row r="7824">
      <c r="A7824" s="1">
        <v>43738.43830876157</v>
      </c>
      <c r="B7824" s="3" t="s">
        <v>119</v>
      </c>
      <c r="C7824" s="2" t="s">
        <v>120</v>
      </c>
    </row>
    <row r="7825">
      <c r="A7825" s="1">
        <v>43738.43833960648</v>
      </c>
      <c r="B7825" s="3" t="s">
        <v>117</v>
      </c>
      <c r="C7825" s="2" t="s">
        <v>118</v>
      </c>
    </row>
    <row r="7826">
      <c r="A7826" s="1">
        <v>43738.483435057875</v>
      </c>
      <c r="B7826" s="2">
        <v>665.0</v>
      </c>
      <c r="C7826" s="2" t="s">
        <v>145</v>
      </c>
    </row>
    <row r="7827">
      <c r="A7827" s="1">
        <v>43738.646494444445</v>
      </c>
      <c r="B7827" s="2">
        <v>656.0</v>
      </c>
      <c r="C7827" s="2" t="s">
        <v>144</v>
      </c>
    </row>
    <row r="7828">
      <c r="A7828" s="1">
        <v>43738.646795567125</v>
      </c>
      <c r="B7828" s="2">
        <v>656.0</v>
      </c>
      <c r="C7828" s="2" t="s">
        <v>144</v>
      </c>
    </row>
    <row r="7829">
      <c r="A7829" s="1">
        <v>43738.647447916665</v>
      </c>
      <c r="B7829" s="2">
        <v>656.0</v>
      </c>
      <c r="C7829" s="2" t="s">
        <v>144</v>
      </c>
    </row>
    <row r="7830">
      <c r="A7830" s="1">
        <v>43738.64778434028</v>
      </c>
      <c r="B7830" s="2">
        <v>734.0</v>
      </c>
      <c r="C7830" s="2" t="s">
        <v>63</v>
      </c>
      <c r="D7830" s="2" t="s">
        <v>5</v>
      </c>
    </row>
    <row r="7831">
      <c r="A7831" s="1">
        <v>43738.64824219907</v>
      </c>
      <c r="B7831" s="2">
        <v>734.0</v>
      </c>
      <c r="C7831" s="2" t="s">
        <v>63</v>
      </c>
      <c r="D7831" s="2" t="s">
        <v>5</v>
      </c>
    </row>
    <row r="7832">
      <c r="A7832" s="1">
        <v>43738.648400844904</v>
      </c>
      <c r="B7832" s="2">
        <v>656.0</v>
      </c>
      <c r="C7832" s="2" t="s">
        <v>144</v>
      </c>
    </row>
    <row r="7833">
      <c r="A7833" s="1">
        <v>43738.64925362269</v>
      </c>
      <c r="B7833" s="2">
        <v>656.0</v>
      </c>
      <c r="C7833" s="2" t="s">
        <v>144</v>
      </c>
    </row>
    <row r="7834">
      <c r="A7834" s="1">
        <v>43738.66675125</v>
      </c>
      <c r="C7834" s="2" t="s">
        <v>202</v>
      </c>
    </row>
    <row r="7835">
      <c r="A7835" s="1">
        <v>43738.66693774305</v>
      </c>
      <c r="B7835" s="2">
        <v>608.0</v>
      </c>
      <c r="C7835" s="2" t="s">
        <v>7</v>
      </c>
    </row>
    <row r="7836">
      <c r="A7836" s="1">
        <v>43738.66844804398</v>
      </c>
      <c r="B7836" s="2">
        <v>740.0</v>
      </c>
      <c r="C7836" s="2" t="s">
        <v>221</v>
      </c>
      <c r="D7836" s="2" t="s">
        <v>5</v>
      </c>
    </row>
    <row r="7837">
      <c r="A7837" s="1">
        <v>43738.66851496528</v>
      </c>
      <c r="B7837" s="2">
        <v>739.0</v>
      </c>
      <c r="C7837" s="2" t="s">
        <v>194</v>
      </c>
      <c r="D7837" s="2" t="s">
        <v>5</v>
      </c>
    </row>
    <row r="7838">
      <c r="A7838" s="1">
        <v>43738.67052054398</v>
      </c>
      <c r="B7838" s="2">
        <v>609.0</v>
      </c>
      <c r="C7838" s="2" t="s">
        <v>179</v>
      </c>
    </row>
    <row r="7839">
      <c r="A7839" s="1">
        <v>43738.67062023148</v>
      </c>
      <c r="B7839" s="2">
        <v>609.0</v>
      </c>
      <c r="C7839" s="2" t="s">
        <v>179</v>
      </c>
    </row>
    <row r="7840">
      <c r="A7840" s="1">
        <v>43738.72903501157</v>
      </c>
      <c r="B7840" s="2">
        <v>259.0</v>
      </c>
      <c r="C7840" s="2" t="s">
        <v>66</v>
      </c>
    </row>
    <row r="7841">
      <c r="A7841" s="1">
        <v>43738.74270737269</v>
      </c>
      <c r="B7841" s="2">
        <v>610.0</v>
      </c>
      <c r="C7841" s="2" t="s">
        <v>220</v>
      </c>
    </row>
    <row r="7842">
      <c r="A7842" s="1">
        <v>43738.74388041667</v>
      </c>
      <c r="B7842" s="2">
        <v>738.0</v>
      </c>
      <c r="C7842" s="2" t="s">
        <v>161</v>
      </c>
      <c r="D7842" s="2" t="s">
        <v>5</v>
      </c>
    </row>
    <row r="7843">
      <c r="A7843" s="1">
        <v>43738.74410001157</v>
      </c>
      <c r="B7843" s="2">
        <v>738.0</v>
      </c>
      <c r="C7843" s="2" t="s">
        <v>161</v>
      </c>
      <c r="D7843" s="2" t="s">
        <v>5</v>
      </c>
    </row>
    <row r="7844">
      <c r="A7844" s="1">
        <v>43738.74416715278</v>
      </c>
      <c r="B7844" s="3" t="s">
        <v>186</v>
      </c>
      <c r="C7844" s="2" t="s">
        <v>187</v>
      </c>
    </row>
    <row r="7845">
      <c r="A7845" s="1">
        <v>43738.97639797453</v>
      </c>
      <c r="B7845" s="2">
        <v>604.0</v>
      </c>
      <c r="C7845" s="2" t="s">
        <v>36</v>
      </c>
    </row>
    <row r="7846">
      <c r="A7846" s="1">
        <v>43739.418270208334</v>
      </c>
      <c r="B7846" s="2">
        <v>601.0</v>
      </c>
      <c r="C7846" s="2" t="s">
        <v>125</v>
      </c>
    </row>
    <row r="7847">
      <c r="A7847" s="1">
        <v>43744.40548731481</v>
      </c>
      <c r="B7847" s="2">
        <v>165.0</v>
      </c>
      <c r="C7847" s="2" t="s">
        <v>50</v>
      </c>
    </row>
    <row r="7848">
      <c r="A7848" s="1">
        <v>43744.40979790509</v>
      </c>
      <c r="B7848" s="2">
        <v>124.0</v>
      </c>
      <c r="C7848" s="2" t="s">
        <v>107</v>
      </c>
    </row>
    <row r="7849">
      <c r="A7849" s="1">
        <v>43744.41005335648</v>
      </c>
      <c r="B7849" s="2">
        <v>219.0</v>
      </c>
      <c r="C7849" s="2" t="s">
        <v>31</v>
      </c>
    </row>
    <row r="7850">
      <c r="A7850" s="1">
        <v>43744.41022564815</v>
      </c>
      <c r="B7850" s="2">
        <v>238.0</v>
      </c>
      <c r="C7850" s="2" t="s">
        <v>35</v>
      </c>
    </row>
    <row r="7851">
      <c r="A7851" s="1">
        <v>43744.41077853009</v>
      </c>
      <c r="B7851" s="2">
        <v>635.0</v>
      </c>
      <c r="C7851" s="2" t="s">
        <v>165</v>
      </c>
    </row>
    <row r="7852">
      <c r="A7852" s="1">
        <v>43744.41104994213</v>
      </c>
      <c r="B7852" s="2">
        <v>655.0</v>
      </c>
      <c r="C7852" s="2" t="s">
        <v>17</v>
      </c>
    </row>
    <row r="7853">
      <c r="A7853" s="1">
        <v>43744.411374560186</v>
      </c>
      <c r="B7853" s="2">
        <v>653.0</v>
      </c>
      <c r="C7853" s="2" t="s">
        <v>77</v>
      </c>
    </row>
    <row r="7854">
      <c r="A7854" s="1">
        <v>43744.41154331018</v>
      </c>
      <c r="B7854" s="2">
        <v>611.0</v>
      </c>
      <c r="C7854" s="2" t="s">
        <v>143</v>
      </c>
    </row>
    <row r="7855">
      <c r="A7855" s="1">
        <v>43744.411847361116</v>
      </c>
      <c r="B7855" s="2">
        <v>210.0</v>
      </c>
      <c r="C7855" s="2" t="s">
        <v>64</v>
      </c>
    </row>
    <row r="7856">
      <c r="A7856" s="1">
        <v>43744.41225912037</v>
      </c>
      <c r="B7856" s="2">
        <v>260.0</v>
      </c>
      <c r="C7856" s="2" t="s">
        <v>67</v>
      </c>
    </row>
    <row r="7857">
      <c r="A7857" s="1">
        <v>43744.412484768516</v>
      </c>
      <c r="B7857" s="2">
        <v>259.0</v>
      </c>
      <c r="C7857" s="2" t="s">
        <v>66</v>
      </c>
    </row>
    <row r="7858">
      <c r="A7858" s="1">
        <v>43744.41769587963</v>
      </c>
      <c r="B7858" s="3" t="s">
        <v>32</v>
      </c>
      <c r="C7858" s="2" t="s">
        <v>33</v>
      </c>
    </row>
    <row r="7859">
      <c r="A7859" s="1">
        <v>43744.4189047338</v>
      </c>
      <c r="B7859" s="2">
        <v>735.0</v>
      </c>
      <c r="C7859" s="2" t="s">
        <v>37</v>
      </c>
      <c r="D7859" s="2" t="s">
        <v>5</v>
      </c>
    </row>
    <row r="7860">
      <c r="A7860" s="1">
        <v>43744.418983738426</v>
      </c>
      <c r="B7860" s="2">
        <v>267.0</v>
      </c>
      <c r="C7860" s="2" t="s">
        <v>115</v>
      </c>
    </row>
    <row r="7861">
      <c r="A7861" s="1">
        <v>43744.42586717593</v>
      </c>
      <c r="B7861" s="2">
        <v>736.0</v>
      </c>
      <c r="C7861" s="2" t="s">
        <v>175</v>
      </c>
      <c r="D7861" s="2" t="s">
        <v>5</v>
      </c>
    </row>
    <row r="7862">
      <c r="A7862" s="1">
        <v>43744.42593056713</v>
      </c>
      <c r="B7862" s="2">
        <v>737.0</v>
      </c>
      <c r="C7862" s="2" t="s">
        <v>176</v>
      </c>
      <c r="D7862" s="2" t="s">
        <v>5</v>
      </c>
    </row>
    <row r="7863">
      <c r="A7863" s="1">
        <v>43744.42601221065</v>
      </c>
      <c r="B7863" s="3" t="s">
        <v>88</v>
      </c>
      <c r="C7863" s="2" t="s">
        <v>89</v>
      </c>
    </row>
    <row r="7864">
      <c r="A7864" s="1">
        <v>43744.42613299769</v>
      </c>
      <c r="B7864" s="2">
        <v>649.0</v>
      </c>
      <c r="C7864" s="2" t="s">
        <v>177</v>
      </c>
    </row>
    <row r="7865">
      <c r="A7865" s="1">
        <v>43744.42619067129</v>
      </c>
      <c r="B7865" s="2">
        <v>648.0</v>
      </c>
      <c r="C7865" s="2" t="s">
        <v>207</v>
      </c>
    </row>
    <row r="7866">
      <c r="A7866" s="1">
        <v>43744.426269930555</v>
      </c>
      <c r="B7866" s="2">
        <v>656.0</v>
      </c>
      <c r="C7866" s="2" t="s">
        <v>144</v>
      </c>
    </row>
    <row r="7867">
      <c r="A7867" s="1">
        <v>43744.426420497686</v>
      </c>
      <c r="B7867" s="3" t="s">
        <v>159</v>
      </c>
      <c r="C7867" s="2" t="s">
        <v>160</v>
      </c>
    </row>
    <row r="7868">
      <c r="A7868" s="1">
        <v>43744.42663253473</v>
      </c>
      <c r="B7868" s="2">
        <v>602.0</v>
      </c>
      <c r="C7868" s="2" t="s">
        <v>131</v>
      </c>
    </row>
    <row r="7869">
      <c r="A7869" s="1">
        <v>43744.42673262731</v>
      </c>
      <c r="B7869" s="2">
        <v>734.0</v>
      </c>
      <c r="C7869" s="2" t="s">
        <v>63</v>
      </c>
      <c r="D7869" s="2" t="s">
        <v>5</v>
      </c>
    </row>
    <row r="7870">
      <c r="A7870" s="1">
        <v>43744.42688842592</v>
      </c>
      <c r="B7870" s="2">
        <v>734.0</v>
      </c>
      <c r="C7870" s="2" t="s">
        <v>63</v>
      </c>
      <c r="D7870" s="2" t="s">
        <v>5</v>
      </c>
    </row>
    <row r="7871">
      <c r="A7871" s="1">
        <v>43744.426975891205</v>
      </c>
      <c r="B7871" s="2">
        <v>270.0</v>
      </c>
      <c r="C7871" s="2" t="s">
        <v>153</v>
      </c>
    </row>
    <row r="7872">
      <c r="A7872" s="1">
        <v>43744.42706614583</v>
      </c>
      <c r="B7872" s="2">
        <v>717.0</v>
      </c>
      <c r="C7872" s="2" t="s">
        <v>152</v>
      </c>
      <c r="D7872" s="2" t="s">
        <v>5</v>
      </c>
    </row>
    <row r="7873">
      <c r="A7873" s="1">
        <v>43744.42720070602</v>
      </c>
      <c r="B7873" s="2">
        <v>52.0</v>
      </c>
      <c r="C7873" s="2" t="s">
        <v>41</v>
      </c>
    </row>
    <row r="7874">
      <c r="A7874" s="1">
        <v>43744.42728605324</v>
      </c>
      <c r="B7874" s="3" t="s">
        <v>22</v>
      </c>
      <c r="C7874" s="2" t="s">
        <v>23</v>
      </c>
    </row>
    <row r="7875">
      <c r="A7875" s="1">
        <v>43744.42735835648</v>
      </c>
      <c r="B7875" s="3" t="s">
        <v>186</v>
      </c>
      <c r="C7875" s="2" t="s">
        <v>187</v>
      </c>
    </row>
    <row r="7876">
      <c r="A7876" s="1">
        <v>43744.42744237269</v>
      </c>
      <c r="B7876" s="2">
        <v>738.0</v>
      </c>
      <c r="C7876" s="2" t="s">
        <v>161</v>
      </c>
      <c r="D7876" s="2" t="s">
        <v>5</v>
      </c>
    </row>
    <row r="7877">
      <c r="A7877" s="1">
        <v>43744.42753086805</v>
      </c>
      <c r="B7877" s="2">
        <v>173.0</v>
      </c>
      <c r="C7877" s="2" t="s">
        <v>24</v>
      </c>
    </row>
    <row r="7878">
      <c r="A7878" s="1">
        <v>43744.427686828705</v>
      </c>
      <c r="B7878" s="2">
        <v>167.0</v>
      </c>
      <c r="C7878" s="2" t="s">
        <v>39</v>
      </c>
    </row>
    <row r="7879">
      <c r="A7879" s="1">
        <v>43744.42780751157</v>
      </c>
      <c r="B7879" s="2">
        <v>231.0</v>
      </c>
      <c r="C7879" s="2" t="s">
        <v>61</v>
      </c>
    </row>
    <row r="7880">
      <c r="A7880" s="1">
        <v>43744.42796273148</v>
      </c>
      <c r="B7880" s="2">
        <v>655.0</v>
      </c>
      <c r="C7880" s="2" t="s">
        <v>17</v>
      </c>
    </row>
    <row r="7881">
      <c r="A7881" s="1">
        <v>43744.42812131945</v>
      </c>
      <c r="B7881" s="3" t="s">
        <v>74</v>
      </c>
      <c r="C7881" s="2" t="s">
        <v>75</v>
      </c>
    </row>
    <row r="7882">
      <c r="A7882" s="1">
        <v>43744.42879899306</v>
      </c>
      <c r="B7882" s="2">
        <v>158.0</v>
      </c>
      <c r="C7882" s="2" t="s">
        <v>62</v>
      </c>
    </row>
    <row r="7883">
      <c r="A7883" s="1">
        <v>43744.42894050926</v>
      </c>
      <c r="B7883" s="2">
        <v>722.0</v>
      </c>
      <c r="C7883" s="2" t="s">
        <v>25</v>
      </c>
      <c r="D7883" s="2" t="s">
        <v>5</v>
      </c>
    </row>
    <row r="7884">
      <c r="A7884" s="1">
        <v>43744.42902806713</v>
      </c>
      <c r="B7884" s="2">
        <v>246.0</v>
      </c>
      <c r="C7884" s="2" t="s">
        <v>26</v>
      </c>
    </row>
    <row r="7885">
      <c r="A7885" s="1">
        <v>43744.43089898148</v>
      </c>
      <c r="B7885" s="2">
        <v>673.0</v>
      </c>
      <c r="C7885" s="2" t="s">
        <v>189</v>
      </c>
    </row>
    <row r="7886">
      <c r="A7886" s="1">
        <v>43744.431968923614</v>
      </c>
      <c r="B7886" s="3" t="s">
        <v>126</v>
      </c>
      <c r="C7886" s="2" t="s">
        <v>127</v>
      </c>
    </row>
    <row r="7887">
      <c r="A7887" s="1">
        <v>43744.43210265046</v>
      </c>
      <c r="B7887" s="2">
        <v>229.0</v>
      </c>
      <c r="C7887" s="2" t="s">
        <v>86</v>
      </c>
    </row>
    <row r="7888">
      <c r="A7888" s="1">
        <v>43744.432918425926</v>
      </c>
      <c r="B7888" s="3" t="s">
        <v>51</v>
      </c>
      <c r="C7888" s="2" t="s">
        <v>52</v>
      </c>
    </row>
    <row r="7889">
      <c r="A7889" s="1">
        <v>43744.43332700232</v>
      </c>
      <c r="B7889" s="2">
        <v>208.0</v>
      </c>
      <c r="C7889" s="2" t="s">
        <v>182</v>
      </c>
    </row>
    <row r="7890">
      <c r="A7890" s="1">
        <v>43744.43363915509</v>
      </c>
      <c r="B7890" s="2">
        <v>672.0</v>
      </c>
      <c r="C7890" s="2" t="s">
        <v>6</v>
      </c>
    </row>
    <row r="7891">
      <c r="A7891" s="1">
        <v>43744.433838287034</v>
      </c>
      <c r="B7891" s="2">
        <v>244.0</v>
      </c>
      <c r="C7891" s="2" t="s">
        <v>38</v>
      </c>
    </row>
    <row r="7892">
      <c r="A7892" s="1">
        <v>43744.43402148148</v>
      </c>
      <c r="B7892" s="2">
        <v>716.0</v>
      </c>
      <c r="C7892" s="2" t="s">
        <v>123</v>
      </c>
      <c r="D7892" s="2" t="s">
        <v>5</v>
      </c>
    </row>
    <row r="7893">
      <c r="A7893" s="1">
        <v>43744.4341384375</v>
      </c>
      <c r="B7893" s="3" t="s">
        <v>11</v>
      </c>
      <c r="C7893" s="2" t="s">
        <v>12</v>
      </c>
    </row>
    <row r="7894">
      <c r="A7894" s="1">
        <v>43744.43442951389</v>
      </c>
      <c r="B7894" s="3" t="s">
        <v>44</v>
      </c>
      <c r="C7894" s="2" t="s">
        <v>45</v>
      </c>
    </row>
    <row r="7895">
      <c r="A7895" s="1">
        <v>43744.43450793982</v>
      </c>
      <c r="B7895" s="3" t="s">
        <v>103</v>
      </c>
      <c r="C7895" s="2" t="s">
        <v>104</v>
      </c>
    </row>
    <row r="7896">
      <c r="A7896" s="1">
        <v>43744.434615555554</v>
      </c>
      <c r="B7896" s="2">
        <v>614.0</v>
      </c>
      <c r="C7896" s="2" t="s">
        <v>76</v>
      </c>
    </row>
    <row r="7897">
      <c r="A7897" s="1">
        <v>43744.43474380787</v>
      </c>
      <c r="B7897" s="2">
        <v>193.0</v>
      </c>
      <c r="C7897" s="2" t="s">
        <v>30</v>
      </c>
    </row>
    <row r="7898">
      <c r="A7898" s="1">
        <v>43744.43506241898</v>
      </c>
      <c r="B7898" s="2">
        <v>607.0</v>
      </c>
      <c r="C7898" s="2" t="s">
        <v>68</v>
      </c>
    </row>
    <row r="7899">
      <c r="A7899" s="1">
        <v>43744.43518581019</v>
      </c>
      <c r="B7899" s="2">
        <v>262.0</v>
      </c>
      <c r="C7899" s="2" t="s">
        <v>28</v>
      </c>
    </row>
    <row r="7900">
      <c r="A7900" s="1">
        <v>43744.436866331016</v>
      </c>
      <c r="B7900" s="3" t="s">
        <v>111</v>
      </c>
      <c r="C7900" s="2" t="s">
        <v>112</v>
      </c>
    </row>
    <row r="7901">
      <c r="A7901" s="1">
        <v>43744.437441863425</v>
      </c>
      <c r="B7901" s="3" t="s">
        <v>82</v>
      </c>
      <c r="C7901" s="2" t="s">
        <v>83</v>
      </c>
    </row>
    <row r="7902">
      <c r="A7902" s="1">
        <v>43744.43775328704</v>
      </c>
      <c r="B7902" s="2">
        <v>723.0</v>
      </c>
      <c r="C7902" s="2" t="s">
        <v>84</v>
      </c>
      <c r="D7902" s="2" t="s">
        <v>5</v>
      </c>
    </row>
    <row r="7903">
      <c r="A7903" s="1">
        <v>43744.437860543985</v>
      </c>
      <c r="B7903" s="2">
        <v>677.0</v>
      </c>
      <c r="C7903" s="2" t="s">
        <v>224</v>
      </c>
    </row>
    <row r="7904">
      <c r="A7904" s="1">
        <v>43744.43824364583</v>
      </c>
      <c r="B7904" s="2">
        <v>160.0</v>
      </c>
      <c r="C7904" s="2" t="s">
        <v>154</v>
      </c>
    </row>
    <row r="7905">
      <c r="A7905" s="1">
        <v>43744.438303449075</v>
      </c>
      <c r="B7905" s="2">
        <v>160.0</v>
      </c>
      <c r="C7905" s="2" t="s">
        <v>154</v>
      </c>
    </row>
    <row r="7906">
      <c r="A7906" s="1">
        <v>43744.43853840278</v>
      </c>
      <c r="B7906" s="2">
        <v>720.0</v>
      </c>
      <c r="C7906" s="2" t="s">
        <v>155</v>
      </c>
      <c r="D7906" s="2" t="s">
        <v>5</v>
      </c>
    </row>
    <row r="7907">
      <c r="A7907" s="1">
        <v>43744.43860679398</v>
      </c>
      <c r="B7907" s="2">
        <v>721.0</v>
      </c>
      <c r="C7907" s="2" t="s">
        <v>156</v>
      </c>
      <c r="D7907" s="2" t="s">
        <v>5</v>
      </c>
    </row>
    <row r="7908">
      <c r="A7908" s="1">
        <v>43744.438860381946</v>
      </c>
      <c r="B7908" s="3" t="s">
        <v>78</v>
      </c>
      <c r="C7908" s="2" t="s">
        <v>79</v>
      </c>
    </row>
    <row r="7909">
      <c r="A7909" s="1">
        <v>43744.43923886574</v>
      </c>
      <c r="B7909" s="2">
        <v>643.0</v>
      </c>
      <c r="C7909" s="2" t="s">
        <v>166</v>
      </c>
    </row>
    <row r="7910">
      <c r="A7910" s="1">
        <v>43744.44094613426</v>
      </c>
      <c r="B7910" s="2">
        <v>624.0</v>
      </c>
      <c r="C7910" s="2" t="s">
        <v>90</v>
      </c>
    </row>
    <row r="7911">
      <c r="A7911" s="1">
        <v>43744.44183726852</v>
      </c>
      <c r="B7911" s="3" t="s">
        <v>13</v>
      </c>
      <c r="C7911" s="2" t="s">
        <v>14</v>
      </c>
    </row>
    <row r="7912">
      <c r="A7912" s="1">
        <v>43744.441936585645</v>
      </c>
      <c r="B7912" s="3" t="s">
        <v>51</v>
      </c>
      <c r="C7912" s="2" t="s">
        <v>52</v>
      </c>
    </row>
    <row r="7913">
      <c r="A7913" s="1">
        <v>43744.4420966551</v>
      </c>
      <c r="B7913" s="2">
        <v>147.0</v>
      </c>
      <c r="C7913" s="2" t="s">
        <v>100</v>
      </c>
    </row>
    <row r="7914">
      <c r="A7914" s="1">
        <v>43744.44223077546</v>
      </c>
      <c r="B7914" s="2">
        <v>726.0</v>
      </c>
      <c r="C7914" s="2" t="s">
        <v>101</v>
      </c>
      <c r="D7914" s="2" t="s">
        <v>5</v>
      </c>
    </row>
    <row r="7915">
      <c r="A7915" s="1">
        <v>43744.442301296294</v>
      </c>
      <c r="B7915" s="2">
        <v>732.0</v>
      </c>
      <c r="C7915" s="2" t="s">
        <v>102</v>
      </c>
      <c r="D7915" s="2" t="s">
        <v>5</v>
      </c>
    </row>
    <row r="7916">
      <c r="A7916" s="1">
        <v>43744.44305041667</v>
      </c>
      <c r="B7916" s="2">
        <v>254.0</v>
      </c>
      <c r="C7916" s="2" t="s">
        <v>132</v>
      </c>
    </row>
    <row r="7917">
      <c r="A7917" s="1">
        <v>43744.44325482639</v>
      </c>
      <c r="B7917" s="2">
        <v>201.0</v>
      </c>
      <c r="C7917" s="2" t="s">
        <v>70</v>
      </c>
    </row>
    <row r="7918">
      <c r="A7918" s="1">
        <v>43744.44526314815</v>
      </c>
      <c r="B7918" s="2">
        <v>627.0</v>
      </c>
      <c r="C7918" s="2" t="s">
        <v>134</v>
      </c>
    </row>
    <row r="7919">
      <c r="A7919" s="1">
        <v>43744.44696194444</v>
      </c>
      <c r="B7919" s="2">
        <v>253.0</v>
      </c>
      <c r="C7919" s="2" t="s">
        <v>138</v>
      </c>
    </row>
    <row r="7920">
      <c r="A7920" s="1">
        <v>43744.44770645833</v>
      </c>
      <c r="B7920" s="2">
        <v>641.0</v>
      </c>
      <c r="C7920" s="2" t="s">
        <v>210</v>
      </c>
    </row>
    <row r="7921">
      <c r="A7921" s="1">
        <v>43744.448157418985</v>
      </c>
      <c r="B7921" s="2">
        <v>209.0</v>
      </c>
      <c r="C7921" s="2" t="s">
        <v>219</v>
      </c>
    </row>
    <row r="7922">
      <c r="A7922" s="1">
        <v>43744.44855511574</v>
      </c>
      <c r="B7922" s="2">
        <v>631.0</v>
      </c>
      <c r="C7922" s="2" t="s">
        <v>178</v>
      </c>
    </row>
    <row r="7923">
      <c r="A7923" s="1">
        <v>43744.44872697917</v>
      </c>
      <c r="B7923" s="2">
        <v>738.0</v>
      </c>
      <c r="C7923" s="2" t="s">
        <v>161</v>
      </c>
      <c r="D7923" s="2" t="s">
        <v>5</v>
      </c>
    </row>
    <row r="7924">
      <c r="A7924" s="1">
        <v>43744.45205287037</v>
      </c>
      <c r="B7924" s="2">
        <v>667.0</v>
      </c>
      <c r="C7924" s="2" t="s">
        <v>73</v>
      </c>
    </row>
    <row r="7925">
      <c r="A7925" s="1">
        <v>43744.452873877315</v>
      </c>
      <c r="B7925" s="2">
        <v>667.0</v>
      </c>
      <c r="C7925" s="2" t="s">
        <v>73</v>
      </c>
    </row>
    <row r="7926">
      <c r="A7926" s="1">
        <v>43744.45319868055</v>
      </c>
      <c r="B7926" s="2">
        <v>706.0</v>
      </c>
      <c r="C7926" s="2" t="s">
        <v>149</v>
      </c>
      <c r="D7926" s="2" t="s">
        <v>5</v>
      </c>
    </row>
    <row r="7927">
      <c r="A7927" s="1">
        <v>43744.453302442125</v>
      </c>
      <c r="B7927" s="2">
        <v>713.0</v>
      </c>
      <c r="C7927" s="2" t="s">
        <v>121</v>
      </c>
      <c r="D7927" s="2" t="s">
        <v>5</v>
      </c>
    </row>
    <row r="7928">
      <c r="A7928" s="1">
        <v>43744.45335814815</v>
      </c>
      <c r="B7928" s="2">
        <v>714.0</v>
      </c>
      <c r="C7928" s="2" t="s">
        <v>122</v>
      </c>
      <c r="D7928" s="2" t="s">
        <v>5</v>
      </c>
    </row>
    <row r="7929">
      <c r="A7929" s="1">
        <v>43744.45384663194</v>
      </c>
      <c r="B7929" s="3" t="s">
        <v>119</v>
      </c>
      <c r="C7929" s="2" t="s">
        <v>120</v>
      </c>
    </row>
    <row r="7930">
      <c r="A7930" s="1">
        <v>43744.456050451394</v>
      </c>
      <c r="B7930" s="2">
        <v>603.0</v>
      </c>
      <c r="C7930" s="2" t="s">
        <v>40</v>
      </c>
    </row>
    <row r="7931">
      <c r="A7931" s="1">
        <v>43744.46006297454</v>
      </c>
      <c r="B7931" s="3" t="s">
        <v>117</v>
      </c>
      <c r="C7931" s="2" t="s">
        <v>118</v>
      </c>
    </row>
    <row r="7932">
      <c r="A7932" s="1">
        <v>43744.46941416667</v>
      </c>
      <c r="B7932" s="3" t="s">
        <v>42</v>
      </c>
      <c r="C7932" s="2" t="s">
        <v>43</v>
      </c>
    </row>
    <row r="7933">
      <c r="A7933" s="1">
        <v>43744.47422722222</v>
      </c>
      <c r="B7933" s="3" t="s">
        <v>42</v>
      </c>
      <c r="C7933" s="2" t="s">
        <v>43</v>
      </c>
    </row>
    <row r="7934">
      <c r="A7934" s="1">
        <v>43744.82871444445</v>
      </c>
      <c r="B7934" s="2">
        <v>738.0</v>
      </c>
      <c r="C7934" s="2" t="s">
        <v>161</v>
      </c>
      <c r="D7934" s="2" t="s">
        <v>5</v>
      </c>
    </row>
    <row r="7935">
      <c r="A7935" s="1">
        <v>43744.82880163194</v>
      </c>
      <c r="B7935" s="3" t="s">
        <v>9</v>
      </c>
      <c r="C7935" s="2" t="s">
        <v>10</v>
      </c>
    </row>
    <row r="7936">
      <c r="A7936" s="1">
        <v>43744.829007928245</v>
      </c>
      <c r="B7936" s="2">
        <v>738.0</v>
      </c>
      <c r="C7936" s="2" t="s">
        <v>161</v>
      </c>
      <c r="D7936" s="2" t="s">
        <v>5</v>
      </c>
    </row>
    <row r="7937">
      <c r="A7937" s="1">
        <v>43744.829455555555</v>
      </c>
      <c r="B7937" s="3" t="s">
        <v>150</v>
      </c>
      <c r="C7937" s="2" t="s">
        <v>151</v>
      </c>
    </row>
    <row r="7938">
      <c r="A7938" s="1">
        <v>43744.82977020834</v>
      </c>
      <c r="B7938" s="3" t="s">
        <v>80</v>
      </c>
      <c r="C7938" s="2" t="s">
        <v>81</v>
      </c>
    </row>
    <row r="7939">
      <c r="A7939" s="1">
        <v>43744.82997196759</v>
      </c>
      <c r="B7939" s="3" t="s">
        <v>98</v>
      </c>
      <c r="C7939" s="2" t="s">
        <v>99</v>
      </c>
    </row>
    <row r="7940">
      <c r="A7940" s="1">
        <v>43744.83031806713</v>
      </c>
      <c r="B7940" s="2">
        <v>114.0</v>
      </c>
      <c r="C7940" s="2" t="s">
        <v>15</v>
      </c>
    </row>
    <row r="7941">
      <c r="A7941" s="1">
        <v>43744.8307122338</v>
      </c>
      <c r="B7941" s="2">
        <v>172.0</v>
      </c>
      <c r="C7941" s="2" t="s">
        <v>65</v>
      </c>
    </row>
    <row r="7942">
      <c r="A7942" s="1">
        <v>43744.832633564816</v>
      </c>
      <c r="B7942" s="2">
        <v>708.0</v>
      </c>
      <c r="C7942" s="2" t="s">
        <v>4</v>
      </c>
      <c r="D7942" s="2" t="s">
        <v>5</v>
      </c>
    </row>
    <row r="7943">
      <c r="A7943" s="1">
        <v>43744.83269534722</v>
      </c>
      <c r="B7943" s="2">
        <v>709.0</v>
      </c>
      <c r="C7943" s="2" t="s">
        <v>20</v>
      </c>
      <c r="D7943" s="2" t="s">
        <v>5</v>
      </c>
    </row>
    <row r="7944">
      <c r="A7944" s="1">
        <v>43744.83275746528</v>
      </c>
      <c r="B7944" s="2">
        <v>710.0</v>
      </c>
      <c r="C7944" s="2" t="s">
        <v>21</v>
      </c>
      <c r="D7944" s="2" t="s">
        <v>5</v>
      </c>
    </row>
    <row r="7945">
      <c r="A7945" s="1">
        <v>43744.836491608796</v>
      </c>
      <c r="B7945" s="2">
        <v>535.0</v>
      </c>
      <c r="C7945" s="2" t="s">
        <v>208</v>
      </c>
    </row>
    <row r="7946">
      <c r="A7946" s="1">
        <v>43745.3552791088</v>
      </c>
      <c r="B7946" s="2">
        <v>535.0</v>
      </c>
      <c r="C7946" s="2" t="s">
        <v>208</v>
      </c>
    </row>
    <row r="7947">
      <c r="A7947" s="1">
        <v>43745.376878703704</v>
      </c>
      <c r="B7947" s="2">
        <v>535.0</v>
      </c>
      <c r="C7947" s="2" t="s">
        <v>208</v>
      </c>
    </row>
    <row r="7948">
      <c r="A7948" s="1">
        <v>43745.75246253472</v>
      </c>
      <c r="B7948" s="2">
        <v>535.0</v>
      </c>
      <c r="C7948" s="2" t="s">
        <v>208</v>
      </c>
    </row>
    <row r="7949">
      <c r="A7949" s="1">
        <v>43745.89876560185</v>
      </c>
      <c r="B7949" s="2">
        <v>675.0</v>
      </c>
      <c r="C7949" s="2" t="s">
        <v>222</v>
      </c>
    </row>
    <row r="7950">
      <c r="A7950" s="1">
        <v>43745.89942204861</v>
      </c>
      <c r="B7950" s="2">
        <v>214.0</v>
      </c>
      <c r="C7950" s="2" t="s">
        <v>47</v>
      </c>
    </row>
    <row r="7951">
      <c r="A7951" s="1">
        <v>43746.412303599536</v>
      </c>
      <c r="B7951" s="2">
        <v>609.0</v>
      </c>
      <c r="C7951" s="2" t="s">
        <v>179</v>
      </c>
    </row>
    <row r="7952">
      <c r="A7952" s="1">
        <v>43747.512000902774</v>
      </c>
      <c r="B7952" s="2">
        <v>214.0</v>
      </c>
      <c r="C7952" s="2" t="s">
        <v>47</v>
      </c>
    </row>
    <row r="7953">
      <c r="A7953" s="1">
        <v>43748.69255475694</v>
      </c>
      <c r="B7953" s="2">
        <v>214.0</v>
      </c>
      <c r="C7953" s="2" t="s">
        <v>47</v>
      </c>
    </row>
    <row r="7954">
      <c r="A7954" s="1">
        <v>43748.69265810185</v>
      </c>
      <c r="B7954" s="2">
        <v>214.0</v>
      </c>
      <c r="C7954" s="2" t="s">
        <v>47</v>
      </c>
    </row>
    <row r="7955">
      <c r="A7955" s="1">
        <v>43748.69275971065</v>
      </c>
      <c r="B7955" s="2">
        <v>214.0</v>
      </c>
      <c r="C7955" s="2" t="s">
        <v>47</v>
      </c>
    </row>
    <row r="7956">
      <c r="A7956" s="1">
        <v>43748.692822384255</v>
      </c>
      <c r="B7956" s="2">
        <v>214.0</v>
      </c>
      <c r="C7956" s="2" t="s">
        <v>47</v>
      </c>
    </row>
    <row r="7957">
      <c r="A7957" s="1">
        <v>43748.69283505787</v>
      </c>
      <c r="B7957" s="2">
        <v>214.0</v>
      </c>
      <c r="C7957" s="2" t="s">
        <v>47</v>
      </c>
    </row>
    <row r="7958">
      <c r="A7958" s="1">
        <v>43748.944296608795</v>
      </c>
      <c r="B7958" s="3" t="s">
        <v>42</v>
      </c>
      <c r="C7958" s="2" t="s">
        <v>43</v>
      </c>
    </row>
    <row r="7959">
      <c r="A7959" s="1">
        <v>43749.21090827546</v>
      </c>
      <c r="B7959" s="2">
        <v>720.0</v>
      </c>
      <c r="C7959" s="2" t="s">
        <v>155</v>
      </c>
      <c r="D7959" s="2" t="s">
        <v>5</v>
      </c>
    </row>
    <row r="7960">
      <c r="A7960" s="1">
        <v>43749.21101387731</v>
      </c>
      <c r="B7960" s="3" t="s">
        <v>162</v>
      </c>
      <c r="C7960" s="2" t="s">
        <v>163</v>
      </c>
    </row>
    <row r="7961">
      <c r="A7961" s="1">
        <v>43749.21110597222</v>
      </c>
      <c r="B7961" s="2">
        <v>160.0</v>
      </c>
      <c r="C7961" s="2" t="s">
        <v>154</v>
      </c>
    </row>
    <row r="7962">
      <c r="A7962" s="1">
        <v>43749.21175737269</v>
      </c>
      <c r="B7962" s="2">
        <v>721.0</v>
      </c>
      <c r="C7962" s="2" t="s">
        <v>156</v>
      </c>
      <c r="D7962" s="2" t="s">
        <v>5</v>
      </c>
    </row>
    <row r="7963">
      <c r="A7963" s="1">
        <v>43751.413312743054</v>
      </c>
      <c r="B7963" s="3" t="s">
        <v>80</v>
      </c>
      <c r="C7963" s="2" t="s">
        <v>81</v>
      </c>
    </row>
    <row r="7964">
      <c r="A7964" s="1">
        <v>43751.42659030092</v>
      </c>
      <c r="B7964" s="3" t="s">
        <v>126</v>
      </c>
      <c r="C7964" s="2" t="s">
        <v>127</v>
      </c>
    </row>
    <row r="7965">
      <c r="A7965" s="1">
        <v>43751.426722118056</v>
      </c>
      <c r="B7965" s="2">
        <v>167.0</v>
      </c>
      <c r="C7965" s="2" t="s">
        <v>39</v>
      </c>
    </row>
    <row r="7966">
      <c r="A7966" s="1">
        <v>43751.42686939814</v>
      </c>
      <c r="B7966" s="2">
        <v>214.0</v>
      </c>
      <c r="C7966" s="2" t="s">
        <v>47</v>
      </c>
    </row>
    <row r="7967">
      <c r="A7967" s="1">
        <v>43751.42697141204</v>
      </c>
      <c r="B7967" s="2">
        <v>722.0</v>
      </c>
      <c r="C7967" s="2" t="s">
        <v>25</v>
      </c>
      <c r="D7967" s="2" t="s">
        <v>5</v>
      </c>
    </row>
    <row r="7968">
      <c r="A7968" s="1">
        <v>43751.42704692129</v>
      </c>
      <c r="B7968" s="2">
        <v>716.0</v>
      </c>
      <c r="C7968" s="2" t="s">
        <v>123</v>
      </c>
      <c r="D7968" s="2" t="s">
        <v>5</v>
      </c>
    </row>
    <row r="7969">
      <c r="A7969" s="1">
        <v>43751.42709380787</v>
      </c>
      <c r="B7969" s="3" t="s">
        <v>32</v>
      </c>
      <c r="C7969" s="2" t="s">
        <v>33</v>
      </c>
    </row>
    <row r="7970">
      <c r="A7970" s="1">
        <v>43751.427109247685</v>
      </c>
      <c r="B7970" s="3" t="s">
        <v>11</v>
      </c>
      <c r="C7970" s="2" t="s">
        <v>12</v>
      </c>
    </row>
    <row r="7971">
      <c r="A7971" s="1">
        <v>43751.42723548611</v>
      </c>
      <c r="B7971" s="3" t="s">
        <v>32</v>
      </c>
      <c r="C7971" s="2" t="s">
        <v>33</v>
      </c>
    </row>
    <row r="7972">
      <c r="A7972" s="1">
        <v>43751.427289687505</v>
      </c>
      <c r="B7972" s="2">
        <v>173.0</v>
      </c>
      <c r="C7972" s="2" t="s">
        <v>24</v>
      </c>
    </row>
    <row r="7973">
      <c r="A7973" s="1">
        <v>43751.42743300926</v>
      </c>
      <c r="B7973" s="2">
        <v>158.0</v>
      </c>
      <c r="C7973" s="2" t="s">
        <v>62</v>
      </c>
    </row>
    <row r="7974">
      <c r="A7974" s="1">
        <v>43751.42754133102</v>
      </c>
      <c r="B7974" s="2">
        <v>158.0</v>
      </c>
      <c r="C7974" s="2" t="s">
        <v>62</v>
      </c>
    </row>
    <row r="7975">
      <c r="A7975" s="1">
        <v>43751.42769715277</v>
      </c>
      <c r="B7975" s="3" t="s">
        <v>55</v>
      </c>
      <c r="C7975" s="2" t="s">
        <v>56</v>
      </c>
    </row>
    <row r="7976">
      <c r="A7976" s="1">
        <v>43751.427797916665</v>
      </c>
      <c r="B7976" s="2">
        <v>246.0</v>
      </c>
      <c r="C7976" s="2" t="s">
        <v>26</v>
      </c>
    </row>
    <row r="7977">
      <c r="A7977" s="1">
        <v>43751.427877372684</v>
      </c>
      <c r="B7977" s="2">
        <v>735.0</v>
      </c>
      <c r="C7977" s="2" t="s">
        <v>37</v>
      </c>
      <c r="D7977" s="2" t="s">
        <v>5</v>
      </c>
    </row>
    <row r="7978">
      <c r="A7978" s="1">
        <v>43751.42801265046</v>
      </c>
      <c r="B7978" s="2">
        <v>244.0</v>
      </c>
      <c r="C7978" s="2" t="s">
        <v>38</v>
      </c>
    </row>
    <row r="7979">
      <c r="A7979" s="1">
        <v>43751.42804462963</v>
      </c>
      <c r="B7979" s="2">
        <v>244.0</v>
      </c>
      <c r="C7979" s="2" t="s">
        <v>38</v>
      </c>
    </row>
    <row r="7980">
      <c r="A7980" s="1">
        <v>43751.42827739583</v>
      </c>
      <c r="B7980" s="2">
        <v>602.0</v>
      </c>
      <c r="C7980" s="2" t="s">
        <v>131</v>
      </c>
    </row>
    <row r="7981">
      <c r="A7981" s="1">
        <v>43751.428378553246</v>
      </c>
      <c r="B7981" s="3" t="s">
        <v>98</v>
      </c>
      <c r="C7981" s="2" t="s">
        <v>99</v>
      </c>
    </row>
    <row r="7982">
      <c r="A7982" s="1">
        <v>43751.428382858794</v>
      </c>
      <c r="B7982" s="3" t="s">
        <v>98</v>
      </c>
      <c r="C7982" s="2" t="s">
        <v>99</v>
      </c>
    </row>
    <row r="7983">
      <c r="A7983" s="1">
        <v>43751.42847737268</v>
      </c>
      <c r="B7983" s="2">
        <v>147.0</v>
      </c>
      <c r="C7983" s="2" t="s">
        <v>100</v>
      </c>
    </row>
    <row r="7984">
      <c r="A7984" s="1">
        <v>43751.42859435185</v>
      </c>
      <c r="B7984" s="2">
        <v>726.0</v>
      </c>
      <c r="C7984" s="2" t="s">
        <v>101</v>
      </c>
      <c r="D7984" s="2" t="s">
        <v>5</v>
      </c>
    </row>
    <row r="7985">
      <c r="A7985" s="1">
        <v>43751.42886211806</v>
      </c>
      <c r="B7985" s="2">
        <v>603.0</v>
      </c>
      <c r="C7985" s="2" t="s">
        <v>40</v>
      </c>
    </row>
    <row r="7986">
      <c r="A7986" s="1">
        <v>43751.42901332176</v>
      </c>
      <c r="B7986" s="2">
        <v>732.0</v>
      </c>
      <c r="C7986" s="2" t="s">
        <v>102</v>
      </c>
      <c r="D7986" s="2" t="s">
        <v>5</v>
      </c>
    </row>
    <row r="7987">
      <c r="A7987" s="1">
        <v>43751.42913528935</v>
      </c>
      <c r="B7987" s="2">
        <v>732.0</v>
      </c>
      <c r="C7987" s="2" t="s">
        <v>102</v>
      </c>
      <c r="D7987" s="2" t="s">
        <v>5</v>
      </c>
    </row>
    <row r="7988">
      <c r="A7988" s="1">
        <v>43751.429164120374</v>
      </c>
      <c r="B7988" s="2">
        <v>726.0</v>
      </c>
      <c r="C7988" s="2" t="s">
        <v>101</v>
      </c>
      <c r="D7988" s="2" t="s">
        <v>5</v>
      </c>
    </row>
    <row r="7989">
      <c r="A7989" s="1">
        <v>43751.42937626157</v>
      </c>
      <c r="B7989" s="2">
        <v>147.0</v>
      </c>
      <c r="C7989" s="2" t="s">
        <v>100</v>
      </c>
    </row>
    <row r="7990">
      <c r="A7990" s="1">
        <v>43751.42953875</v>
      </c>
      <c r="B7990" s="2">
        <v>607.0</v>
      </c>
      <c r="C7990" s="2" t="s">
        <v>68</v>
      </c>
    </row>
    <row r="7991">
      <c r="A7991" s="1">
        <v>43751.42966403935</v>
      </c>
      <c r="B7991" s="2">
        <v>252.0</v>
      </c>
      <c r="C7991" s="2" t="s">
        <v>34</v>
      </c>
    </row>
    <row r="7992">
      <c r="A7992" s="1">
        <v>43751.429819247685</v>
      </c>
      <c r="B7992" s="2">
        <v>602.0</v>
      </c>
      <c r="C7992" s="2" t="s">
        <v>131</v>
      </c>
    </row>
    <row r="7993">
      <c r="A7993" s="1">
        <v>43751.42999369213</v>
      </c>
      <c r="B7993" s="2">
        <v>147.0</v>
      </c>
      <c r="C7993" s="2" t="s">
        <v>100</v>
      </c>
    </row>
    <row r="7994">
      <c r="A7994" s="1">
        <v>43751.430127893516</v>
      </c>
      <c r="B7994" s="2">
        <v>210.0</v>
      </c>
      <c r="C7994" s="2" t="s">
        <v>64</v>
      </c>
    </row>
    <row r="7995">
      <c r="A7995" s="1">
        <v>43751.430334942124</v>
      </c>
      <c r="B7995" s="3" t="s">
        <v>42</v>
      </c>
      <c r="C7995" s="2" t="s">
        <v>43</v>
      </c>
    </row>
    <row r="7996">
      <c r="A7996" s="1">
        <v>43751.43058020833</v>
      </c>
      <c r="B7996" s="2">
        <v>740.0</v>
      </c>
      <c r="C7996" s="2" t="s">
        <v>221</v>
      </c>
      <c r="D7996" s="2" t="s">
        <v>5</v>
      </c>
    </row>
    <row r="7997">
      <c r="A7997" s="1">
        <v>43751.43148932871</v>
      </c>
      <c r="B7997" s="2">
        <v>740.0</v>
      </c>
      <c r="C7997" s="2" t="s">
        <v>221</v>
      </c>
      <c r="D7997" s="2" t="s">
        <v>5</v>
      </c>
    </row>
    <row r="7998">
      <c r="A7998" s="1">
        <v>43751.43163599537</v>
      </c>
      <c r="B7998" s="3" t="s">
        <v>82</v>
      </c>
      <c r="C7998" s="2" t="s">
        <v>83</v>
      </c>
    </row>
    <row r="7999">
      <c r="A7999" s="1">
        <v>43751.43171444444</v>
      </c>
      <c r="B7999" s="3" t="s">
        <v>78</v>
      </c>
      <c r="C7999" s="2" t="s">
        <v>79</v>
      </c>
    </row>
    <row r="8000">
      <c r="A8000" s="1">
        <v>43751.43183076389</v>
      </c>
      <c r="B8000" s="2">
        <v>723.0</v>
      </c>
      <c r="C8000" s="2" t="s">
        <v>84</v>
      </c>
      <c r="D8000" s="2" t="s">
        <v>5</v>
      </c>
    </row>
    <row r="8001">
      <c r="A8001" s="1">
        <v>43751.43192175926</v>
      </c>
      <c r="B8001" s="2">
        <v>267.0</v>
      </c>
      <c r="C8001" s="2" t="s">
        <v>115</v>
      </c>
    </row>
    <row r="8002">
      <c r="A8002" s="1">
        <v>43751.43215152778</v>
      </c>
      <c r="B8002" s="2">
        <v>607.0</v>
      </c>
      <c r="C8002" s="2" t="s">
        <v>68</v>
      </c>
    </row>
    <row r="8003">
      <c r="A8003" s="1">
        <v>43751.43238078704</v>
      </c>
      <c r="B8003" s="2">
        <v>175.0</v>
      </c>
      <c r="C8003" s="2" t="s">
        <v>69</v>
      </c>
    </row>
    <row r="8004">
      <c r="A8004" s="1">
        <v>43751.432809606486</v>
      </c>
      <c r="B8004" s="2">
        <v>648.0</v>
      </c>
      <c r="C8004" s="2" t="s">
        <v>207</v>
      </c>
    </row>
    <row r="8005">
      <c r="A8005" s="1">
        <v>43751.43297840278</v>
      </c>
      <c r="B8005" s="2">
        <v>175.0</v>
      </c>
      <c r="C8005" s="2" t="s">
        <v>69</v>
      </c>
    </row>
    <row r="8006">
      <c r="A8006" s="1">
        <v>43751.433405902775</v>
      </c>
      <c r="B8006" s="2">
        <v>613.0</v>
      </c>
      <c r="C8006" s="2" t="s">
        <v>124</v>
      </c>
    </row>
    <row r="8007">
      <c r="A8007" s="1">
        <v>43751.43379383102</v>
      </c>
      <c r="B8007" s="2">
        <v>252.0</v>
      </c>
      <c r="C8007" s="2" t="s">
        <v>34</v>
      </c>
    </row>
    <row r="8008">
      <c r="A8008" s="1">
        <v>43751.43398714121</v>
      </c>
      <c r="B8008" s="3" t="s">
        <v>42</v>
      </c>
      <c r="C8008" s="2" t="s">
        <v>43</v>
      </c>
    </row>
    <row r="8009">
      <c r="A8009" s="1">
        <v>43751.43414863426</v>
      </c>
      <c r="B8009" s="3" t="s">
        <v>82</v>
      </c>
      <c r="C8009" s="2" t="s">
        <v>83</v>
      </c>
    </row>
    <row r="8010">
      <c r="A8010" s="1">
        <v>43751.43434601852</v>
      </c>
      <c r="B8010" s="3" t="s">
        <v>78</v>
      </c>
      <c r="C8010" s="2" t="s">
        <v>79</v>
      </c>
    </row>
    <row r="8011">
      <c r="A8011" s="1">
        <v>43751.434714641204</v>
      </c>
      <c r="B8011" s="2">
        <v>723.0</v>
      </c>
      <c r="C8011" s="2" t="s">
        <v>84</v>
      </c>
      <c r="D8011" s="2" t="s">
        <v>5</v>
      </c>
    </row>
    <row r="8012">
      <c r="A8012" s="1">
        <v>43751.43487619213</v>
      </c>
      <c r="B8012" s="2">
        <v>173.0</v>
      </c>
      <c r="C8012" s="2" t="s">
        <v>24</v>
      </c>
    </row>
    <row r="8013">
      <c r="A8013" s="1">
        <v>43751.435146828706</v>
      </c>
      <c r="B8013" s="2">
        <v>172.0</v>
      </c>
      <c r="C8013" s="2" t="s">
        <v>65</v>
      </c>
    </row>
    <row r="8014">
      <c r="A8014" s="1">
        <v>43751.435641840275</v>
      </c>
      <c r="B8014" s="3" t="s">
        <v>159</v>
      </c>
      <c r="C8014" s="2" t="s">
        <v>160</v>
      </c>
    </row>
    <row r="8015">
      <c r="A8015" s="1">
        <v>43751.436104479166</v>
      </c>
      <c r="B8015" s="2">
        <v>165.0</v>
      </c>
      <c r="C8015" s="2" t="s">
        <v>50</v>
      </c>
    </row>
    <row r="8016">
      <c r="A8016" s="1">
        <v>43751.43627842593</v>
      </c>
      <c r="B8016" s="3" t="s">
        <v>88</v>
      </c>
      <c r="C8016" s="2" t="s">
        <v>89</v>
      </c>
    </row>
    <row r="8017">
      <c r="A8017" s="1">
        <v>43751.43667265047</v>
      </c>
      <c r="B8017" s="2">
        <v>736.0</v>
      </c>
      <c r="C8017" s="2" t="s">
        <v>175</v>
      </c>
      <c r="D8017" s="2" t="s">
        <v>5</v>
      </c>
    </row>
    <row r="8018">
      <c r="A8018" s="1">
        <v>43751.43694135417</v>
      </c>
      <c r="B8018" s="2">
        <v>737.0</v>
      </c>
      <c r="C8018" s="2" t="s">
        <v>176</v>
      </c>
      <c r="D8018" s="2" t="s">
        <v>5</v>
      </c>
    </row>
    <row r="8019">
      <c r="A8019" s="1">
        <v>43751.43719677083</v>
      </c>
      <c r="B8019" s="3" t="s">
        <v>74</v>
      </c>
      <c r="C8019" s="2" t="s">
        <v>75</v>
      </c>
    </row>
    <row r="8020">
      <c r="A8020" s="1">
        <v>43751.437259108796</v>
      </c>
      <c r="B8020" s="2">
        <v>229.0</v>
      </c>
      <c r="C8020" s="2" t="s">
        <v>86</v>
      </c>
    </row>
    <row r="8021">
      <c r="A8021" s="1">
        <v>43751.43744040509</v>
      </c>
      <c r="B8021" s="3" t="s">
        <v>150</v>
      </c>
      <c r="C8021" s="2" t="s">
        <v>151</v>
      </c>
    </row>
    <row r="8022">
      <c r="A8022" s="1">
        <v>43751.43753221065</v>
      </c>
      <c r="B8022" s="2">
        <v>208.0</v>
      </c>
      <c r="C8022" s="2" t="s">
        <v>182</v>
      </c>
    </row>
    <row r="8023">
      <c r="A8023" s="1">
        <v>43751.4375803588</v>
      </c>
      <c r="B8023" s="2">
        <v>667.0</v>
      </c>
      <c r="C8023" s="2" t="s">
        <v>73</v>
      </c>
    </row>
    <row r="8024">
      <c r="A8024" s="1">
        <v>43751.437672685184</v>
      </c>
      <c r="B8024" s="2">
        <v>706.0</v>
      </c>
      <c r="C8024" s="2" t="s">
        <v>149</v>
      </c>
      <c r="D8024" s="2" t="s">
        <v>5</v>
      </c>
    </row>
    <row r="8025">
      <c r="A8025" s="1">
        <v>43751.43769716435</v>
      </c>
      <c r="B8025" s="3" t="s">
        <v>44</v>
      </c>
      <c r="C8025" s="2" t="s">
        <v>45</v>
      </c>
    </row>
    <row r="8026">
      <c r="A8026" s="1">
        <v>43751.438136377314</v>
      </c>
      <c r="B8026" s="2">
        <v>676.0</v>
      </c>
      <c r="C8026" s="2" t="s">
        <v>223</v>
      </c>
    </row>
    <row r="8027">
      <c r="A8027" s="1">
        <v>43751.43840842592</v>
      </c>
      <c r="B8027" s="2">
        <v>632.0</v>
      </c>
      <c r="C8027" s="2" t="s">
        <v>146</v>
      </c>
    </row>
    <row r="8028">
      <c r="A8028" s="1">
        <v>43751.438580277776</v>
      </c>
      <c r="B8028" s="2">
        <v>141.0</v>
      </c>
      <c r="C8028" s="2" t="s">
        <v>53</v>
      </c>
    </row>
    <row r="8029">
      <c r="A8029" s="1">
        <v>43751.43892152778</v>
      </c>
      <c r="B8029" s="2">
        <v>253.0</v>
      </c>
      <c r="C8029" s="2" t="s">
        <v>138</v>
      </c>
    </row>
    <row r="8030">
      <c r="A8030" s="1">
        <v>43751.43927837963</v>
      </c>
      <c r="B8030" s="3" t="s">
        <v>51</v>
      </c>
      <c r="C8030" s="2" t="s">
        <v>52</v>
      </c>
    </row>
    <row r="8031">
      <c r="A8031" s="1">
        <v>43751.439300625</v>
      </c>
      <c r="B8031" s="2">
        <v>262.0</v>
      </c>
      <c r="C8031" s="2" t="s">
        <v>28</v>
      </c>
    </row>
    <row r="8032">
      <c r="A8032" s="1">
        <v>43751.4394124074</v>
      </c>
      <c r="B8032" s="3" t="s">
        <v>22</v>
      </c>
      <c r="C8032" s="2" t="s">
        <v>23</v>
      </c>
    </row>
    <row r="8033">
      <c r="A8033" s="1">
        <v>43751.43954599537</v>
      </c>
      <c r="B8033" s="2">
        <v>238.0</v>
      </c>
      <c r="C8033" s="2" t="s">
        <v>35</v>
      </c>
    </row>
    <row r="8034">
      <c r="A8034" s="1">
        <v>43751.43966788195</v>
      </c>
      <c r="B8034" s="2">
        <v>201.0</v>
      </c>
      <c r="C8034" s="2" t="s">
        <v>70</v>
      </c>
    </row>
    <row r="8035">
      <c r="A8035" s="1">
        <v>43751.43967798611</v>
      </c>
      <c r="B8035" s="2">
        <v>257.0</v>
      </c>
      <c r="C8035" s="2" t="s">
        <v>27</v>
      </c>
    </row>
    <row r="8036">
      <c r="A8036" s="1">
        <v>43751.44003820602</v>
      </c>
      <c r="B8036" s="2">
        <v>673.0</v>
      </c>
      <c r="C8036" s="2" t="s">
        <v>189</v>
      </c>
    </row>
    <row r="8037">
      <c r="A8037" s="1">
        <v>43751.44014568287</v>
      </c>
      <c r="B8037" s="2">
        <v>611.0</v>
      </c>
      <c r="C8037" s="2" t="s">
        <v>143</v>
      </c>
    </row>
    <row r="8038">
      <c r="A8038" s="1">
        <v>43751.44018521991</v>
      </c>
      <c r="B8038" s="2">
        <v>643.0</v>
      </c>
      <c r="C8038" s="2" t="s">
        <v>166</v>
      </c>
    </row>
    <row r="8039">
      <c r="A8039" s="1">
        <v>43751.441029953705</v>
      </c>
      <c r="B8039" s="2">
        <v>729.0</v>
      </c>
      <c r="C8039" s="2" t="s">
        <v>54</v>
      </c>
      <c r="D8039" s="2" t="s">
        <v>5</v>
      </c>
    </row>
    <row r="8040">
      <c r="A8040" s="1">
        <v>43751.441404259254</v>
      </c>
      <c r="B8040" s="2">
        <v>707.0</v>
      </c>
      <c r="C8040" s="2" t="s">
        <v>57</v>
      </c>
      <c r="D8040" s="2" t="s">
        <v>5</v>
      </c>
    </row>
    <row r="8041">
      <c r="A8041" s="1">
        <v>43751.44154832176</v>
      </c>
      <c r="B8041" s="2">
        <v>160.0</v>
      </c>
      <c r="C8041" s="2" t="s">
        <v>154</v>
      </c>
    </row>
    <row r="8042">
      <c r="A8042" s="1">
        <v>43751.4418008912</v>
      </c>
      <c r="B8042" s="2">
        <v>614.0</v>
      </c>
      <c r="C8042" s="2" t="s">
        <v>76</v>
      </c>
    </row>
    <row r="8043">
      <c r="A8043" s="1">
        <v>43751.443368900465</v>
      </c>
      <c r="B8043" s="2">
        <v>655.0</v>
      </c>
      <c r="C8043" s="2" t="s">
        <v>17</v>
      </c>
    </row>
    <row r="8044">
      <c r="A8044" s="1">
        <v>43751.443961550925</v>
      </c>
      <c r="B8044" s="2">
        <v>611.0</v>
      </c>
      <c r="C8044" s="2" t="s">
        <v>143</v>
      </c>
    </row>
    <row r="8045">
      <c r="A8045" s="1">
        <v>43751.44409171296</v>
      </c>
      <c r="B8045" s="2">
        <v>604.0</v>
      </c>
      <c r="C8045" s="2" t="s">
        <v>36</v>
      </c>
    </row>
    <row r="8046">
      <c r="A8046" s="1">
        <v>43751.44479489583</v>
      </c>
      <c r="B8046" s="2">
        <v>198.0</v>
      </c>
      <c r="C8046" s="2" t="s">
        <v>97</v>
      </c>
    </row>
    <row r="8047">
      <c r="A8047" s="1">
        <v>43751.44496314815</v>
      </c>
      <c r="B8047" s="2">
        <v>702.0</v>
      </c>
      <c r="C8047" s="2" t="s">
        <v>96</v>
      </c>
      <c r="D8047" s="2" t="s">
        <v>5</v>
      </c>
    </row>
    <row r="8048">
      <c r="A8048" s="1">
        <v>43751.44518241898</v>
      </c>
      <c r="B8048" s="3" t="s">
        <v>103</v>
      </c>
      <c r="C8048" s="2" t="s">
        <v>104</v>
      </c>
    </row>
    <row r="8049">
      <c r="A8049" s="1">
        <v>43751.44599331019</v>
      </c>
      <c r="B8049" s="2">
        <v>126.0</v>
      </c>
      <c r="C8049" s="2" t="s">
        <v>87</v>
      </c>
    </row>
    <row r="8050">
      <c r="A8050" s="1">
        <v>43751.446007314815</v>
      </c>
      <c r="B8050" s="2">
        <v>701.0</v>
      </c>
      <c r="C8050" s="2" t="s">
        <v>93</v>
      </c>
      <c r="D8050" s="2" t="s">
        <v>5</v>
      </c>
    </row>
    <row r="8051">
      <c r="A8051" s="1">
        <v>43751.446129710646</v>
      </c>
      <c r="B8051" s="2">
        <v>268.0</v>
      </c>
      <c r="C8051" s="2" t="s">
        <v>205</v>
      </c>
    </row>
    <row r="8052">
      <c r="A8052" s="1">
        <v>43751.44637064815</v>
      </c>
      <c r="B8052" s="3" t="s">
        <v>94</v>
      </c>
      <c r="C8052" s="2" t="s">
        <v>95</v>
      </c>
    </row>
    <row r="8053">
      <c r="A8053" s="1">
        <v>43751.44768070602</v>
      </c>
      <c r="B8053" s="2">
        <v>627.0</v>
      </c>
      <c r="C8053" s="2" t="s">
        <v>134</v>
      </c>
    </row>
    <row r="8054">
      <c r="A8054" s="1">
        <v>43751.448788877315</v>
      </c>
      <c r="B8054" s="2">
        <v>679.0</v>
      </c>
      <c r="C8054" s="2" t="s">
        <v>229</v>
      </c>
    </row>
    <row r="8055">
      <c r="A8055" s="1">
        <v>43751.450931597225</v>
      </c>
      <c r="B8055" s="2">
        <v>721.0</v>
      </c>
      <c r="C8055" s="2" t="s">
        <v>156</v>
      </c>
      <c r="D8055" s="2" t="s">
        <v>5</v>
      </c>
    </row>
    <row r="8056">
      <c r="A8056" s="1">
        <v>43751.458128611106</v>
      </c>
      <c r="B8056" s="3" t="s">
        <v>119</v>
      </c>
      <c r="C8056" s="2" t="s">
        <v>120</v>
      </c>
    </row>
    <row r="8057">
      <c r="A8057" s="1">
        <v>43751.45836805555</v>
      </c>
      <c r="B8057" s="2">
        <v>713.0</v>
      </c>
      <c r="C8057" s="2" t="s">
        <v>121</v>
      </c>
      <c r="D8057" s="2" t="s">
        <v>5</v>
      </c>
    </row>
    <row r="8058">
      <c r="A8058" s="1">
        <v>43751.4584889699</v>
      </c>
      <c r="B8058" s="2">
        <v>714.0</v>
      </c>
      <c r="C8058" s="2" t="s">
        <v>122</v>
      </c>
      <c r="D8058" s="2" t="s">
        <v>5</v>
      </c>
    </row>
    <row r="8059">
      <c r="A8059" s="1">
        <v>43751.45854045139</v>
      </c>
      <c r="B8059" s="2">
        <v>653.0</v>
      </c>
      <c r="C8059" s="2" t="s">
        <v>77</v>
      </c>
    </row>
    <row r="8060">
      <c r="A8060" s="1">
        <v>43751.468436863426</v>
      </c>
      <c r="B8060" s="2">
        <v>709.0</v>
      </c>
      <c r="C8060" s="2" t="s">
        <v>20</v>
      </c>
      <c r="D8060" s="2" t="s">
        <v>5</v>
      </c>
    </row>
    <row r="8061">
      <c r="A8061" s="1">
        <v>43751.4689866088</v>
      </c>
      <c r="B8061" s="2">
        <v>114.0</v>
      </c>
      <c r="C8061" s="2" t="s">
        <v>15</v>
      </c>
    </row>
    <row r="8062">
      <c r="A8062" s="1">
        <v>43751.48053414351</v>
      </c>
      <c r="B8062" s="3" t="s">
        <v>9</v>
      </c>
      <c r="C8062" s="2" t="s">
        <v>10</v>
      </c>
    </row>
    <row r="8063">
      <c r="A8063" s="1">
        <v>43751.48084047454</v>
      </c>
      <c r="B8063" s="2">
        <v>708.0</v>
      </c>
      <c r="C8063" s="2" t="s">
        <v>4</v>
      </c>
      <c r="D8063" s="2" t="s">
        <v>5</v>
      </c>
    </row>
    <row r="8064">
      <c r="A8064" s="1">
        <v>43751.480993923615</v>
      </c>
      <c r="B8064" s="2">
        <v>710.0</v>
      </c>
      <c r="C8064" s="2" t="s">
        <v>21</v>
      </c>
      <c r="D8064" s="2" t="s">
        <v>5</v>
      </c>
    </row>
    <row r="8065">
      <c r="A8065" s="1">
        <v>43752.62718548611</v>
      </c>
      <c r="B8065" s="2">
        <v>627.0</v>
      </c>
      <c r="C8065" s="2" t="s">
        <v>134</v>
      </c>
    </row>
    <row r="8066">
      <c r="A8066" s="1">
        <v>43752.6628383912</v>
      </c>
      <c r="B8066" s="2">
        <v>673.0</v>
      </c>
      <c r="C8066" s="2" t="s">
        <v>189</v>
      </c>
    </row>
    <row r="8067">
      <c r="A8067" s="1">
        <v>43752.665545509255</v>
      </c>
      <c r="B8067" s="2">
        <v>734.0</v>
      </c>
      <c r="C8067" s="2" t="s">
        <v>63</v>
      </c>
      <c r="D8067" s="2" t="s">
        <v>5</v>
      </c>
    </row>
    <row r="8068">
      <c r="A8068" s="1">
        <v>43753.43051011574</v>
      </c>
      <c r="B8068" s="2">
        <v>601.0</v>
      </c>
      <c r="C8068" s="2" t="s">
        <v>125</v>
      </c>
    </row>
    <row r="8069">
      <c r="A8069" s="1">
        <v>43753.43183854167</v>
      </c>
      <c r="B8069" s="2">
        <v>740.0</v>
      </c>
      <c r="C8069" s="2" t="s">
        <v>221</v>
      </c>
      <c r="D8069" s="2" t="s">
        <v>5</v>
      </c>
    </row>
    <row r="8070">
      <c r="A8070" s="1">
        <v>43754.469771944445</v>
      </c>
      <c r="B8070" s="2">
        <v>740.0</v>
      </c>
      <c r="C8070" s="2" t="s">
        <v>221</v>
      </c>
      <c r="D8070" s="2" t="s">
        <v>5</v>
      </c>
    </row>
    <row r="8071">
      <c r="A8071" s="1">
        <v>43758.42169736111</v>
      </c>
      <c r="B8071" s="3" t="s">
        <v>55</v>
      </c>
      <c r="C8071" s="2" t="s">
        <v>56</v>
      </c>
    </row>
    <row r="8072">
      <c r="A8072" s="1">
        <v>43758.421820752315</v>
      </c>
      <c r="B8072" s="3" t="s">
        <v>55</v>
      </c>
      <c r="C8072" s="2" t="s">
        <v>56</v>
      </c>
    </row>
    <row r="8073">
      <c r="A8073" s="1">
        <v>43758.42196857639</v>
      </c>
      <c r="B8073" s="2">
        <v>141.0</v>
      </c>
      <c r="C8073" s="2" t="s">
        <v>53</v>
      </c>
    </row>
    <row r="8074">
      <c r="A8074" s="1">
        <v>43758.42210236111</v>
      </c>
      <c r="B8074" s="2">
        <v>141.0</v>
      </c>
      <c r="C8074" s="2" t="s">
        <v>53</v>
      </c>
    </row>
    <row r="8075">
      <c r="A8075" s="1">
        <v>43758.42224083333</v>
      </c>
      <c r="B8075" s="2">
        <v>707.0</v>
      </c>
      <c r="C8075" s="2" t="s">
        <v>57</v>
      </c>
      <c r="D8075" s="2" t="s">
        <v>5</v>
      </c>
    </row>
    <row r="8076">
      <c r="A8076" s="1">
        <v>43758.42261311343</v>
      </c>
      <c r="B8076" s="2">
        <v>729.0</v>
      </c>
      <c r="C8076" s="2" t="s">
        <v>54</v>
      </c>
      <c r="D8076" s="2" t="s">
        <v>5</v>
      </c>
    </row>
    <row r="8077">
      <c r="A8077" s="1">
        <v>43758.422755231484</v>
      </c>
      <c r="B8077" s="2">
        <v>207.0</v>
      </c>
      <c r="C8077" s="2" t="s">
        <v>85</v>
      </c>
    </row>
    <row r="8078">
      <c r="A8078" s="1">
        <v>43758.427425173606</v>
      </c>
      <c r="B8078" s="2">
        <v>165.0</v>
      </c>
      <c r="C8078" s="2" t="s">
        <v>50</v>
      </c>
    </row>
    <row r="8079">
      <c r="A8079" s="1">
        <v>43758.42867517361</v>
      </c>
      <c r="B8079" s="3" t="s">
        <v>111</v>
      </c>
      <c r="C8079" s="2" t="s">
        <v>112</v>
      </c>
    </row>
    <row r="8080">
      <c r="A8080" s="1">
        <v>43758.42919649306</v>
      </c>
      <c r="B8080" s="2">
        <v>219.0</v>
      </c>
      <c r="C8080" s="2" t="s">
        <v>31</v>
      </c>
    </row>
    <row r="8081">
      <c r="A8081" s="1">
        <v>43758.42959594907</v>
      </c>
      <c r="B8081" s="3" t="s">
        <v>32</v>
      </c>
      <c r="C8081" s="2" t="s">
        <v>33</v>
      </c>
    </row>
    <row r="8082">
      <c r="A8082" s="1">
        <v>43758.429936458335</v>
      </c>
      <c r="B8082" s="2">
        <v>193.0</v>
      </c>
      <c r="C8082" s="2" t="s">
        <v>30</v>
      </c>
    </row>
    <row r="8083">
      <c r="A8083" s="1">
        <v>43758.43018993056</v>
      </c>
      <c r="B8083" s="2">
        <v>627.0</v>
      </c>
      <c r="C8083" s="2" t="s">
        <v>134</v>
      </c>
    </row>
    <row r="8084">
      <c r="A8084" s="1">
        <v>43758.43019850695</v>
      </c>
      <c r="B8084" s="2">
        <v>738.0</v>
      </c>
      <c r="C8084" s="2" t="s">
        <v>161</v>
      </c>
      <c r="D8084" s="2" t="s">
        <v>5</v>
      </c>
    </row>
    <row r="8085">
      <c r="A8085" s="1">
        <v>43758.43054290509</v>
      </c>
      <c r="B8085" s="3" t="s">
        <v>186</v>
      </c>
      <c r="C8085" s="2" t="s">
        <v>187</v>
      </c>
    </row>
    <row r="8086">
      <c r="A8086" s="1">
        <v>43758.43055958333</v>
      </c>
      <c r="B8086" s="3" t="s">
        <v>44</v>
      </c>
      <c r="C8086" s="2" t="s">
        <v>45</v>
      </c>
    </row>
    <row r="8087">
      <c r="A8087" s="1">
        <v>43758.430685960644</v>
      </c>
      <c r="B8087" s="2">
        <v>52.0</v>
      </c>
      <c r="C8087" s="2" t="s">
        <v>41</v>
      </c>
    </row>
    <row r="8088">
      <c r="A8088" s="1">
        <v>43758.430895439815</v>
      </c>
      <c r="B8088" s="2">
        <v>173.0</v>
      </c>
      <c r="C8088" s="2" t="s">
        <v>24</v>
      </c>
    </row>
    <row r="8089">
      <c r="A8089" s="1">
        <v>43758.43089986111</v>
      </c>
      <c r="B8089" s="2">
        <v>262.0</v>
      </c>
      <c r="C8089" s="2" t="s">
        <v>28</v>
      </c>
    </row>
    <row r="8090">
      <c r="A8090" s="1">
        <v>43758.43101136574</v>
      </c>
      <c r="B8090" s="2">
        <v>208.0</v>
      </c>
      <c r="C8090" s="2" t="s">
        <v>182</v>
      </c>
    </row>
    <row r="8091">
      <c r="A8091" s="1">
        <v>43758.431144814815</v>
      </c>
      <c r="B8091" s="2">
        <v>210.0</v>
      </c>
      <c r="C8091" s="2" t="s">
        <v>64</v>
      </c>
    </row>
    <row r="8092">
      <c r="A8092" s="1">
        <v>43758.43121484954</v>
      </c>
      <c r="B8092" s="2">
        <v>607.0</v>
      </c>
      <c r="C8092" s="2" t="s">
        <v>68</v>
      </c>
    </row>
    <row r="8093">
      <c r="A8093" s="1">
        <v>43758.43131666667</v>
      </c>
      <c r="B8093" s="2">
        <v>219.0</v>
      </c>
      <c r="C8093" s="2" t="s">
        <v>31</v>
      </c>
    </row>
    <row r="8094">
      <c r="A8094" s="1">
        <v>43758.431485196765</v>
      </c>
      <c r="B8094" s="2">
        <v>246.0</v>
      </c>
      <c r="C8094" s="2" t="s">
        <v>26</v>
      </c>
    </row>
    <row r="8095">
      <c r="A8095" s="1">
        <v>43758.43152146991</v>
      </c>
      <c r="B8095" s="2">
        <v>717.0</v>
      </c>
      <c r="C8095" s="2" t="s">
        <v>152</v>
      </c>
      <c r="D8095" s="2" t="s">
        <v>5</v>
      </c>
    </row>
    <row r="8096">
      <c r="A8096" s="1">
        <v>43758.43174484954</v>
      </c>
      <c r="B8096" s="2">
        <v>270.0</v>
      </c>
      <c r="C8096" s="2" t="s">
        <v>153</v>
      </c>
    </row>
    <row r="8097">
      <c r="A8097" s="1">
        <v>43758.431772592594</v>
      </c>
      <c r="B8097" s="3" t="s">
        <v>22</v>
      </c>
      <c r="C8097" s="2" t="s">
        <v>23</v>
      </c>
    </row>
    <row r="8098">
      <c r="A8098" s="1">
        <v>43758.431975127314</v>
      </c>
      <c r="B8098" s="2">
        <v>631.0</v>
      </c>
      <c r="C8098" s="2" t="s">
        <v>178</v>
      </c>
    </row>
    <row r="8099">
      <c r="A8099" s="1">
        <v>43758.43205636574</v>
      </c>
      <c r="B8099" s="2">
        <v>253.0</v>
      </c>
      <c r="C8099" s="2" t="s">
        <v>138</v>
      </c>
    </row>
    <row r="8100">
      <c r="A8100" s="1">
        <v>43758.43211364583</v>
      </c>
      <c r="B8100" s="2">
        <v>643.0</v>
      </c>
      <c r="C8100" s="2" t="s">
        <v>166</v>
      </c>
    </row>
    <row r="8101">
      <c r="A8101" s="1">
        <v>43758.4323040625</v>
      </c>
      <c r="B8101" s="2">
        <v>722.0</v>
      </c>
      <c r="C8101" s="2" t="s">
        <v>25</v>
      </c>
      <c r="D8101" s="2" t="s">
        <v>5</v>
      </c>
    </row>
    <row r="8102">
      <c r="A8102" s="1">
        <v>43758.43240929398</v>
      </c>
      <c r="B8102" s="2">
        <v>717.0</v>
      </c>
      <c r="C8102" s="2" t="s">
        <v>152</v>
      </c>
      <c r="D8102" s="2" t="s">
        <v>5</v>
      </c>
    </row>
    <row r="8103">
      <c r="A8103" s="1">
        <v>43758.432431875</v>
      </c>
      <c r="B8103" s="2">
        <v>231.0</v>
      </c>
      <c r="C8103" s="2" t="s">
        <v>61</v>
      </c>
    </row>
    <row r="8104">
      <c r="A8104" s="1">
        <v>43758.43251039352</v>
      </c>
      <c r="B8104" s="2">
        <v>738.0</v>
      </c>
      <c r="C8104" s="2" t="s">
        <v>161</v>
      </c>
      <c r="D8104" s="2" t="s">
        <v>5</v>
      </c>
    </row>
    <row r="8105">
      <c r="A8105" s="1">
        <v>43758.432600659726</v>
      </c>
      <c r="B8105" s="2">
        <v>738.0</v>
      </c>
      <c r="C8105" s="2" t="s">
        <v>161</v>
      </c>
      <c r="D8105" s="2" t="s">
        <v>5</v>
      </c>
    </row>
    <row r="8106">
      <c r="A8106" s="1">
        <v>43758.43284039352</v>
      </c>
      <c r="B8106" s="2">
        <v>603.0</v>
      </c>
      <c r="C8106" s="2" t="s">
        <v>40</v>
      </c>
    </row>
    <row r="8107">
      <c r="A8107" s="1">
        <v>43758.43288274306</v>
      </c>
      <c r="B8107" s="2">
        <v>602.0</v>
      </c>
      <c r="C8107" s="2" t="s">
        <v>131</v>
      </c>
    </row>
    <row r="8108">
      <c r="A8108" s="1">
        <v>43758.43296486112</v>
      </c>
      <c r="B8108" s="2">
        <v>740.0</v>
      </c>
      <c r="C8108" s="2" t="s">
        <v>221</v>
      </c>
      <c r="D8108" s="2" t="s">
        <v>5</v>
      </c>
    </row>
    <row r="8109">
      <c r="A8109" s="1">
        <v>43758.433105868055</v>
      </c>
      <c r="B8109" s="2">
        <v>614.0</v>
      </c>
      <c r="C8109" s="2" t="s">
        <v>76</v>
      </c>
    </row>
    <row r="8110">
      <c r="A8110" s="1">
        <v>43758.433354629626</v>
      </c>
      <c r="B8110" s="2">
        <v>158.0</v>
      </c>
      <c r="C8110" s="2" t="s">
        <v>62</v>
      </c>
    </row>
    <row r="8111">
      <c r="A8111" s="1">
        <v>43758.4333621875</v>
      </c>
      <c r="B8111" s="2">
        <v>201.0</v>
      </c>
      <c r="C8111" s="2" t="s">
        <v>70</v>
      </c>
    </row>
    <row r="8112">
      <c r="A8112" s="1">
        <v>43758.433511979165</v>
      </c>
      <c r="B8112" s="2">
        <v>201.0</v>
      </c>
      <c r="C8112" s="2" t="s">
        <v>70</v>
      </c>
    </row>
    <row r="8113">
      <c r="A8113" s="1">
        <v>43758.4341091088</v>
      </c>
      <c r="B8113" s="2">
        <v>735.0</v>
      </c>
      <c r="C8113" s="2" t="s">
        <v>37</v>
      </c>
      <c r="D8113" s="2" t="s">
        <v>5</v>
      </c>
    </row>
    <row r="8114">
      <c r="A8114" s="1">
        <v>43758.4341359838</v>
      </c>
      <c r="B8114" s="2">
        <v>267.0</v>
      </c>
      <c r="C8114" s="2" t="s">
        <v>115</v>
      </c>
    </row>
    <row r="8115">
      <c r="A8115" s="1">
        <v>43758.43422946759</v>
      </c>
      <c r="B8115" s="2">
        <v>535.0</v>
      </c>
      <c r="C8115" s="2" t="s">
        <v>208</v>
      </c>
    </row>
    <row r="8116">
      <c r="A8116" s="1">
        <v>43758.434428657405</v>
      </c>
      <c r="B8116" s="2">
        <v>632.0</v>
      </c>
      <c r="C8116" s="2" t="s">
        <v>146</v>
      </c>
    </row>
    <row r="8117">
      <c r="A8117" s="1">
        <v>43758.435659131945</v>
      </c>
      <c r="B8117" s="3" t="s">
        <v>150</v>
      </c>
      <c r="C8117" s="2" t="s">
        <v>151</v>
      </c>
    </row>
    <row r="8118">
      <c r="A8118" s="1">
        <v>43758.43597373842</v>
      </c>
      <c r="B8118" s="2">
        <v>172.0</v>
      </c>
      <c r="C8118" s="2" t="s">
        <v>65</v>
      </c>
    </row>
    <row r="8119">
      <c r="A8119" s="1">
        <v>43758.436109953705</v>
      </c>
      <c r="B8119" s="3" t="s">
        <v>150</v>
      </c>
      <c r="C8119" s="2" t="s">
        <v>151</v>
      </c>
    </row>
    <row r="8120">
      <c r="A8120" s="1">
        <v>43758.436261828705</v>
      </c>
      <c r="B8120" s="3" t="s">
        <v>51</v>
      </c>
      <c r="C8120" s="2" t="s">
        <v>52</v>
      </c>
    </row>
    <row r="8121">
      <c r="A8121" s="1">
        <v>43758.43641050926</v>
      </c>
      <c r="B8121" s="2">
        <v>667.0</v>
      </c>
      <c r="C8121" s="2" t="s">
        <v>73</v>
      </c>
    </row>
    <row r="8122">
      <c r="A8122" s="1">
        <v>43758.436506087965</v>
      </c>
      <c r="B8122" s="2">
        <v>706.0</v>
      </c>
      <c r="C8122" s="2" t="s">
        <v>149</v>
      </c>
      <c r="D8122" s="2" t="s">
        <v>5</v>
      </c>
    </row>
    <row r="8123">
      <c r="A8123" s="1">
        <v>43758.43651234954</v>
      </c>
      <c r="B8123" s="2">
        <v>677.0</v>
      </c>
      <c r="C8123" s="2" t="s">
        <v>224</v>
      </c>
    </row>
    <row r="8124">
      <c r="A8124" s="1">
        <v>43758.436742453705</v>
      </c>
      <c r="B8124" s="2">
        <v>158.0</v>
      </c>
      <c r="C8124" s="2" t="s">
        <v>62</v>
      </c>
    </row>
    <row r="8125">
      <c r="A8125" s="1">
        <v>43758.43699318287</v>
      </c>
      <c r="B8125" s="2">
        <v>737.0</v>
      </c>
      <c r="C8125" s="2" t="s">
        <v>176</v>
      </c>
      <c r="D8125" s="2" t="s">
        <v>5</v>
      </c>
    </row>
    <row r="8126">
      <c r="A8126" s="1">
        <v>43758.43700149306</v>
      </c>
      <c r="B8126" s="3" t="s">
        <v>74</v>
      </c>
      <c r="C8126" s="2" t="s">
        <v>75</v>
      </c>
    </row>
    <row r="8127">
      <c r="A8127" s="1">
        <v>43758.437098263894</v>
      </c>
      <c r="B8127" s="2">
        <v>736.0</v>
      </c>
      <c r="C8127" s="2" t="s">
        <v>175</v>
      </c>
      <c r="D8127" s="2" t="s">
        <v>5</v>
      </c>
    </row>
    <row r="8128">
      <c r="A8128" s="1">
        <v>43758.43721350694</v>
      </c>
      <c r="B8128" s="3" t="s">
        <v>88</v>
      </c>
      <c r="C8128" s="2" t="s">
        <v>89</v>
      </c>
    </row>
    <row r="8129">
      <c r="A8129" s="1">
        <v>43758.43828581019</v>
      </c>
      <c r="B8129" s="2">
        <v>714.0</v>
      </c>
      <c r="C8129" s="2" t="s">
        <v>122</v>
      </c>
      <c r="D8129" s="2" t="s">
        <v>5</v>
      </c>
    </row>
    <row r="8130">
      <c r="A8130" s="1">
        <v>43758.43841340278</v>
      </c>
      <c r="B8130" s="2">
        <v>713.0</v>
      </c>
      <c r="C8130" s="2" t="s">
        <v>121</v>
      </c>
      <c r="D8130" s="2" t="s">
        <v>5</v>
      </c>
    </row>
    <row r="8131">
      <c r="A8131" s="1">
        <v>43758.43859344907</v>
      </c>
      <c r="B8131" s="2">
        <v>126.0</v>
      </c>
      <c r="C8131" s="2" t="s">
        <v>87</v>
      </c>
    </row>
    <row r="8132">
      <c r="A8132" s="1">
        <v>43758.43861982639</v>
      </c>
      <c r="B8132" s="2">
        <v>716.0</v>
      </c>
      <c r="C8132" s="2" t="s">
        <v>123</v>
      </c>
      <c r="D8132" s="2" t="s">
        <v>5</v>
      </c>
    </row>
    <row r="8133">
      <c r="A8133" s="1">
        <v>43758.4387556713</v>
      </c>
      <c r="B8133" s="2">
        <v>268.0</v>
      </c>
      <c r="C8133" s="2" t="s">
        <v>205</v>
      </c>
    </row>
    <row r="8134">
      <c r="A8134" s="1">
        <v>43758.438822488424</v>
      </c>
      <c r="B8134" s="2">
        <v>702.0</v>
      </c>
      <c r="C8134" s="2" t="s">
        <v>96</v>
      </c>
      <c r="D8134" s="2" t="s">
        <v>5</v>
      </c>
    </row>
    <row r="8135">
      <c r="A8135" s="1">
        <v>43758.438944444446</v>
      </c>
      <c r="B8135" s="2">
        <v>649.0</v>
      </c>
      <c r="C8135" s="2" t="s">
        <v>177</v>
      </c>
    </row>
    <row r="8136">
      <c r="A8136" s="1">
        <v>43758.438968946764</v>
      </c>
      <c r="B8136" s="2">
        <v>649.0</v>
      </c>
      <c r="C8136" s="2" t="s">
        <v>177</v>
      </c>
    </row>
    <row r="8137">
      <c r="A8137" s="1">
        <v>43758.43912318287</v>
      </c>
      <c r="B8137" s="3" t="s">
        <v>94</v>
      </c>
      <c r="C8137" s="2" t="s">
        <v>95</v>
      </c>
    </row>
    <row r="8138">
      <c r="A8138" s="1">
        <v>43758.43917583334</v>
      </c>
      <c r="B8138" s="3" t="s">
        <v>117</v>
      </c>
      <c r="C8138" s="2" t="s">
        <v>118</v>
      </c>
    </row>
    <row r="8139">
      <c r="A8139" s="1">
        <v>43758.43924466435</v>
      </c>
      <c r="B8139" s="3" t="s">
        <v>126</v>
      </c>
      <c r="C8139" s="2" t="s">
        <v>127</v>
      </c>
    </row>
    <row r="8140">
      <c r="A8140" s="1">
        <v>43758.43930326389</v>
      </c>
      <c r="B8140" s="3" t="s">
        <v>119</v>
      </c>
      <c r="C8140" s="2" t="s">
        <v>120</v>
      </c>
    </row>
    <row r="8141">
      <c r="A8141" s="1">
        <v>43758.43939724537</v>
      </c>
      <c r="B8141" s="3" t="s">
        <v>42</v>
      </c>
      <c r="C8141" s="2" t="s">
        <v>43</v>
      </c>
    </row>
    <row r="8142">
      <c r="A8142" s="1">
        <v>43758.43963719907</v>
      </c>
      <c r="B8142" s="3" t="s">
        <v>98</v>
      </c>
      <c r="C8142" s="2" t="s">
        <v>99</v>
      </c>
    </row>
    <row r="8143">
      <c r="A8143" s="1">
        <v>43758.43981429398</v>
      </c>
      <c r="B8143" s="2">
        <v>147.0</v>
      </c>
      <c r="C8143" s="2" t="s">
        <v>100</v>
      </c>
    </row>
    <row r="8144">
      <c r="A8144" s="1">
        <v>43758.4399403125</v>
      </c>
      <c r="B8144" s="2">
        <v>726.0</v>
      </c>
      <c r="C8144" s="2" t="s">
        <v>101</v>
      </c>
      <c r="D8144" s="2" t="s">
        <v>5</v>
      </c>
    </row>
    <row r="8145">
      <c r="A8145" s="1">
        <v>43758.4400096875</v>
      </c>
      <c r="B8145" s="2">
        <v>732.0</v>
      </c>
      <c r="C8145" s="2" t="s">
        <v>102</v>
      </c>
      <c r="D8145" s="2" t="s">
        <v>5</v>
      </c>
    </row>
    <row r="8146">
      <c r="A8146" s="1">
        <v>43758.440066400464</v>
      </c>
      <c r="B8146" s="2">
        <v>254.0</v>
      </c>
      <c r="C8146" s="2" t="s">
        <v>132</v>
      </c>
    </row>
    <row r="8147">
      <c r="A8147" s="1">
        <v>43758.44016903936</v>
      </c>
      <c r="B8147" s="2">
        <v>257.0</v>
      </c>
      <c r="C8147" s="2" t="s">
        <v>27</v>
      </c>
    </row>
    <row r="8148">
      <c r="A8148" s="1">
        <v>43758.44089690973</v>
      </c>
      <c r="B8148" s="3" t="s">
        <v>78</v>
      </c>
      <c r="C8148" s="2" t="s">
        <v>79</v>
      </c>
    </row>
    <row r="8149">
      <c r="A8149" s="1">
        <v>43758.44110251157</v>
      </c>
      <c r="B8149" s="2">
        <v>723.0</v>
      </c>
      <c r="C8149" s="2" t="s">
        <v>84</v>
      </c>
      <c r="D8149" s="2" t="s">
        <v>5</v>
      </c>
    </row>
    <row r="8150">
      <c r="A8150" s="1">
        <v>43758.441386666665</v>
      </c>
      <c r="B8150" s="2">
        <v>604.0</v>
      </c>
      <c r="C8150" s="2" t="s">
        <v>36</v>
      </c>
    </row>
    <row r="8151">
      <c r="A8151" s="1">
        <v>43758.44220064815</v>
      </c>
      <c r="B8151" s="2">
        <v>679.0</v>
      </c>
      <c r="C8151" s="2" t="s">
        <v>229</v>
      </c>
    </row>
    <row r="8152">
      <c r="A8152" s="1">
        <v>43758.445064803236</v>
      </c>
      <c r="B8152" s="2">
        <v>679.0</v>
      </c>
      <c r="C8152" s="2" t="s">
        <v>229</v>
      </c>
    </row>
    <row r="8153">
      <c r="A8153" s="1">
        <v>43758.445476875</v>
      </c>
      <c r="B8153" s="3" t="s">
        <v>103</v>
      </c>
      <c r="C8153" s="2" t="s">
        <v>104</v>
      </c>
    </row>
    <row r="8154">
      <c r="A8154" s="1">
        <v>43758.44889516204</v>
      </c>
      <c r="B8154" s="2">
        <v>675.0</v>
      </c>
      <c r="C8154" s="2" t="s">
        <v>222</v>
      </c>
    </row>
    <row r="8155">
      <c r="A8155" s="1">
        <v>43758.44912287037</v>
      </c>
      <c r="B8155" s="2">
        <v>678.0</v>
      </c>
      <c r="C8155" s="2" t="s">
        <v>228</v>
      </c>
    </row>
    <row r="8156">
      <c r="A8156" s="1">
        <v>43758.449908263894</v>
      </c>
      <c r="B8156" s="2">
        <v>124.0</v>
      </c>
      <c r="C8156" s="2" t="s">
        <v>107</v>
      </c>
    </row>
    <row r="8157">
      <c r="A8157" s="1">
        <v>43758.45131686343</v>
      </c>
      <c r="B8157" s="2">
        <v>718.0</v>
      </c>
      <c r="C8157" s="2" t="s">
        <v>105</v>
      </c>
      <c r="D8157" s="2" t="s">
        <v>5</v>
      </c>
    </row>
    <row r="8158">
      <c r="A8158" s="1">
        <v>43758.4514049537</v>
      </c>
      <c r="B8158" s="2">
        <v>719.0</v>
      </c>
      <c r="C8158" s="2" t="s">
        <v>106</v>
      </c>
      <c r="D8158" s="2" t="s">
        <v>5</v>
      </c>
    </row>
    <row r="8159">
      <c r="A8159" s="1">
        <v>43758.45176832176</v>
      </c>
      <c r="B8159" s="3" t="s">
        <v>9</v>
      </c>
      <c r="C8159" s="2" t="s">
        <v>10</v>
      </c>
    </row>
    <row r="8160">
      <c r="A8160" s="1">
        <v>43758.451939039354</v>
      </c>
      <c r="B8160" s="3" t="s">
        <v>113</v>
      </c>
      <c r="C8160" s="2" t="s">
        <v>114</v>
      </c>
    </row>
    <row r="8161">
      <c r="A8161" s="1">
        <v>43758.47804081019</v>
      </c>
      <c r="B8161" s="2">
        <v>655.0</v>
      </c>
      <c r="C8161" s="2" t="s">
        <v>17</v>
      </c>
    </row>
    <row r="8162">
      <c r="A8162" s="1">
        <v>43759.38905637732</v>
      </c>
      <c r="B8162" s="2">
        <v>734.0</v>
      </c>
      <c r="C8162" s="2" t="s">
        <v>63</v>
      </c>
      <c r="D8162" s="2" t="s">
        <v>5</v>
      </c>
    </row>
    <row r="8163">
      <c r="A8163" s="1">
        <v>43759.389183946754</v>
      </c>
      <c r="B8163" s="2">
        <v>259.0</v>
      </c>
      <c r="C8163" s="2" t="s">
        <v>66</v>
      </c>
    </row>
    <row r="8164">
      <c r="A8164" s="1">
        <v>43759.38921115741</v>
      </c>
      <c r="B8164" s="2">
        <v>260.0</v>
      </c>
      <c r="C8164" s="2" t="s">
        <v>67</v>
      </c>
    </row>
    <row r="8165">
      <c r="A8165" s="1">
        <v>43759.39113377315</v>
      </c>
      <c r="B8165" s="2">
        <v>738.0</v>
      </c>
      <c r="C8165" s="2" t="s">
        <v>161</v>
      </c>
      <c r="D8165" s="2" t="s">
        <v>5</v>
      </c>
    </row>
    <row r="8166">
      <c r="A8166" s="1">
        <v>43759.3913466088</v>
      </c>
      <c r="B8166" s="2">
        <v>738.0</v>
      </c>
      <c r="C8166" s="2" t="s">
        <v>161</v>
      </c>
      <c r="D8166" s="2" t="s">
        <v>5</v>
      </c>
    </row>
    <row r="8167">
      <c r="A8167" s="1">
        <v>43759.39213516204</v>
      </c>
      <c r="B8167" s="2">
        <v>738.0</v>
      </c>
      <c r="C8167" s="2" t="s">
        <v>161</v>
      </c>
      <c r="D8167" s="2" t="s">
        <v>5</v>
      </c>
    </row>
    <row r="8168">
      <c r="A8168" s="1">
        <v>43759.605185092594</v>
      </c>
      <c r="B8168" s="2">
        <v>244.0</v>
      </c>
      <c r="C8168" s="2" t="s">
        <v>38</v>
      </c>
    </row>
    <row r="8169">
      <c r="A8169" s="1">
        <v>43759.60613849537</v>
      </c>
      <c r="B8169" s="2">
        <v>167.0</v>
      </c>
      <c r="C8169" s="2" t="s">
        <v>39</v>
      </c>
    </row>
    <row r="8170">
      <c r="A8170" s="1">
        <v>43759.60677853009</v>
      </c>
      <c r="B8170" s="2">
        <v>193.0</v>
      </c>
      <c r="C8170" s="2" t="s">
        <v>30</v>
      </c>
    </row>
    <row r="8171">
      <c r="A8171" s="1">
        <v>43759.607377939814</v>
      </c>
      <c r="B8171" s="2">
        <v>214.0</v>
      </c>
      <c r="C8171" s="2" t="s">
        <v>47</v>
      </c>
    </row>
    <row r="8172">
      <c r="A8172" s="1">
        <v>43759.607660127316</v>
      </c>
      <c r="B8172" s="3" t="s">
        <v>80</v>
      </c>
      <c r="C8172" s="2" t="s">
        <v>81</v>
      </c>
    </row>
    <row r="8173">
      <c r="A8173" s="1">
        <v>43759.60798560185</v>
      </c>
      <c r="B8173" s="2">
        <v>709.0</v>
      </c>
      <c r="C8173" s="2" t="s">
        <v>20</v>
      </c>
      <c r="D8173" s="2" t="s">
        <v>5</v>
      </c>
    </row>
    <row r="8174">
      <c r="A8174" s="1">
        <v>43759.60814596065</v>
      </c>
      <c r="B8174" s="2">
        <v>708.0</v>
      </c>
      <c r="C8174" s="2" t="s">
        <v>4</v>
      </c>
      <c r="D8174" s="2" t="s">
        <v>5</v>
      </c>
    </row>
    <row r="8175">
      <c r="A8175" s="1">
        <v>43759.60820315972</v>
      </c>
      <c r="B8175" s="2">
        <v>710.0</v>
      </c>
      <c r="C8175" s="2" t="s">
        <v>21</v>
      </c>
      <c r="D8175" s="2" t="s">
        <v>5</v>
      </c>
    </row>
    <row r="8176">
      <c r="A8176" s="1">
        <v>43759.60858219907</v>
      </c>
      <c r="B8176" s="3" t="s">
        <v>11</v>
      </c>
      <c r="C8176" s="2" t="s">
        <v>12</v>
      </c>
    </row>
    <row r="8177">
      <c r="A8177" s="1">
        <v>43759.608832812504</v>
      </c>
      <c r="B8177" s="2">
        <v>101.0</v>
      </c>
      <c r="C8177" s="2" t="s">
        <v>108</v>
      </c>
    </row>
    <row r="8178">
      <c r="A8178" s="1">
        <v>43759.60898546297</v>
      </c>
      <c r="B8178" s="3" t="s">
        <v>159</v>
      </c>
      <c r="C8178" s="2" t="s">
        <v>160</v>
      </c>
    </row>
    <row r="8179">
      <c r="A8179" s="1">
        <v>43759.609172847224</v>
      </c>
      <c r="B8179" s="2">
        <v>611.0</v>
      </c>
      <c r="C8179" s="2" t="s">
        <v>143</v>
      </c>
    </row>
    <row r="8180">
      <c r="A8180" s="1">
        <v>43759.60955631944</v>
      </c>
      <c r="B8180" s="2">
        <v>209.0</v>
      </c>
      <c r="C8180" s="2" t="s">
        <v>219</v>
      </c>
    </row>
    <row r="8181">
      <c r="A8181" s="1">
        <v>43759.60989769676</v>
      </c>
      <c r="B8181" s="2">
        <v>721.0</v>
      </c>
      <c r="C8181" s="2" t="s">
        <v>156</v>
      </c>
      <c r="D8181" s="2" t="s">
        <v>5</v>
      </c>
    </row>
    <row r="8182">
      <c r="A8182" s="1">
        <v>43759.61033928241</v>
      </c>
      <c r="B8182" s="2">
        <v>160.0</v>
      </c>
      <c r="C8182" s="2" t="s">
        <v>154</v>
      </c>
    </row>
    <row r="8183">
      <c r="A8183" s="1">
        <v>43759.61060979166</v>
      </c>
      <c r="B8183" s="2">
        <v>738.0</v>
      </c>
      <c r="C8183" s="2" t="s">
        <v>161</v>
      </c>
      <c r="D8183" s="2" t="s">
        <v>5</v>
      </c>
    </row>
    <row r="8184">
      <c r="A8184" s="1">
        <v>43759.61407383102</v>
      </c>
      <c r="B8184" s="2">
        <v>656.0</v>
      </c>
      <c r="C8184" s="2" t="s">
        <v>144</v>
      </c>
    </row>
    <row r="8185">
      <c r="A8185" s="1">
        <v>43759.614404409724</v>
      </c>
      <c r="B8185" s="2">
        <v>656.0</v>
      </c>
      <c r="C8185" s="2" t="s">
        <v>144</v>
      </c>
    </row>
    <row r="8186">
      <c r="A8186" s="1">
        <v>43759.62768543982</v>
      </c>
      <c r="B8186" s="2">
        <v>738.0</v>
      </c>
      <c r="C8186" s="2" t="s">
        <v>161</v>
      </c>
      <c r="D8186" s="2" t="s">
        <v>5</v>
      </c>
    </row>
    <row r="8187">
      <c r="A8187" s="1">
        <v>43759.62768892361</v>
      </c>
      <c r="B8187" s="2">
        <v>160.0</v>
      </c>
      <c r="C8187" s="2" t="s">
        <v>154</v>
      </c>
    </row>
    <row r="8188">
      <c r="A8188" s="1">
        <v>43759.627695648145</v>
      </c>
      <c r="B8188" s="2">
        <v>721.0</v>
      </c>
      <c r="C8188" s="2" t="s">
        <v>156</v>
      </c>
      <c r="D8188" s="2" t="s">
        <v>5</v>
      </c>
    </row>
    <row r="8189">
      <c r="A8189" s="1">
        <v>43759.66108592592</v>
      </c>
      <c r="B8189" s="2">
        <v>738.0</v>
      </c>
      <c r="C8189" s="2" t="s">
        <v>161</v>
      </c>
      <c r="D8189" s="2" t="s">
        <v>5</v>
      </c>
    </row>
    <row r="8190">
      <c r="A8190" s="1">
        <v>43759.66206804398</v>
      </c>
      <c r="B8190" s="2">
        <v>738.0</v>
      </c>
      <c r="C8190" s="2" t="s">
        <v>161</v>
      </c>
      <c r="D8190" s="2" t="s">
        <v>5</v>
      </c>
    </row>
    <row r="8191">
      <c r="A8191" s="1">
        <v>43759.66227568287</v>
      </c>
      <c r="B8191" s="3" t="s">
        <v>186</v>
      </c>
      <c r="C8191" s="2" t="s">
        <v>187</v>
      </c>
    </row>
    <row r="8192">
      <c r="A8192" s="1">
        <v>43759.66242962963</v>
      </c>
      <c r="B8192" s="2">
        <v>738.0</v>
      </c>
      <c r="C8192" s="2" t="s">
        <v>161</v>
      </c>
      <c r="D8192" s="2" t="s">
        <v>5</v>
      </c>
    </row>
    <row r="8193">
      <c r="A8193" s="1">
        <v>43759.793638159725</v>
      </c>
      <c r="B8193" s="2">
        <v>738.0</v>
      </c>
      <c r="C8193" s="2" t="s">
        <v>161</v>
      </c>
      <c r="D8193" s="2" t="s">
        <v>5</v>
      </c>
    </row>
    <row r="8194">
      <c r="A8194" s="1">
        <v>43759.79395171296</v>
      </c>
      <c r="B8194" s="2">
        <v>739.0</v>
      </c>
      <c r="C8194" s="2" t="s">
        <v>194</v>
      </c>
      <c r="D8194" s="2" t="s">
        <v>5</v>
      </c>
    </row>
    <row r="8195">
      <c r="A8195" s="1">
        <v>43759.794093020835</v>
      </c>
      <c r="B8195" s="2">
        <v>738.0</v>
      </c>
      <c r="C8195" s="2" t="s">
        <v>161</v>
      </c>
      <c r="D8195" s="2" t="s">
        <v>5</v>
      </c>
    </row>
    <row r="8196">
      <c r="A8196" s="1">
        <v>43759.80576616898</v>
      </c>
      <c r="B8196" s="3" t="s">
        <v>184</v>
      </c>
      <c r="C8196" s="2" t="s">
        <v>185</v>
      </c>
    </row>
    <row r="8197">
      <c r="A8197" s="1">
        <v>43759.80749924769</v>
      </c>
      <c r="B8197" s="3" t="s">
        <v>184</v>
      </c>
      <c r="C8197" s="2" t="s">
        <v>185</v>
      </c>
    </row>
    <row r="8198">
      <c r="A8198" s="1">
        <v>43760.42538743056</v>
      </c>
      <c r="B8198" s="3" t="s">
        <v>184</v>
      </c>
      <c r="C8198" s="2" t="s">
        <v>185</v>
      </c>
    </row>
    <row r="8199">
      <c r="A8199" s="1">
        <v>43760.4254884375</v>
      </c>
      <c r="B8199" s="3" t="s">
        <v>186</v>
      </c>
      <c r="C8199" s="2" t="s">
        <v>187</v>
      </c>
    </row>
    <row r="8200">
      <c r="A8200" s="1">
        <v>43760.425549479165</v>
      </c>
      <c r="B8200" s="3" t="s">
        <v>22</v>
      </c>
      <c r="C8200" s="2" t="s">
        <v>23</v>
      </c>
    </row>
    <row r="8201">
      <c r="A8201" s="1">
        <v>43760.42560631945</v>
      </c>
      <c r="B8201" s="3" t="s">
        <v>88</v>
      </c>
      <c r="C8201" s="2" t="s">
        <v>89</v>
      </c>
    </row>
    <row r="8202">
      <c r="A8202" s="1">
        <v>43760.42571224537</v>
      </c>
      <c r="B8202" s="2">
        <v>14.0</v>
      </c>
      <c r="C8202" s="2" t="s">
        <v>218</v>
      </c>
    </row>
    <row r="8203">
      <c r="A8203" s="1">
        <v>43760.425842627315</v>
      </c>
      <c r="B8203" s="3" t="s">
        <v>9</v>
      </c>
      <c r="C8203" s="2" t="s">
        <v>10</v>
      </c>
    </row>
    <row r="8204">
      <c r="A8204" s="1">
        <v>43760.425901319446</v>
      </c>
      <c r="B8204" s="3" t="s">
        <v>117</v>
      </c>
      <c r="C8204" s="2" t="s">
        <v>118</v>
      </c>
    </row>
    <row r="8205">
      <c r="A8205" s="1">
        <v>43760.42595942129</v>
      </c>
      <c r="B8205" s="3" t="s">
        <v>119</v>
      </c>
      <c r="C8205" s="2" t="s">
        <v>120</v>
      </c>
    </row>
    <row r="8206">
      <c r="A8206" s="1">
        <v>43760.42600958333</v>
      </c>
      <c r="B8206" s="3" t="s">
        <v>11</v>
      </c>
      <c r="C8206" s="2" t="s">
        <v>12</v>
      </c>
    </row>
    <row r="8207">
      <c r="A8207" s="1">
        <v>43760.426057743054</v>
      </c>
      <c r="B8207" s="3" t="s">
        <v>126</v>
      </c>
      <c r="C8207" s="2" t="s">
        <v>127</v>
      </c>
    </row>
    <row r="8208">
      <c r="A8208" s="1">
        <v>43760.42611085648</v>
      </c>
      <c r="B8208" s="3" t="s">
        <v>59</v>
      </c>
      <c r="C8208" s="2" t="s">
        <v>60</v>
      </c>
    </row>
    <row r="8209">
      <c r="A8209" s="1">
        <v>43760.42616290509</v>
      </c>
      <c r="B8209" s="3" t="s">
        <v>13</v>
      </c>
      <c r="C8209" s="2" t="s">
        <v>14</v>
      </c>
    </row>
    <row r="8210">
      <c r="A8210" s="1">
        <v>43760.42625236111</v>
      </c>
      <c r="B8210" s="3" t="s">
        <v>74</v>
      </c>
      <c r="C8210" s="2" t="s">
        <v>75</v>
      </c>
    </row>
    <row r="8211">
      <c r="A8211" s="1">
        <v>43760.426316944446</v>
      </c>
      <c r="B8211" s="3" t="s">
        <v>44</v>
      </c>
      <c r="C8211" s="2" t="s">
        <v>45</v>
      </c>
    </row>
    <row r="8212">
      <c r="A8212" s="1">
        <v>43760.426373379625</v>
      </c>
      <c r="B8212" s="3" t="s">
        <v>150</v>
      </c>
      <c r="C8212" s="2" t="s">
        <v>151</v>
      </c>
    </row>
    <row r="8213">
      <c r="A8213" s="1">
        <v>43760.42643070602</v>
      </c>
      <c r="B8213" s="3" t="s">
        <v>82</v>
      </c>
      <c r="C8213" s="2" t="s">
        <v>83</v>
      </c>
    </row>
    <row r="8214">
      <c r="A8214" s="1">
        <v>43760.426487812496</v>
      </c>
      <c r="B8214" s="3" t="s">
        <v>162</v>
      </c>
      <c r="C8214" s="2" t="s">
        <v>163</v>
      </c>
    </row>
    <row r="8215">
      <c r="A8215" s="1">
        <v>43760.42654697917</v>
      </c>
      <c r="B8215" s="2">
        <v>52.0</v>
      </c>
      <c r="C8215" s="2" t="s">
        <v>41</v>
      </c>
    </row>
    <row r="8216">
      <c r="A8216" s="1">
        <v>43760.4266158449</v>
      </c>
      <c r="B8216" s="3" t="s">
        <v>103</v>
      </c>
      <c r="C8216" s="2" t="s">
        <v>104</v>
      </c>
    </row>
    <row r="8217">
      <c r="A8217" s="1">
        <v>43760.426717002316</v>
      </c>
      <c r="B8217" s="3" t="s">
        <v>159</v>
      </c>
      <c r="C8217" s="2" t="s">
        <v>160</v>
      </c>
    </row>
    <row r="8218">
      <c r="A8218" s="1">
        <v>43760.42677881944</v>
      </c>
      <c r="B8218" s="3" t="s">
        <v>180</v>
      </c>
      <c r="C8218" s="2" t="s">
        <v>181</v>
      </c>
    </row>
    <row r="8219">
      <c r="A8219" s="1">
        <v>43760.426836122686</v>
      </c>
      <c r="B8219" s="3" t="s">
        <v>78</v>
      </c>
      <c r="C8219" s="2" t="s">
        <v>79</v>
      </c>
    </row>
    <row r="8220">
      <c r="A8220" s="1">
        <v>43760.42689783565</v>
      </c>
      <c r="B8220" s="3" t="s">
        <v>111</v>
      </c>
      <c r="C8220" s="2" t="s">
        <v>112</v>
      </c>
    </row>
    <row r="8221">
      <c r="A8221" s="1">
        <v>43760.4269537963</v>
      </c>
      <c r="B8221" s="2">
        <v>70.0</v>
      </c>
      <c r="C8221" s="2" t="s">
        <v>183</v>
      </c>
    </row>
    <row r="8222">
      <c r="A8222" s="1">
        <v>43760.42704725695</v>
      </c>
      <c r="B8222" s="3" t="s">
        <v>80</v>
      </c>
      <c r="C8222" s="2" t="s">
        <v>81</v>
      </c>
    </row>
    <row r="8223">
      <c r="A8223" s="1">
        <v>43760.427120555556</v>
      </c>
      <c r="B8223" s="3" t="s">
        <v>51</v>
      </c>
      <c r="C8223" s="2" t="s">
        <v>52</v>
      </c>
    </row>
    <row r="8224">
      <c r="A8224" s="1">
        <v>43760.4271687963</v>
      </c>
      <c r="B8224" s="3" t="s">
        <v>169</v>
      </c>
      <c r="C8224" s="2" t="s">
        <v>170</v>
      </c>
    </row>
    <row r="8225">
      <c r="A8225" s="1">
        <v>43760.427222453705</v>
      </c>
      <c r="B8225" s="3" t="s">
        <v>94</v>
      </c>
      <c r="C8225" s="2" t="s">
        <v>95</v>
      </c>
    </row>
    <row r="8226">
      <c r="A8226" s="1">
        <v>43760.42728153935</v>
      </c>
      <c r="B8226" s="3" t="s">
        <v>48</v>
      </c>
      <c r="C8226" s="2" t="s">
        <v>49</v>
      </c>
    </row>
    <row r="8227">
      <c r="A8227" s="1">
        <v>43760.427350196755</v>
      </c>
      <c r="B8227" s="3" t="s">
        <v>98</v>
      </c>
      <c r="C8227" s="2" t="s">
        <v>99</v>
      </c>
    </row>
    <row r="8228">
      <c r="A8228" s="1">
        <v>43760.42740626157</v>
      </c>
      <c r="B8228" s="3" t="s">
        <v>55</v>
      </c>
      <c r="C8228" s="2" t="s">
        <v>56</v>
      </c>
    </row>
    <row r="8229">
      <c r="A8229" s="1">
        <v>43760.42746890047</v>
      </c>
      <c r="B8229" s="3" t="s">
        <v>42</v>
      </c>
      <c r="C8229" s="2" t="s">
        <v>43</v>
      </c>
    </row>
    <row r="8230">
      <c r="A8230" s="1">
        <v>43760.427523900464</v>
      </c>
      <c r="B8230" s="2">
        <v>92.0</v>
      </c>
      <c r="C8230" s="2" t="s">
        <v>230</v>
      </c>
    </row>
    <row r="8231">
      <c r="A8231" s="1">
        <v>43760.4275933912</v>
      </c>
      <c r="B8231" s="3" t="s">
        <v>32</v>
      </c>
      <c r="C8231" s="2" t="s">
        <v>33</v>
      </c>
    </row>
    <row r="8232">
      <c r="A8232" s="1">
        <v>43760.42766127315</v>
      </c>
      <c r="B8232" s="3" t="s">
        <v>113</v>
      </c>
      <c r="C8232" s="2" t="s">
        <v>114</v>
      </c>
    </row>
    <row r="8233">
      <c r="A8233" s="1">
        <v>43760.4277100926</v>
      </c>
      <c r="B8233" s="2">
        <v>101.0</v>
      </c>
      <c r="C8233" s="2" t="s">
        <v>108</v>
      </c>
    </row>
    <row r="8234">
      <c r="A8234" s="1">
        <v>43760.42775973379</v>
      </c>
      <c r="B8234" s="2">
        <v>113.0</v>
      </c>
      <c r="C8234" s="2" t="s">
        <v>29</v>
      </c>
    </row>
    <row r="8235">
      <c r="A8235" s="1">
        <v>43760.427820763885</v>
      </c>
      <c r="B8235" s="2">
        <v>114.0</v>
      </c>
      <c r="C8235" s="2" t="s">
        <v>15</v>
      </c>
    </row>
    <row r="8236">
      <c r="A8236" s="1">
        <v>43760.427876331014</v>
      </c>
      <c r="B8236" s="2">
        <v>116.0</v>
      </c>
      <c r="C8236" s="2" t="s">
        <v>211</v>
      </c>
    </row>
    <row r="8237">
      <c r="A8237" s="1">
        <v>43760.4279279051</v>
      </c>
      <c r="B8237" s="2">
        <v>117.0</v>
      </c>
      <c r="C8237" s="2" t="s">
        <v>226</v>
      </c>
    </row>
    <row r="8238">
      <c r="A8238" s="1">
        <v>43760.42797880787</v>
      </c>
      <c r="B8238" s="2">
        <v>124.0</v>
      </c>
      <c r="C8238" s="2" t="s">
        <v>107</v>
      </c>
    </row>
    <row r="8239">
      <c r="A8239" s="1">
        <v>43760.428038576385</v>
      </c>
      <c r="B8239" s="2">
        <v>126.0</v>
      </c>
      <c r="C8239" s="2" t="s">
        <v>87</v>
      </c>
    </row>
    <row r="8240">
      <c r="A8240" s="1">
        <v>43760.42810870371</v>
      </c>
      <c r="B8240" s="2">
        <v>137.0</v>
      </c>
      <c r="C8240" s="2" t="s">
        <v>72</v>
      </c>
    </row>
    <row r="8241">
      <c r="A8241" s="1">
        <v>43760.42816157408</v>
      </c>
      <c r="B8241" s="2">
        <v>141.0</v>
      </c>
      <c r="C8241" s="2" t="s">
        <v>53</v>
      </c>
    </row>
    <row r="8242">
      <c r="A8242" s="1">
        <v>43760.42826239583</v>
      </c>
      <c r="B8242" s="2">
        <v>147.0</v>
      </c>
      <c r="C8242" s="2" t="s">
        <v>100</v>
      </c>
    </row>
    <row r="8243">
      <c r="A8243" s="1">
        <v>43760.42833631944</v>
      </c>
      <c r="B8243" s="2">
        <v>153.0</v>
      </c>
      <c r="C8243" s="2" t="s">
        <v>148</v>
      </c>
    </row>
    <row r="8244">
      <c r="A8244" s="1">
        <v>43760.42838427083</v>
      </c>
      <c r="B8244" s="2">
        <v>157.0</v>
      </c>
      <c r="C8244" s="2" t="s">
        <v>141</v>
      </c>
    </row>
    <row r="8245">
      <c r="A8245" s="1">
        <v>43760.428471921296</v>
      </c>
      <c r="B8245" s="2">
        <v>158.0</v>
      </c>
      <c r="C8245" s="2" t="s">
        <v>62</v>
      </c>
    </row>
    <row r="8246">
      <c r="A8246" s="1">
        <v>43760.428517418986</v>
      </c>
      <c r="B8246" s="2">
        <v>159.0</v>
      </c>
      <c r="C8246" s="2" t="s">
        <v>58</v>
      </c>
    </row>
    <row r="8247">
      <c r="A8247" s="1">
        <v>43760.42857297454</v>
      </c>
      <c r="B8247" s="2">
        <v>160.0</v>
      </c>
      <c r="C8247" s="2" t="s">
        <v>154</v>
      </c>
    </row>
    <row r="8248">
      <c r="A8248" s="1">
        <v>43760.42863541667</v>
      </c>
      <c r="B8248" s="2">
        <v>165.0</v>
      </c>
      <c r="C8248" s="2" t="s">
        <v>50</v>
      </c>
    </row>
    <row r="8249">
      <c r="A8249" s="1">
        <v>43760.42869393519</v>
      </c>
      <c r="B8249" s="2">
        <v>167.0</v>
      </c>
      <c r="C8249" s="2" t="s">
        <v>39</v>
      </c>
    </row>
    <row r="8250">
      <c r="A8250" s="1">
        <v>43760.42873855324</v>
      </c>
      <c r="B8250" s="2">
        <v>172.0</v>
      </c>
      <c r="C8250" s="2" t="s">
        <v>65</v>
      </c>
    </row>
    <row r="8251">
      <c r="A8251" s="1">
        <v>43760.42878818287</v>
      </c>
      <c r="B8251" s="2">
        <v>173.0</v>
      </c>
      <c r="C8251" s="2" t="s">
        <v>24</v>
      </c>
    </row>
    <row r="8252">
      <c r="A8252" s="1">
        <v>43760.42884444444</v>
      </c>
      <c r="B8252" s="2">
        <v>175.0</v>
      </c>
      <c r="C8252" s="2" t="s">
        <v>69</v>
      </c>
    </row>
    <row r="8253">
      <c r="A8253" s="1">
        <v>43760.42890579861</v>
      </c>
      <c r="B8253" s="2">
        <v>189.0</v>
      </c>
      <c r="C8253" s="2" t="s">
        <v>128</v>
      </c>
    </row>
    <row r="8254">
      <c r="A8254" s="1">
        <v>43760.42898349537</v>
      </c>
      <c r="B8254" s="2">
        <v>193.0</v>
      </c>
      <c r="C8254" s="2" t="s">
        <v>30</v>
      </c>
    </row>
    <row r="8255">
      <c r="A8255" s="1">
        <v>43760.42908149306</v>
      </c>
      <c r="B8255" s="2">
        <v>197.0</v>
      </c>
      <c r="C8255" s="2" t="s">
        <v>225</v>
      </c>
    </row>
    <row r="8256">
      <c r="A8256" s="1">
        <v>43760.42912768519</v>
      </c>
      <c r="B8256" s="2">
        <v>198.0</v>
      </c>
      <c r="C8256" s="2" t="s">
        <v>97</v>
      </c>
    </row>
    <row r="8257">
      <c r="A8257" s="1">
        <v>43760.429170868054</v>
      </c>
      <c r="B8257" s="2">
        <v>201.0</v>
      </c>
      <c r="C8257" s="2" t="s">
        <v>70</v>
      </c>
    </row>
    <row r="8258">
      <c r="A8258" s="1">
        <v>43760.429216550925</v>
      </c>
      <c r="B8258" s="2">
        <v>202.0</v>
      </c>
      <c r="C8258" s="2" t="s">
        <v>130</v>
      </c>
    </row>
    <row r="8259">
      <c r="A8259" s="1">
        <v>43760.42926751157</v>
      </c>
      <c r="B8259" s="2">
        <v>207.0</v>
      </c>
      <c r="C8259" s="2" t="s">
        <v>85</v>
      </c>
    </row>
    <row r="8260">
      <c r="A8260" s="1">
        <v>43760.42935024305</v>
      </c>
      <c r="B8260" s="2">
        <v>208.0</v>
      </c>
      <c r="C8260" s="2" t="s">
        <v>182</v>
      </c>
    </row>
    <row r="8261">
      <c r="A8261" s="1">
        <v>43760.42939866898</v>
      </c>
      <c r="B8261" s="2">
        <v>209.0</v>
      </c>
      <c r="C8261" s="2" t="s">
        <v>219</v>
      </c>
    </row>
    <row r="8262">
      <c r="A8262" s="1">
        <v>43760.429451006945</v>
      </c>
      <c r="B8262" s="2">
        <v>210.0</v>
      </c>
      <c r="C8262" s="2" t="s">
        <v>64</v>
      </c>
    </row>
    <row r="8263">
      <c r="A8263" s="1">
        <v>43760.42949667824</v>
      </c>
      <c r="B8263" s="2">
        <v>214.0</v>
      </c>
      <c r="C8263" s="2" t="s">
        <v>47</v>
      </c>
    </row>
    <row r="8264">
      <c r="A8264" s="1">
        <v>43760.42956013889</v>
      </c>
      <c r="B8264" s="2">
        <v>215.0</v>
      </c>
      <c r="C8264" s="2" t="s">
        <v>137</v>
      </c>
    </row>
    <row r="8265">
      <c r="A8265" s="1">
        <v>43760.429602187505</v>
      </c>
      <c r="B8265" s="2">
        <v>219.0</v>
      </c>
      <c r="C8265" s="2" t="s">
        <v>31</v>
      </c>
    </row>
    <row r="8266">
      <c r="A8266" s="1">
        <v>43760.429651388884</v>
      </c>
      <c r="B8266" s="2">
        <v>220.0</v>
      </c>
      <c r="C8266" s="2" t="s">
        <v>231</v>
      </c>
    </row>
    <row r="8267">
      <c r="A8267" s="1">
        <v>43760.42973782407</v>
      </c>
      <c r="B8267" s="2">
        <v>228.0</v>
      </c>
      <c r="C8267" s="2" t="s">
        <v>135</v>
      </c>
    </row>
    <row r="8268">
      <c r="A8268" s="1">
        <v>43760.42979760417</v>
      </c>
      <c r="B8268" s="2">
        <v>229.0</v>
      </c>
      <c r="C8268" s="2" t="s">
        <v>86</v>
      </c>
    </row>
    <row r="8269">
      <c r="A8269" s="1">
        <v>43760.42985346065</v>
      </c>
      <c r="B8269" s="2">
        <v>231.0</v>
      </c>
      <c r="C8269" s="2" t="s">
        <v>61</v>
      </c>
    </row>
    <row r="8270">
      <c r="A8270" s="1">
        <v>43760.42993732639</v>
      </c>
      <c r="B8270" s="2">
        <v>232.0</v>
      </c>
      <c r="C8270" s="2" t="s">
        <v>216</v>
      </c>
    </row>
    <row r="8271">
      <c r="A8271" s="1">
        <v>43760.430002291665</v>
      </c>
      <c r="B8271" s="2">
        <v>236.0</v>
      </c>
      <c r="C8271" s="2" t="s">
        <v>142</v>
      </c>
    </row>
    <row r="8272">
      <c r="A8272" s="1">
        <v>43760.430053715274</v>
      </c>
      <c r="B8272" s="2">
        <v>237.0</v>
      </c>
      <c r="C8272" s="2" t="s">
        <v>140</v>
      </c>
    </row>
    <row r="8273">
      <c r="A8273" s="1">
        <v>43760.430104756946</v>
      </c>
      <c r="B8273" s="2">
        <v>238.0</v>
      </c>
      <c r="C8273" s="2" t="s">
        <v>35</v>
      </c>
    </row>
    <row r="8274">
      <c r="A8274" s="1">
        <v>43760.43014891204</v>
      </c>
      <c r="B8274" s="2">
        <v>243.0</v>
      </c>
      <c r="C8274" s="2" t="s">
        <v>171</v>
      </c>
    </row>
    <row r="8275">
      <c r="A8275" s="1">
        <v>43760.43019506945</v>
      </c>
      <c r="B8275" s="2">
        <v>244.0</v>
      </c>
      <c r="C8275" s="2" t="s">
        <v>38</v>
      </c>
    </row>
    <row r="8276">
      <c r="A8276" s="1">
        <v>43760.430260451394</v>
      </c>
      <c r="B8276" s="2">
        <v>246.0</v>
      </c>
      <c r="C8276" s="2" t="s">
        <v>26</v>
      </c>
    </row>
    <row r="8277">
      <c r="A8277" s="1">
        <v>43760.43031527778</v>
      </c>
      <c r="B8277" s="2">
        <v>252.0</v>
      </c>
      <c r="C8277" s="2" t="s">
        <v>34</v>
      </c>
    </row>
    <row r="8278">
      <c r="A8278" s="1">
        <v>43760.43036068287</v>
      </c>
      <c r="B8278" s="2">
        <v>253.0</v>
      </c>
      <c r="C8278" s="2" t="s">
        <v>138</v>
      </c>
    </row>
    <row r="8279">
      <c r="A8279" s="1">
        <v>43760.430445046295</v>
      </c>
      <c r="B8279" s="2">
        <v>254.0</v>
      </c>
      <c r="C8279" s="2" t="s">
        <v>132</v>
      </c>
    </row>
    <row r="8280">
      <c r="A8280" s="1">
        <v>43760.43050695602</v>
      </c>
      <c r="B8280" s="2">
        <v>257.0</v>
      </c>
      <c r="C8280" s="2" t="s">
        <v>27</v>
      </c>
    </row>
    <row r="8281">
      <c r="A8281" s="1">
        <v>43760.43055871528</v>
      </c>
      <c r="B8281" s="2">
        <v>259.0</v>
      </c>
      <c r="C8281" s="2" t="s">
        <v>66</v>
      </c>
    </row>
    <row r="8282">
      <c r="A8282" s="1">
        <v>43760.43061024306</v>
      </c>
      <c r="B8282" s="2">
        <v>260.0</v>
      </c>
      <c r="C8282" s="2" t="s">
        <v>67</v>
      </c>
    </row>
    <row r="8283">
      <c r="A8283" s="1">
        <v>43760.43065846065</v>
      </c>
      <c r="B8283" s="2">
        <v>262.0</v>
      </c>
      <c r="C8283" s="2" t="s">
        <v>28</v>
      </c>
    </row>
    <row r="8284">
      <c r="A8284" s="1">
        <v>43760.430734375</v>
      </c>
      <c r="B8284" s="2">
        <v>267.0</v>
      </c>
      <c r="C8284" s="2" t="s">
        <v>115</v>
      </c>
    </row>
    <row r="8285">
      <c r="A8285" s="1">
        <v>43760.430781145835</v>
      </c>
      <c r="B8285" s="2">
        <v>268.0</v>
      </c>
      <c r="C8285" s="2" t="s">
        <v>205</v>
      </c>
    </row>
    <row r="8286">
      <c r="A8286" s="1">
        <v>43760.43083576389</v>
      </c>
      <c r="B8286" s="2">
        <v>270.0</v>
      </c>
      <c r="C8286" s="2" t="s">
        <v>153</v>
      </c>
    </row>
    <row r="8287">
      <c r="A8287" s="1">
        <v>43760.43094348379</v>
      </c>
      <c r="B8287" s="2">
        <v>535.0</v>
      </c>
      <c r="C8287" s="2" t="s">
        <v>208</v>
      </c>
    </row>
    <row r="8288">
      <c r="A8288" s="1">
        <v>43760.43099085648</v>
      </c>
      <c r="B8288" s="2">
        <v>601.0</v>
      </c>
      <c r="C8288" s="2" t="s">
        <v>125</v>
      </c>
    </row>
    <row r="8289">
      <c r="A8289" s="1">
        <v>43760.43104038194</v>
      </c>
      <c r="B8289" s="2">
        <v>602.0</v>
      </c>
      <c r="C8289" s="2" t="s">
        <v>131</v>
      </c>
    </row>
    <row r="8290">
      <c r="A8290" s="1">
        <v>43760.43109268519</v>
      </c>
      <c r="B8290" s="2">
        <v>603.0</v>
      </c>
      <c r="C8290" s="2" t="s">
        <v>40</v>
      </c>
    </row>
    <row r="8291">
      <c r="A8291" s="1">
        <v>43760.4311618287</v>
      </c>
      <c r="B8291" s="2">
        <v>604.0</v>
      </c>
      <c r="C8291" s="2" t="s">
        <v>36</v>
      </c>
    </row>
    <row r="8292">
      <c r="A8292" s="1">
        <v>43760.43120802083</v>
      </c>
      <c r="B8292" s="2">
        <v>605.0</v>
      </c>
      <c r="C8292" s="2" t="s">
        <v>206</v>
      </c>
    </row>
    <row r="8293">
      <c r="A8293" s="1">
        <v>43760.43125519676</v>
      </c>
      <c r="B8293" s="2">
        <v>606.0</v>
      </c>
      <c r="C8293" s="2" t="s">
        <v>174</v>
      </c>
    </row>
    <row r="8294">
      <c r="A8294" s="1">
        <v>43760.43133451389</v>
      </c>
      <c r="B8294" s="2">
        <v>607.0</v>
      </c>
      <c r="C8294" s="2" t="s">
        <v>68</v>
      </c>
    </row>
    <row r="8295">
      <c r="A8295" s="1">
        <v>43760.43138591435</v>
      </c>
      <c r="B8295" s="2">
        <v>608.0</v>
      </c>
      <c r="C8295" s="2" t="s">
        <v>7</v>
      </c>
    </row>
    <row r="8296">
      <c r="A8296" s="1">
        <v>43760.43145108796</v>
      </c>
      <c r="B8296" s="2">
        <v>609.0</v>
      </c>
      <c r="C8296" s="2" t="s">
        <v>179</v>
      </c>
    </row>
    <row r="8297">
      <c r="A8297" s="1">
        <v>43761.43807913194</v>
      </c>
      <c r="B8297" s="2">
        <v>609.0</v>
      </c>
      <c r="C8297" s="2" t="s">
        <v>179</v>
      </c>
    </row>
    <row r="8298">
      <c r="A8298" s="1">
        <v>43765.40976034722</v>
      </c>
      <c r="B8298" s="2">
        <v>219.0</v>
      </c>
      <c r="C8298" s="2" t="s">
        <v>31</v>
      </c>
    </row>
    <row r="8299">
      <c r="A8299" s="1">
        <v>43765.409769872684</v>
      </c>
      <c r="B8299" s="2">
        <v>165.0</v>
      </c>
      <c r="C8299" s="2" t="s">
        <v>50</v>
      </c>
    </row>
    <row r="8300">
      <c r="A8300" s="1">
        <v>43765.40982759259</v>
      </c>
      <c r="B8300" s="2">
        <v>219.0</v>
      </c>
      <c r="C8300" s="2" t="s">
        <v>31</v>
      </c>
    </row>
    <row r="8301">
      <c r="A8301" s="1">
        <v>43765.409846979164</v>
      </c>
      <c r="B8301" s="2">
        <v>219.0</v>
      </c>
      <c r="C8301" s="2" t="s">
        <v>31</v>
      </c>
    </row>
    <row r="8302">
      <c r="A8302" s="1">
        <v>43765.41042451389</v>
      </c>
      <c r="B8302" s="2">
        <v>618.0</v>
      </c>
      <c r="C8302" s="2" t="s">
        <v>147</v>
      </c>
    </row>
    <row r="8303">
      <c r="A8303" s="1">
        <v>43765.415170023145</v>
      </c>
      <c r="B8303" s="3" t="s">
        <v>80</v>
      </c>
      <c r="C8303" s="2" t="s">
        <v>81</v>
      </c>
    </row>
    <row r="8304">
      <c r="A8304" s="1">
        <v>43765.41682756944</v>
      </c>
      <c r="B8304" s="2">
        <v>208.0</v>
      </c>
      <c r="C8304" s="2" t="s">
        <v>182</v>
      </c>
    </row>
    <row r="8305">
      <c r="A8305" s="1">
        <v>43765.41704447917</v>
      </c>
      <c r="B8305" s="2">
        <v>267.0</v>
      </c>
      <c r="C8305" s="2" t="s">
        <v>115</v>
      </c>
    </row>
    <row r="8306">
      <c r="A8306" s="1">
        <v>43765.41788896991</v>
      </c>
      <c r="B8306" s="2">
        <v>676.0</v>
      </c>
      <c r="C8306" s="2" t="s">
        <v>223</v>
      </c>
    </row>
    <row r="8307">
      <c r="A8307" s="1">
        <v>43765.4181400463</v>
      </c>
      <c r="B8307" s="2">
        <v>157.0</v>
      </c>
      <c r="C8307" s="2" t="s">
        <v>141</v>
      </c>
    </row>
    <row r="8308">
      <c r="A8308" s="1">
        <v>43765.42126665509</v>
      </c>
      <c r="B8308" s="2">
        <v>603.0</v>
      </c>
      <c r="C8308" s="2" t="s">
        <v>40</v>
      </c>
    </row>
    <row r="8309">
      <c r="A8309" s="1">
        <v>43765.42149115741</v>
      </c>
      <c r="B8309" s="2">
        <v>167.0</v>
      </c>
      <c r="C8309" s="2" t="s">
        <v>39</v>
      </c>
    </row>
    <row r="8310">
      <c r="A8310" s="1">
        <v>43765.424179016205</v>
      </c>
      <c r="B8310" s="2">
        <v>735.0</v>
      </c>
      <c r="C8310" s="2" t="s">
        <v>37</v>
      </c>
      <c r="D8310" s="2" t="s">
        <v>5</v>
      </c>
    </row>
    <row r="8311">
      <c r="A8311" s="1">
        <v>43765.424235300925</v>
      </c>
      <c r="B8311" s="2">
        <v>214.0</v>
      </c>
      <c r="C8311" s="2" t="s">
        <v>47</v>
      </c>
    </row>
    <row r="8312">
      <c r="A8312" s="1">
        <v>43765.42447658565</v>
      </c>
      <c r="B8312" s="2">
        <v>738.0</v>
      </c>
      <c r="C8312" s="2" t="s">
        <v>161</v>
      </c>
      <c r="D8312" s="2" t="s">
        <v>5</v>
      </c>
    </row>
    <row r="8313">
      <c r="A8313" s="1">
        <v>43765.425090069446</v>
      </c>
      <c r="B8313" s="2">
        <v>172.0</v>
      </c>
      <c r="C8313" s="2" t="s">
        <v>65</v>
      </c>
    </row>
    <row r="8314">
      <c r="A8314" s="1">
        <v>43765.42510576389</v>
      </c>
      <c r="B8314" s="3" t="s">
        <v>51</v>
      </c>
      <c r="C8314" s="2" t="s">
        <v>52</v>
      </c>
    </row>
    <row r="8315">
      <c r="A8315" s="1">
        <v>43765.425362974536</v>
      </c>
      <c r="B8315" s="2">
        <v>722.0</v>
      </c>
      <c r="C8315" s="2" t="s">
        <v>25</v>
      </c>
      <c r="D8315" s="2" t="s">
        <v>5</v>
      </c>
    </row>
    <row r="8316">
      <c r="A8316" s="1">
        <v>43765.42557253472</v>
      </c>
      <c r="B8316" s="2">
        <v>631.0</v>
      </c>
      <c r="C8316" s="2" t="s">
        <v>178</v>
      </c>
    </row>
    <row r="8317">
      <c r="A8317" s="1">
        <v>43765.425684340276</v>
      </c>
      <c r="B8317" s="3" t="s">
        <v>32</v>
      </c>
      <c r="C8317" s="2" t="s">
        <v>33</v>
      </c>
    </row>
    <row r="8318">
      <c r="A8318" s="1">
        <v>43765.42578885416</v>
      </c>
      <c r="B8318" s="2">
        <v>246.0</v>
      </c>
      <c r="C8318" s="2" t="s">
        <v>26</v>
      </c>
    </row>
    <row r="8319">
      <c r="A8319" s="1">
        <v>43765.42596576389</v>
      </c>
      <c r="B8319" s="2">
        <v>173.0</v>
      </c>
      <c r="C8319" s="2" t="s">
        <v>24</v>
      </c>
    </row>
    <row r="8320">
      <c r="A8320" s="1">
        <v>43765.42615734954</v>
      </c>
      <c r="B8320" s="2">
        <v>209.0</v>
      </c>
      <c r="C8320" s="2" t="s">
        <v>219</v>
      </c>
    </row>
    <row r="8321">
      <c r="A8321" s="1">
        <v>43765.42633798611</v>
      </c>
      <c r="B8321" s="2">
        <v>262.0</v>
      </c>
      <c r="C8321" s="2" t="s">
        <v>28</v>
      </c>
    </row>
    <row r="8322">
      <c r="A8322" s="1">
        <v>43765.42646640046</v>
      </c>
      <c r="B8322" s="2">
        <v>611.0</v>
      </c>
      <c r="C8322" s="2" t="s">
        <v>143</v>
      </c>
    </row>
    <row r="8323">
      <c r="A8323" s="1">
        <v>43765.42666170139</v>
      </c>
      <c r="B8323" s="2">
        <v>607.0</v>
      </c>
      <c r="C8323" s="2" t="s">
        <v>68</v>
      </c>
    </row>
    <row r="8324">
      <c r="A8324" s="1">
        <v>43765.42704234953</v>
      </c>
      <c r="B8324" s="3" t="s">
        <v>55</v>
      </c>
      <c r="C8324" s="2" t="s">
        <v>56</v>
      </c>
    </row>
    <row r="8325">
      <c r="A8325" s="1">
        <v>43765.42727778935</v>
      </c>
      <c r="B8325" s="2">
        <v>707.0</v>
      </c>
      <c r="C8325" s="2" t="s">
        <v>57</v>
      </c>
      <c r="D8325" s="2" t="s">
        <v>5</v>
      </c>
    </row>
    <row r="8326">
      <c r="A8326" s="1">
        <v>43765.4279744213</v>
      </c>
      <c r="B8326" s="2">
        <v>729.0</v>
      </c>
      <c r="C8326" s="2" t="s">
        <v>54</v>
      </c>
      <c r="D8326" s="2" t="s">
        <v>5</v>
      </c>
    </row>
    <row r="8327">
      <c r="A8327" s="1">
        <v>43765.42826946759</v>
      </c>
      <c r="B8327" s="2">
        <v>141.0</v>
      </c>
      <c r="C8327" s="2" t="s">
        <v>53</v>
      </c>
    </row>
    <row r="8328">
      <c r="A8328" s="1">
        <v>43765.42864586806</v>
      </c>
      <c r="B8328" s="2">
        <v>244.0</v>
      </c>
      <c r="C8328" s="2" t="s">
        <v>38</v>
      </c>
    </row>
    <row r="8329">
      <c r="A8329" s="1">
        <v>43765.430053668984</v>
      </c>
      <c r="B8329" s="2">
        <v>158.0</v>
      </c>
      <c r="C8329" s="2" t="s">
        <v>62</v>
      </c>
    </row>
    <row r="8330">
      <c r="A8330" s="1">
        <v>43765.430183275465</v>
      </c>
      <c r="B8330" s="3" t="s">
        <v>88</v>
      </c>
      <c r="C8330" s="2" t="s">
        <v>89</v>
      </c>
    </row>
    <row r="8331">
      <c r="A8331" s="1">
        <v>43765.43081173611</v>
      </c>
      <c r="B8331" s="2">
        <v>655.0</v>
      </c>
      <c r="C8331" s="2" t="s">
        <v>17</v>
      </c>
    </row>
    <row r="8332">
      <c r="A8332" s="1">
        <v>43765.43119780092</v>
      </c>
      <c r="B8332" s="2">
        <v>614.0</v>
      </c>
      <c r="C8332" s="2" t="s">
        <v>76</v>
      </c>
    </row>
    <row r="8333">
      <c r="A8333" s="1">
        <v>43765.43174893518</v>
      </c>
      <c r="B8333" s="2">
        <v>231.0</v>
      </c>
      <c r="C8333" s="2" t="s">
        <v>61</v>
      </c>
    </row>
    <row r="8334">
      <c r="A8334" s="1">
        <v>43765.43204439815</v>
      </c>
      <c r="B8334" s="3" t="s">
        <v>22</v>
      </c>
      <c r="C8334" s="2" t="s">
        <v>23</v>
      </c>
    </row>
    <row r="8335">
      <c r="A8335" s="1">
        <v>43765.432393668976</v>
      </c>
      <c r="B8335" s="2">
        <v>740.0</v>
      </c>
      <c r="C8335" s="2" t="s">
        <v>221</v>
      </c>
      <c r="D8335" s="2" t="s">
        <v>5</v>
      </c>
    </row>
    <row r="8336">
      <c r="A8336" s="1">
        <v>43765.43264021991</v>
      </c>
      <c r="B8336" s="2">
        <v>193.0</v>
      </c>
      <c r="C8336" s="2" t="s">
        <v>30</v>
      </c>
    </row>
    <row r="8337">
      <c r="A8337" s="1">
        <v>43765.4327166088</v>
      </c>
      <c r="B8337" s="2">
        <v>193.0</v>
      </c>
      <c r="C8337" s="2" t="s">
        <v>30</v>
      </c>
    </row>
    <row r="8338">
      <c r="A8338" s="1">
        <v>43765.43283737269</v>
      </c>
      <c r="B8338" s="2">
        <v>736.0</v>
      </c>
      <c r="C8338" s="2" t="s">
        <v>175</v>
      </c>
      <c r="D8338" s="2" t="s">
        <v>5</v>
      </c>
    </row>
    <row r="8339">
      <c r="A8339" s="1">
        <v>43765.43296210648</v>
      </c>
      <c r="B8339" s="2">
        <v>737.0</v>
      </c>
      <c r="C8339" s="2" t="s">
        <v>176</v>
      </c>
      <c r="D8339" s="2" t="s">
        <v>5</v>
      </c>
    </row>
    <row r="8340">
      <c r="A8340" s="1">
        <v>43765.43334471065</v>
      </c>
      <c r="B8340" s="2">
        <v>648.0</v>
      </c>
      <c r="C8340" s="2" t="s">
        <v>207</v>
      </c>
    </row>
    <row r="8341">
      <c r="A8341" s="1">
        <v>43765.43399641204</v>
      </c>
      <c r="B8341" s="2">
        <v>229.0</v>
      </c>
      <c r="C8341" s="2" t="s">
        <v>86</v>
      </c>
    </row>
    <row r="8342">
      <c r="A8342" s="1">
        <v>43765.43477179398</v>
      </c>
      <c r="B8342" s="2">
        <v>201.0</v>
      </c>
      <c r="C8342" s="2" t="s">
        <v>70</v>
      </c>
    </row>
    <row r="8343">
      <c r="A8343" s="1">
        <v>43765.43627236111</v>
      </c>
      <c r="B8343" s="2">
        <v>649.0</v>
      </c>
      <c r="C8343" s="2" t="s">
        <v>177</v>
      </c>
    </row>
    <row r="8344">
      <c r="A8344" s="1">
        <v>43765.43640549769</v>
      </c>
      <c r="B8344" s="3" t="s">
        <v>126</v>
      </c>
      <c r="C8344" s="2" t="s">
        <v>127</v>
      </c>
    </row>
    <row r="8345">
      <c r="A8345" s="1">
        <v>43765.436617893516</v>
      </c>
      <c r="B8345" s="2">
        <v>254.0</v>
      </c>
      <c r="C8345" s="2" t="s">
        <v>132</v>
      </c>
    </row>
    <row r="8346">
      <c r="A8346" s="1">
        <v>43765.43676884259</v>
      </c>
      <c r="B8346" s="2">
        <v>734.0</v>
      </c>
      <c r="C8346" s="2" t="s">
        <v>63</v>
      </c>
      <c r="D8346" s="2" t="s">
        <v>5</v>
      </c>
    </row>
    <row r="8347">
      <c r="A8347" s="1">
        <v>43765.43683511574</v>
      </c>
      <c r="B8347" s="2">
        <v>259.0</v>
      </c>
      <c r="C8347" s="2" t="s">
        <v>66</v>
      </c>
    </row>
    <row r="8348">
      <c r="A8348" s="1">
        <v>43765.437019247685</v>
      </c>
      <c r="B8348" s="2">
        <v>260.0</v>
      </c>
      <c r="C8348" s="2" t="s">
        <v>67</v>
      </c>
    </row>
    <row r="8349">
      <c r="A8349" s="1">
        <v>43765.43708498843</v>
      </c>
      <c r="B8349" s="2">
        <v>257.0</v>
      </c>
      <c r="C8349" s="2" t="s">
        <v>27</v>
      </c>
    </row>
    <row r="8350">
      <c r="A8350" s="1">
        <v>43765.43714865741</v>
      </c>
      <c r="B8350" s="3" t="s">
        <v>44</v>
      </c>
      <c r="C8350" s="2" t="s">
        <v>45</v>
      </c>
    </row>
    <row r="8351">
      <c r="A8351" s="1">
        <v>43765.43730821759</v>
      </c>
      <c r="B8351" s="2">
        <v>632.0</v>
      </c>
      <c r="C8351" s="2" t="s">
        <v>146</v>
      </c>
    </row>
    <row r="8352">
      <c r="A8352" s="1">
        <v>43765.43896644676</v>
      </c>
      <c r="B8352" s="2">
        <v>643.0</v>
      </c>
      <c r="C8352" s="2" t="s">
        <v>166</v>
      </c>
    </row>
    <row r="8353">
      <c r="A8353" s="1">
        <v>43765.43956028935</v>
      </c>
      <c r="B8353" s="2">
        <v>602.0</v>
      </c>
      <c r="C8353" s="2" t="s">
        <v>131</v>
      </c>
    </row>
    <row r="8354">
      <c r="A8354" s="1">
        <v>43765.439694664354</v>
      </c>
      <c r="B8354" s="2">
        <v>52.0</v>
      </c>
      <c r="C8354" s="2" t="s">
        <v>41</v>
      </c>
    </row>
    <row r="8355">
      <c r="A8355" s="1">
        <v>43765.44067672454</v>
      </c>
      <c r="B8355" s="2">
        <v>124.0</v>
      </c>
      <c r="C8355" s="2" t="s">
        <v>107</v>
      </c>
    </row>
    <row r="8356">
      <c r="A8356" s="1">
        <v>43765.44068321759</v>
      </c>
      <c r="B8356" s="2">
        <v>124.0</v>
      </c>
      <c r="C8356" s="2" t="s">
        <v>107</v>
      </c>
    </row>
    <row r="8357">
      <c r="A8357" s="1">
        <v>43765.44079957176</v>
      </c>
      <c r="B8357" s="2">
        <v>673.0</v>
      </c>
      <c r="C8357" s="2" t="s">
        <v>189</v>
      </c>
    </row>
    <row r="8358">
      <c r="A8358" s="1">
        <v>43765.441102627316</v>
      </c>
      <c r="B8358" s="2">
        <v>723.0</v>
      </c>
      <c r="C8358" s="2" t="s">
        <v>84</v>
      </c>
      <c r="D8358" s="2" t="s">
        <v>5</v>
      </c>
    </row>
    <row r="8359">
      <c r="A8359" s="1">
        <v>43765.441219953704</v>
      </c>
      <c r="B8359" s="2">
        <v>673.0</v>
      </c>
      <c r="C8359" s="2" t="s">
        <v>189</v>
      </c>
    </row>
    <row r="8360">
      <c r="A8360" s="1">
        <v>43765.441225057875</v>
      </c>
      <c r="B8360" s="3" t="s">
        <v>78</v>
      </c>
      <c r="C8360" s="2" t="s">
        <v>79</v>
      </c>
    </row>
    <row r="8361">
      <c r="A8361" s="1">
        <v>43765.44127517361</v>
      </c>
      <c r="B8361" s="2">
        <v>673.0</v>
      </c>
      <c r="C8361" s="2" t="s">
        <v>189</v>
      </c>
    </row>
    <row r="8362">
      <c r="A8362" s="1">
        <v>43765.444808113425</v>
      </c>
      <c r="B8362" s="3" t="s">
        <v>94</v>
      </c>
      <c r="C8362" s="2" t="s">
        <v>95</v>
      </c>
    </row>
    <row r="8363">
      <c r="A8363" s="1">
        <v>43765.44501090278</v>
      </c>
      <c r="B8363" s="2">
        <v>702.0</v>
      </c>
      <c r="C8363" s="2" t="s">
        <v>96</v>
      </c>
      <c r="D8363" s="2" t="s">
        <v>5</v>
      </c>
    </row>
    <row r="8364">
      <c r="A8364" s="1">
        <v>43765.44526650463</v>
      </c>
      <c r="B8364" s="2">
        <v>268.0</v>
      </c>
      <c r="C8364" s="2" t="s">
        <v>205</v>
      </c>
    </row>
    <row r="8365">
      <c r="A8365" s="1">
        <v>43765.44696930556</v>
      </c>
      <c r="B8365" s="2">
        <v>624.0</v>
      </c>
      <c r="C8365" s="2" t="s">
        <v>90</v>
      </c>
    </row>
    <row r="8366">
      <c r="A8366" s="1">
        <v>43765.447077986115</v>
      </c>
      <c r="B8366" s="3" t="s">
        <v>98</v>
      </c>
      <c r="C8366" s="2" t="s">
        <v>99</v>
      </c>
    </row>
    <row r="8367">
      <c r="A8367" s="1">
        <v>43765.44723635417</v>
      </c>
      <c r="B8367" s="2">
        <v>726.0</v>
      </c>
      <c r="C8367" s="2" t="s">
        <v>101</v>
      </c>
      <c r="D8367" s="2" t="s">
        <v>5</v>
      </c>
    </row>
    <row r="8368">
      <c r="A8368" s="1">
        <v>43765.44733425926</v>
      </c>
      <c r="B8368" s="2">
        <v>732.0</v>
      </c>
      <c r="C8368" s="2" t="s">
        <v>102</v>
      </c>
      <c r="D8368" s="2" t="s">
        <v>5</v>
      </c>
    </row>
    <row r="8369">
      <c r="A8369" s="1">
        <v>43765.4484228588</v>
      </c>
      <c r="B8369" s="2">
        <v>214.0</v>
      </c>
      <c r="C8369" s="2" t="s">
        <v>47</v>
      </c>
    </row>
    <row r="8370">
      <c r="A8370" s="1">
        <v>43765.44860146991</v>
      </c>
      <c r="B8370" s="2">
        <v>126.0</v>
      </c>
      <c r="C8370" s="2" t="s">
        <v>87</v>
      </c>
    </row>
    <row r="8371">
      <c r="A8371" s="1">
        <v>43765.44880241898</v>
      </c>
      <c r="B8371" s="2">
        <v>604.0</v>
      </c>
      <c r="C8371" s="2" t="s">
        <v>36</v>
      </c>
    </row>
    <row r="8372">
      <c r="A8372" s="1">
        <v>43765.44925314815</v>
      </c>
      <c r="B8372" s="2">
        <v>733.0</v>
      </c>
      <c r="C8372" s="2" t="s">
        <v>110</v>
      </c>
      <c r="D8372" s="2" t="s">
        <v>5</v>
      </c>
    </row>
    <row r="8373">
      <c r="A8373" s="1">
        <v>43765.4493974537</v>
      </c>
      <c r="B8373" s="2">
        <v>663.0</v>
      </c>
      <c r="C8373" s="2" t="s">
        <v>109</v>
      </c>
    </row>
    <row r="8374">
      <c r="A8374" s="1">
        <v>43765.45301329861</v>
      </c>
      <c r="B8374" s="2">
        <v>253.0</v>
      </c>
      <c r="C8374" s="2" t="s">
        <v>138</v>
      </c>
    </row>
    <row r="8375">
      <c r="A8375" s="1">
        <v>43765.456031388894</v>
      </c>
      <c r="B8375" s="3" t="s">
        <v>117</v>
      </c>
      <c r="C8375" s="2" t="s">
        <v>118</v>
      </c>
    </row>
    <row r="8376">
      <c r="A8376" s="1">
        <v>43765.45611346065</v>
      </c>
      <c r="B8376" s="3" t="s">
        <v>119</v>
      </c>
      <c r="C8376" s="2" t="s">
        <v>120</v>
      </c>
    </row>
    <row r="8377">
      <c r="A8377" s="1">
        <v>43765.45637777778</v>
      </c>
      <c r="B8377" s="2">
        <v>713.0</v>
      </c>
      <c r="C8377" s="2" t="s">
        <v>121</v>
      </c>
      <c r="D8377" s="2" t="s">
        <v>5</v>
      </c>
    </row>
    <row r="8378">
      <c r="A8378" s="1">
        <v>43765.456477395834</v>
      </c>
      <c r="B8378" s="2">
        <v>714.0</v>
      </c>
      <c r="C8378" s="2" t="s">
        <v>122</v>
      </c>
      <c r="D8378" s="2" t="s">
        <v>5</v>
      </c>
    </row>
    <row r="8379">
      <c r="A8379" s="1">
        <v>43765.47821137731</v>
      </c>
      <c r="B8379" s="3" t="s">
        <v>42</v>
      </c>
      <c r="C8379" s="2" t="s">
        <v>43</v>
      </c>
    </row>
    <row r="8380">
      <c r="A8380" s="1">
        <v>43765.48247260417</v>
      </c>
      <c r="B8380" s="2">
        <v>237.0</v>
      </c>
      <c r="C8380" s="2" t="s">
        <v>140</v>
      </c>
    </row>
    <row r="8381">
      <c r="A8381" s="1">
        <v>43765.482761956024</v>
      </c>
      <c r="B8381" s="2">
        <v>705.0</v>
      </c>
      <c r="C8381" s="2" t="s">
        <v>168</v>
      </c>
      <c r="D8381" s="2" t="s">
        <v>5</v>
      </c>
    </row>
    <row r="8382">
      <c r="A8382" s="1">
        <v>43766.34061287037</v>
      </c>
      <c r="B8382" s="2">
        <v>720.0</v>
      </c>
      <c r="C8382" s="2" t="s">
        <v>155</v>
      </c>
      <c r="D8382" s="2" t="s">
        <v>5</v>
      </c>
    </row>
    <row r="8383">
      <c r="A8383" s="1">
        <v>43766.340767256945</v>
      </c>
      <c r="B8383" s="2">
        <v>160.0</v>
      </c>
      <c r="C8383" s="2" t="s">
        <v>154</v>
      </c>
    </row>
    <row r="8384">
      <c r="A8384" s="1">
        <v>43766.340956886575</v>
      </c>
      <c r="B8384" s="2">
        <v>160.0</v>
      </c>
      <c r="C8384" s="2" t="s">
        <v>154</v>
      </c>
    </row>
    <row r="8385">
      <c r="A8385" s="1">
        <v>43766.34113447917</v>
      </c>
      <c r="B8385" s="3" t="s">
        <v>162</v>
      </c>
      <c r="C8385" s="2" t="s">
        <v>163</v>
      </c>
    </row>
    <row r="8386">
      <c r="A8386" s="1">
        <v>43772.4143509375</v>
      </c>
      <c r="B8386" s="2">
        <v>193.0</v>
      </c>
      <c r="C8386" s="2" t="s">
        <v>30</v>
      </c>
    </row>
    <row r="8387">
      <c r="A8387" s="1">
        <v>43772.414666157405</v>
      </c>
      <c r="B8387" s="2">
        <v>238.0</v>
      </c>
      <c r="C8387" s="2" t="s">
        <v>35</v>
      </c>
    </row>
    <row r="8388">
      <c r="A8388" s="1">
        <v>43772.414780011575</v>
      </c>
      <c r="B8388" s="2">
        <v>244.0</v>
      </c>
      <c r="C8388" s="2" t="s">
        <v>38</v>
      </c>
    </row>
    <row r="8389">
      <c r="A8389" s="1">
        <v>43772.41520134259</v>
      </c>
      <c r="B8389" s="2">
        <v>656.0</v>
      </c>
      <c r="C8389" s="2" t="s">
        <v>144</v>
      </c>
    </row>
    <row r="8390">
      <c r="A8390" s="1">
        <v>43772.41600924768</v>
      </c>
      <c r="B8390" s="2">
        <v>655.0</v>
      </c>
      <c r="C8390" s="2" t="s">
        <v>17</v>
      </c>
    </row>
    <row r="8391">
      <c r="A8391" s="1">
        <v>43772.41639162037</v>
      </c>
      <c r="B8391" s="3" t="s">
        <v>80</v>
      </c>
      <c r="C8391" s="2" t="s">
        <v>81</v>
      </c>
    </row>
    <row r="8392">
      <c r="A8392" s="1">
        <v>43772.4174113426</v>
      </c>
      <c r="B8392" s="2">
        <v>643.0</v>
      </c>
      <c r="C8392" s="2" t="s">
        <v>166</v>
      </c>
    </row>
    <row r="8393">
      <c r="A8393" s="1">
        <v>43772.41912884259</v>
      </c>
      <c r="B8393" s="2">
        <v>219.0</v>
      </c>
      <c r="C8393" s="2" t="s">
        <v>31</v>
      </c>
    </row>
    <row r="8394">
      <c r="A8394" s="1">
        <v>43772.42105388889</v>
      </c>
      <c r="B8394" s="2">
        <v>618.0</v>
      </c>
      <c r="C8394" s="2" t="s">
        <v>147</v>
      </c>
    </row>
    <row r="8395">
      <c r="A8395" s="1">
        <v>43772.421190231486</v>
      </c>
      <c r="B8395" s="2">
        <v>619.0</v>
      </c>
      <c r="C8395" s="2" t="s">
        <v>46</v>
      </c>
    </row>
    <row r="8396">
      <c r="A8396" s="1">
        <v>43772.42157644676</v>
      </c>
      <c r="B8396" s="2">
        <v>165.0</v>
      </c>
      <c r="C8396" s="2" t="s">
        <v>50</v>
      </c>
    </row>
    <row r="8397">
      <c r="A8397" s="1">
        <v>43772.423403912035</v>
      </c>
      <c r="B8397" s="3" t="s">
        <v>186</v>
      </c>
      <c r="C8397" s="2" t="s">
        <v>187</v>
      </c>
    </row>
    <row r="8398">
      <c r="A8398" s="1">
        <v>43772.423731319446</v>
      </c>
      <c r="B8398" s="3" t="s">
        <v>184</v>
      </c>
      <c r="C8398" s="2" t="s">
        <v>185</v>
      </c>
    </row>
    <row r="8399">
      <c r="A8399" s="1">
        <v>43772.424023368054</v>
      </c>
      <c r="B8399" s="3" t="s">
        <v>51</v>
      </c>
      <c r="C8399" s="2" t="s">
        <v>52</v>
      </c>
    </row>
    <row r="8400">
      <c r="A8400" s="1">
        <v>43772.42418444445</v>
      </c>
      <c r="B8400" s="2">
        <v>625.0</v>
      </c>
      <c r="C8400" s="2" t="s">
        <v>136</v>
      </c>
    </row>
    <row r="8401">
      <c r="A8401" s="1">
        <v>43772.42435751157</v>
      </c>
      <c r="B8401" s="2">
        <v>208.0</v>
      </c>
      <c r="C8401" s="2" t="s">
        <v>182</v>
      </c>
    </row>
    <row r="8402">
      <c r="A8402" s="1">
        <v>43772.42466615741</v>
      </c>
      <c r="B8402" s="2">
        <v>604.0</v>
      </c>
      <c r="C8402" s="2" t="s">
        <v>36</v>
      </c>
    </row>
    <row r="8403">
      <c r="A8403" s="1">
        <v>43772.426004189816</v>
      </c>
      <c r="B8403" s="2">
        <v>210.0</v>
      </c>
      <c r="C8403" s="2" t="s">
        <v>64</v>
      </c>
    </row>
    <row r="8404">
      <c r="A8404" s="1">
        <v>43772.42633847222</v>
      </c>
      <c r="B8404" s="2">
        <v>158.0</v>
      </c>
      <c r="C8404" s="2" t="s">
        <v>62</v>
      </c>
    </row>
    <row r="8405">
      <c r="A8405" s="1">
        <v>43772.426554398146</v>
      </c>
      <c r="B8405" s="3" t="s">
        <v>82</v>
      </c>
      <c r="C8405" s="2" t="s">
        <v>83</v>
      </c>
    </row>
    <row r="8406">
      <c r="A8406" s="1">
        <v>43772.42669291666</v>
      </c>
      <c r="B8406" s="3" t="s">
        <v>78</v>
      </c>
      <c r="C8406" s="2" t="s">
        <v>79</v>
      </c>
    </row>
    <row r="8407">
      <c r="A8407" s="1">
        <v>43772.42736206019</v>
      </c>
      <c r="B8407" s="2">
        <v>723.0</v>
      </c>
      <c r="C8407" s="2" t="s">
        <v>84</v>
      </c>
      <c r="D8407" s="2" t="s">
        <v>5</v>
      </c>
    </row>
    <row r="8408">
      <c r="A8408" s="1">
        <v>43772.42809072917</v>
      </c>
      <c r="B8408" s="2">
        <v>603.0</v>
      </c>
      <c r="C8408" s="2" t="s">
        <v>40</v>
      </c>
    </row>
    <row r="8409">
      <c r="A8409" s="1">
        <v>43772.42824334491</v>
      </c>
      <c r="B8409" s="2">
        <v>167.0</v>
      </c>
      <c r="C8409" s="2" t="s">
        <v>39</v>
      </c>
    </row>
    <row r="8410">
      <c r="A8410" s="1">
        <v>43772.42943340278</v>
      </c>
      <c r="B8410" s="2">
        <v>167.0</v>
      </c>
      <c r="C8410" s="2" t="s">
        <v>39</v>
      </c>
    </row>
    <row r="8411">
      <c r="A8411" s="1">
        <v>43772.430050254625</v>
      </c>
      <c r="B8411" s="2">
        <v>627.0</v>
      </c>
      <c r="C8411" s="2" t="s">
        <v>134</v>
      </c>
    </row>
    <row r="8412">
      <c r="A8412" s="1">
        <v>43772.43046552083</v>
      </c>
      <c r="B8412" s="2">
        <v>201.0</v>
      </c>
      <c r="C8412" s="2" t="s">
        <v>70</v>
      </c>
    </row>
    <row r="8413">
      <c r="A8413" s="1">
        <v>43772.43055244213</v>
      </c>
      <c r="B8413" s="2">
        <v>673.0</v>
      </c>
      <c r="C8413" s="2" t="s">
        <v>189</v>
      </c>
    </row>
    <row r="8414">
      <c r="A8414" s="1">
        <v>43772.43066107639</v>
      </c>
      <c r="B8414" s="3" t="s">
        <v>22</v>
      </c>
      <c r="C8414" s="2" t="s">
        <v>23</v>
      </c>
    </row>
    <row r="8415">
      <c r="A8415" s="1">
        <v>43772.43082792824</v>
      </c>
      <c r="B8415" s="3" t="s">
        <v>11</v>
      </c>
      <c r="C8415" s="2" t="s">
        <v>12</v>
      </c>
    </row>
    <row r="8416">
      <c r="A8416" s="1">
        <v>43772.431021192126</v>
      </c>
      <c r="B8416" s="2">
        <v>717.0</v>
      </c>
      <c r="C8416" s="2" t="s">
        <v>152</v>
      </c>
      <c r="D8416" s="2" t="s">
        <v>5</v>
      </c>
    </row>
    <row r="8417">
      <c r="A8417" s="1">
        <v>43772.43113399306</v>
      </c>
      <c r="B8417" s="3" t="s">
        <v>126</v>
      </c>
      <c r="C8417" s="2" t="s">
        <v>127</v>
      </c>
    </row>
    <row r="8418">
      <c r="A8418" s="1">
        <v>43772.43121221065</v>
      </c>
      <c r="B8418" s="2">
        <v>735.0</v>
      </c>
      <c r="C8418" s="2" t="s">
        <v>37</v>
      </c>
      <c r="D8418" s="2" t="s">
        <v>5</v>
      </c>
    </row>
    <row r="8419">
      <c r="A8419" s="1">
        <v>43772.431347060185</v>
      </c>
      <c r="B8419" s="3" t="s">
        <v>126</v>
      </c>
      <c r="C8419" s="2" t="s">
        <v>127</v>
      </c>
    </row>
    <row r="8420">
      <c r="A8420" s="1">
        <v>43772.4314028125</v>
      </c>
      <c r="B8420" s="2">
        <v>611.0</v>
      </c>
      <c r="C8420" s="2" t="s">
        <v>143</v>
      </c>
    </row>
    <row r="8421">
      <c r="A8421" s="1">
        <v>43772.431526458335</v>
      </c>
      <c r="B8421" s="2">
        <v>613.0</v>
      </c>
      <c r="C8421" s="2" t="s">
        <v>124</v>
      </c>
    </row>
    <row r="8422">
      <c r="A8422" s="1">
        <v>43772.43166703703</v>
      </c>
      <c r="B8422" s="2">
        <v>262.0</v>
      </c>
      <c r="C8422" s="2" t="s">
        <v>28</v>
      </c>
    </row>
    <row r="8423">
      <c r="A8423" s="1">
        <v>43772.431704456016</v>
      </c>
      <c r="B8423" s="2">
        <v>607.0</v>
      </c>
      <c r="C8423" s="2" t="s">
        <v>68</v>
      </c>
    </row>
    <row r="8424">
      <c r="A8424" s="1">
        <v>43772.43191434028</v>
      </c>
      <c r="B8424" s="2">
        <v>732.0</v>
      </c>
      <c r="C8424" s="2" t="s">
        <v>102</v>
      </c>
      <c r="D8424" s="2" t="s">
        <v>5</v>
      </c>
    </row>
    <row r="8425">
      <c r="A8425" s="1">
        <v>43772.431971956015</v>
      </c>
      <c r="B8425" s="2">
        <v>653.0</v>
      </c>
      <c r="C8425" s="2" t="s">
        <v>77</v>
      </c>
    </row>
    <row r="8426">
      <c r="A8426" s="1">
        <v>43772.4320733912</v>
      </c>
      <c r="B8426" s="2">
        <v>726.0</v>
      </c>
      <c r="C8426" s="2" t="s">
        <v>101</v>
      </c>
      <c r="D8426" s="2" t="s">
        <v>5</v>
      </c>
    </row>
    <row r="8427">
      <c r="A8427" s="1">
        <v>43772.43218616898</v>
      </c>
      <c r="B8427" s="2">
        <v>52.0</v>
      </c>
      <c r="C8427" s="2" t="s">
        <v>41</v>
      </c>
    </row>
    <row r="8428">
      <c r="A8428" s="1">
        <v>43772.432263298615</v>
      </c>
      <c r="B8428" s="2">
        <v>535.0</v>
      </c>
      <c r="C8428" s="2" t="s">
        <v>208</v>
      </c>
    </row>
    <row r="8429">
      <c r="A8429" s="1">
        <v>43772.43234109954</v>
      </c>
      <c r="B8429" s="2">
        <v>270.0</v>
      </c>
      <c r="C8429" s="2" t="s">
        <v>153</v>
      </c>
    </row>
    <row r="8430">
      <c r="A8430" s="1">
        <v>43772.43234586806</v>
      </c>
      <c r="B8430" s="2">
        <v>214.0</v>
      </c>
      <c r="C8430" s="2" t="s">
        <v>47</v>
      </c>
    </row>
    <row r="8431">
      <c r="A8431" s="1">
        <v>43772.43248208333</v>
      </c>
      <c r="B8431" s="2">
        <v>175.0</v>
      </c>
      <c r="C8431" s="2" t="s">
        <v>69</v>
      </c>
    </row>
    <row r="8432">
      <c r="A8432" s="1">
        <v>43772.43250660879</v>
      </c>
      <c r="B8432" s="2">
        <v>173.0</v>
      </c>
      <c r="C8432" s="2" t="s">
        <v>24</v>
      </c>
    </row>
    <row r="8433">
      <c r="A8433" s="1">
        <v>43772.43265263889</v>
      </c>
      <c r="B8433" s="2">
        <v>734.0</v>
      </c>
      <c r="C8433" s="2" t="s">
        <v>63</v>
      </c>
      <c r="D8433" s="2" t="s">
        <v>5</v>
      </c>
    </row>
    <row r="8434">
      <c r="A8434" s="1">
        <v>43772.432744398146</v>
      </c>
      <c r="B8434" s="2">
        <v>173.0</v>
      </c>
      <c r="C8434" s="2" t="s">
        <v>24</v>
      </c>
    </row>
    <row r="8435">
      <c r="A8435" s="1">
        <v>43772.43278314815</v>
      </c>
      <c r="B8435" s="2">
        <v>260.0</v>
      </c>
      <c r="C8435" s="2" t="s">
        <v>67</v>
      </c>
    </row>
    <row r="8436">
      <c r="A8436" s="1">
        <v>43772.43288059028</v>
      </c>
      <c r="B8436" s="2">
        <v>259.0</v>
      </c>
      <c r="C8436" s="2" t="s">
        <v>66</v>
      </c>
    </row>
    <row r="8437">
      <c r="A8437" s="1">
        <v>43772.43292121528</v>
      </c>
      <c r="B8437" s="3" t="s">
        <v>32</v>
      </c>
      <c r="C8437" s="2" t="s">
        <v>33</v>
      </c>
    </row>
    <row r="8438">
      <c r="A8438" s="1">
        <v>43772.43312163194</v>
      </c>
      <c r="B8438" s="2">
        <v>147.0</v>
      </c>
      <c r="C8438" s="2" t="s">
        <v>100</v>
      </c>
    </row>
    <row r="8439">
      <c r="A8439" s="1">
        <v>43772.43324951389</v>
      </c>
      <c r="B8439" s="3" t="s">
        <v>98</v>
      </c>
      <c r="C8439" s="2" t="s">
        <v>99</v>
      </c>
    </row>
    <row r="8440">
      <c r="A8440" s="1">
        <v>43772.43325219907</v>
      </c>
      <c r="B8440" s="3" t="s">
        <v>32</v>
      </c>
      <c r="C8440" s="2" t="s">
        <v>33</v>
      </c>
    </row>
    <row r="8441">
      <c r="A8441" s="1">
        <v>43772.43347537037</v>
      </c>
      <c r="B8441" s="2">
        <v>172.0</v>
      </c>
      <c r="C8441" s="2" t="s">
        <v>65</v>
      </c>
    </row>
    <row r="8442">
      <c r="A8442" s="1">
        <v>43772.43363082176</v>
      </c>
      <c r="B8442" s="2">
        <v>267.0</v>
      </c>
      <c r="C8442" s="2" t="s">
        <v>115</v>
      </c>
    </row>
    <row r="8443">
      <c r="A8443" s="1">
        <v>43772.43398068287</v>
      </c>
      <c r="B8443" s="2">
        <v>678.0</v>
      </c>
      <c r="C8443" s="2" t="s">
        <v>228</v>
      </c>
    </row>
    <row r="8444">
      <c r="A8444" s="1">
        <v>43772.43643420139</v>
      </c>
      <c r="B8444" s="2">
        <v>667.0</v>
      </c>
      <c r="C8444" s="2" t="s">
        <v>73</v>
      </c>
    </row>
    <row r="8445">
      <c r="A8445" s="1">
        <v>43772.43657445602</v>
      </c>
      <c r="B8445" s="2">
        <v>648.0</v>
      </c>
      <c r="C8445" s="2" t="s">
        <v>207</v>
      </c>
    </row>
    <row r="8446">
      <c r="A8446" s="1">
        <v>43772.436668298615</v>
      </c>
      <c r="B8446" s="2">
        <v>649.0</v>
      </c>
      <c r="C8446" s="2" t="s">
        <v>177</v>
      </c>
    </row>
    <row r="8447">
      <c r="A8447" s="1">
        <v>43772.436731875</v>
      </c>
      <c r="B8447" s="2">
        <v>160.0</v>
      </c>
      <c r="C8447" s="2" t="s">
        <v>154</v>
      </c>
    </row>
    <row r="8448">
      <c r="A8448" s="1">
        <v>43772.43683197917</v>
      </c>
      <c r="B8448" s="2">
        <v>736.0</v>
      </c>
      <c r="C8448" s="2" t="s">
        <v>175</v>
      </c>
      <c r="D8448" s="2" t="s">
        <v>5</v>
      </c>
    </row>
    <row r="8449">
      <c r="A8449" s="1">
        <v>43772.43691721065</v>
      </c>
      <c r="B8449" s="2">
        <v>737.0</v>
      </c>
      <c r="C8449" s="2" t="s">
        <v>176</v>
      </c>
      <c r="D8449" s="2" t="s">
        <v>5</v>
      </c>
    </row>
    <row r="8450">
      <c r="A8450" s="1">
        <v>43772.436951724536</v>
      </c>
      <c r="B8450" s="2">
        <v>160.0</v>
      </c>
      <c r="C8450" s="2" t="s">
        <v>154</v>
      </c>
    </row>
    <row r="8451">
      <c r="A8451" s="1">
        <v>43772.43731065972</v>
      </c>
      <c r="B8451" s="3" t="s">
        <v>44</v>
      </c>
      <c r="C8451" s="2" t="s">
        <v>45</v>
      </c>
    </row>
    <row r="8452">
      <c r="A8452" s="1">
        <v>43772.43824116898</v>
      </c>
      <c r="B8452" s="2">
        <v>667.0</v>
      </c>
      <c r="C8452" s="2" t="s">
        <v>73</v>
      </c>
    </row>
    <row r="8453">
      <c r="A8453" s="1">
        <v>43772.438288564816</v>
      </c>
      <c r="B8453" s="3" t="s">
        <v>88</v>
      </c>
      <c r="C8453" s="2" t="s">
        <v>89</v>
      </c>
    </row>
    <row r="8454">
      <c r="A8454" s="1">
        <v>43772.43844725694</v>
      </c>
      <c r="B8454" s="3" t="s">
        <v>74</v>
      </c>
      <c r="C8454" s="2" t="s">
        <v>75</v>
      </c>
    </row>
    <row r="8455">
      <c r="A8455" s="1">
        <v>43772.43896532407</v>
      </c>
      <c r="B8455" s="2">
        <v>246.0</v>
      </c>
      <c r="C8455" s="2" t="s">
        <v>26</v>
      </c>
    </row>
    <row r="8456">
      <c r="A8456" s="1">
        <v>43772.43905019676</v>
      </c>
      <c r="B8456" s="2">
        <v>722.0</v>
      </c>
      <c r="C8456" s="2" t="s">
        <v>25</v>
      </c>
      <c r="D8456" s="2" t="s">
        <v>5</v>
      </c>
    </row>
    <row r="8457">
      <c r="A8457" s="1">
        <v>43772.43918923612</v>
      </c>
      <c r="B8457" s="3" t="s">
        <v>111</v>
      </c>
      <c r="C8457" s="2" t="s">
        <v>112</v>
      </c>
    </row>
    <row r="8458">
      <c r="A8458" s="1">
        <v>43772.439777997686</v>
      </c>
      <c r="B8458" s="2">
        <v>229.0</v>
      </c>
      <c r="C8458" s="2" t="s">
        <v>86</v>
      </c>
    </row>
    <row r="8459">
      <c r="A8459" s="1">
        <v>43772.440783935184</v>
      </c>
      <c r="B8459" s="2">
        <v>625.0</v>
      </c>
      <c r="C8459" s="2" t="s">
        <v>136</v>
      </c>
    </row>
    <row r="8460">
      <c r="A8460" s="1">
        <v>43772.440875879634</v>
      </c>
      <c r="B8460" s="2">
        <v>624.0</v>
      </c>
      <c r="C8460" s="2" t="s">
        <v>90</v>
      </c>
    </row>
    <row r="8461">
      <c r="A8461" s="1">
        <v>43772.44107652778</v>
      </c>
      <c r="B8461" s="2">
        <v>740.0</v>
      </c>
      <c r="C8461" s="2" t="s">
        <v>221</v>
      </c>
      <c r="D8461" s="2" t="s">
        <v>5</v>
      </c>
    </row>
    <row r="8462">
      <c r="A8462" s="1">
        <v>43772.44135516204</v>
      </c>
      <c r="B8462" s="2">
        <v>631.0</v>
      </c>
      <c r="C8462" s="2" t="s">
        <v>178</v>
      </c>
    </row>
    <row r="8463">
      <c r="A8463" s="1">
        <v>43772.44153048611</v>
      </c>
      <c r="B8463" s="2">
        <v>738.0</v>
      </c>
      <c r="C8463" s="2" t="s">
        <v>161</v>
      </c>
      <c r="D8463" s="2" t="s">
        <v>5</v>
      </c>
    </row>
    <row r="8464">
      <c r="A8464" s="1">
        <v>43772.44170848379</v>
      </c>
      <c r="B8464" s="2">
        <v>678.0</v>
      </c>
      <c r="C8464" s="2" t="s">
        <v>228</v>
      </c>
    </row>
    <row r="8465">
      <c r="A8465" s="1">
        <v>43772.442318726855</v>
      </c>
      <c r="B8465" s="2">
        <v>124.0</v>
      </c>
      <c r="C8465" s="2" t="s">
        <v>107</v>
      </c>
    </row>
    <row r="8466">
      <c r="A8466" s="1">
        <v>43772.44876704861</v>
      </c>
      <c r="B8466" s="3" t="s">
        <v>42</v>
      </c>
      <c r="C8466" s="2" t="s">
        <v>43</v>
      </c>
    </row>
    <row r="8467">
      <c r="A8467" s="1">
        <v>43772.450197453705</v>
      </c>
      <c r="B8467" s="2">
        <v>623.0</v>
      </c>
      <c r="C8467" s="2" t="s">
        <v>133</v>
      </c>
    </row>
    <row r="8468">
      <c r="A8468" s="1">
        <v>43772.45393833333</v>
      </c>
      <c r="B8468" s="2">
        <v>253.0</v>
      </c>
      <c r="C8468" s="2" t="s">
        <v>138</v>
      </c>
    </row>
    <row r="8469">
      <c r="A8469" s="1">
        <v>43772.45417679398</v>
      </c>
      <c r="B8469" s="2">
        <v>630.0</v>
      </c>
      <c r="C8469" s="2" t="s">
        <v>158</v>
      </c>
    </row>
    <row r="8470">
      <c r="A8470" s="1">
        <v>43772.464878750005</v>
      </c>
      <c r="B8470" s="3" t="s">
        <v>103</v>
      </c>
      <c r="C8470" s="2" t="s">
        <v>104</v>
      </c>
    </row>
    <row r="8471">
      <c r="A8471" s="1">
        <v>43772.47131113426</v>
      </c>
      <c r="B8471" s="2">
        <v>679.0</v>
      </c>
      <c r="C8471" s="2" t="s">
        <v>229</v>
      </c>
    </row>
    <row r="8472">
      <c r="A8472" s="1">
        <v>43772.474873240746</v>
      </c>
      <c r="B8472" s="2">
        <v>114.0</v>
      </c>
      <c r="C8472" s="2" t="s">
        <v>15</v>
      </c>
    </row>
    <row r="8473">
      <c r="A8473" s="1">
        <v>43772.475138009264</v>
      </c>
      <c r="B8473" s="2">
        <v>708.0</v>
      </c>
      <c r="C8473" s="2" t="s">
        <v>4</v>
      </c>
      <c r="D8473" s="2" t="s">
        <v>5</v>
      </c>
    </row>
    <row r="8474">
      <c r="A8474" s="1">
        <v>43772.47530603009</v>
      </c>
      <c r="B8474" s="2">
        <v>709.0</v>
      </c>
      <c r="C8474" s="2" t="s">
        <v>20</v>
      </c>
      <c r="D8474" s="2" t="s">
        <v>5</v>
      </c>
    </row>
    <row r="8475">
      <c r="A8475" s="1">
        <v>43772.475486111114</v>
      </c>
      <c r="B8475" s="2">
        <v>710.0</v>
      </c>
      <c r="C8475" s="2" t="s">
        <v>21</v>
      </c>
      <c r="D8475" s="2" t="s">
        <v>5</v>
      </c>
    </row>
    <row r="8476">
      <c r="A8476" s="1">
        <v>43772.47640263889</v>
      </c>
      <c r="B8476" s="3" t="s">
        <v>9</v>
      </c>
      <c r="C8476" s="2" t="s">
        <v>10</v>
      </c>
    </row>
    <row r="8477">
      <c r="A8477" s="1">
        <v>43772.477193969906</v>
      </c>
      <c r="B8477" s="2">
        <v>114.0</v>
      </c>
      <c r="C8477" s="2" t="s">
        <v>15</v>
      </c>
    </row>
    <row r="8478">
      <c r="A8478" s="1">
        <v>43772.47796701389</v>
      </c>
      <c r="B8478" s="2">
        <v>157.0</v>
      </c>
      <c r="C8478" s="2" t="s">
        <v>141</v>
      </c>
    </row>
    <row r="8479">
      <c r="A8479" s="1">
        <v>43772.478494826384</v>
      </c>
      <c r="B8479" s="2">
        <v>237.0</v>
      </c>
      <c r="C8479" s="2" t="s">
        <v>140</v>
      </c>
    </row>
    <row r="8480">
      <c r="A8480" s="1">
        <v>43772.479706805556</v>
      </c>
      <c r="B8480" s="2">
        <v>705.0</v>
      </c>
      <c r="C8480" s="2" t="s">
        <v>168</v>
      </c>
      <c r="D8480" s="2" t="s">
        <v>5</v>
      </c>
    </row>
    <row r="8481">
      <c r="A8481" s="1">
        <v>43772.48330623843</v>
      </c>
      <c r="B8481" s="3" t="s">
        <v>119</v>
      </c>
      <c r="C8481" s="2" t="s">
        <v>120</v>
      </c>
    </row>
    <row r="8482">
      <c r="A8482" s="1">
        <v>43772.492441180555</v>
      </c>
      <c r="B8482" s="2">
        <v>614.0</v>
      </c>
      <c r="C8482" s="2" t="s">
        <v>76</v>
      </c>
    </row>
    <row r="8483">
      <c r="A8483" s="1">
        <v>43773.71698003472</v>
      </c>
      <c r="B8483" s="3" t="s">
        <v>186</v>
      </c>
      <c r="C8483" s="2" t="s">
        <v>187</v>
      </c>
    </row>
    <row r="8484">
      <c r="A8484" s="1">
        <v>43773.71774653935</v>
      </c>
      <c r="B8484" s="2">
        <v>673.0</v>
      </c>
      <c r="C8484" s="2" t="s">
        <v>189</v>
      </c>
    </row>
    <row r="8485">
      <c r="A8485" s="1">
        <v>43774.47897997685</v>
      </c>
      <c r="B8485" s="2">
        <v>675.0</v>
      </c>
      <c r="C8485" s="2" t="s">
        <v>222</v>
      </c>
    </row>
    <row r="8486">
      <c r="A8486" s="1">
        <v>43774.47910383102</v>
      </c>
      <c r="B8486" s="2">
        <v>676.0</v>
      </c>
      <c r="C8486" s="2" t="s">
        <v>223</v>
      </c>
    </row>
    <row r="8487">
      <c r="A8487" s="1">
        <v>43774.4791430787</v>
      </c>
      <c r="B8487" s="2">
        <v>677.0</v>
      </c>
      <c r="C8487" s="2" t="s">
        <v>224</v>
      </c>
    </row>
    <row r="8488">
      <c r="A8488" s="1">
        <v>43774.47955667824</v>
      </c>
      <c r="B8488" s="2">
        <v>602.0</v>
      </c>
      <c r="C8488" s="2" t="s">
        <v>131</v>
      </c>
    </row>
    <row r="8489">
      <c r="A8489" s="1">
        <v>43774.48079873843</v>
      </c>
      <c r="B8489" s="3" t="s">
        <v>113</v>
      </c>
      <c r="C8489" s="2" t="s">
        <v>114</v>
      </c>
    </row>
    <row r="8490">
      <c r="A8490" s="1">
        <v>43774.480837546296</v>
      </c>
      <c r="B8490" s="2">
        <v>101.0</v>
      </c>
      <c r="C8490" s="2" t="s">
        <v>108</v>
      </c>
    </row>
    <row r="8491">
      <c r="A8491" s="1">
        <v>43774.48117306713</v>
      </c>
      <c r="B8491" s="2">
        <v>209.0</v>
      </c>
      <c r="C8491" s="2" t="s">
        <v>219</v>
      </c>
    </row>
    <row r="8492">
      <c r="A8492" s="1">
        <v>43774.48131875</v>
      </c>
      <c r="B8492" s="2">
        <v>718.0</v>
      </c>
      <c r="C8492" s="2" t="s">
        <v>105</v>
      </c>
      <c r="D8492" s="2" t="s">
        <v>5</v>
      </c>
    </row>
    <row r="8493">
      <c r="A8493" s="1">
        <v>43774.48135799768</v>
      </c>
      <c r="B8493" s="2">
        <v>719.0</v>
      </c>
      <c r="C8493" s="2" t="s">
        <v>106</v>
      </c>
      <c r="D8493" s="2" t="s">
        <v>5</v>
      </c>
    </row>
    <row r="8494">
      <c r="A8494" s="1">
        <v>43774.48151554399</v>
      </c>
      <c r="B8494" s="2">
        <v>721.0</v>
      </c>
      <c r="C8494" s="2" t="s">
        <v>156</v>
      </c>
      <c r="D8494" s="2" t="s">
        <v>5</v>
      </c>
    </row>
    <row r="8495">
      <c r="A8495" s="1">
        <v>43774.481693368056</v>
      </c>
      <c r="B8495" s="2">
        <v>713.0</v>
      </c>
      <c r="C8495" s="2" t="s">
        <v>121</v>
      </c>
      <c r="D8495" s="2" t="s">
        <v>5</v>
      </c>
    </row>
    <row r="8496">
      <c r="A8496" s="1">
        <v>43774.48172846065</v>
      </c>
      <c r="B8496" s="2">
        <v>714.0</v>
      </c>
      <c r="C8496" s="2" t="s">
        <v>122</v>
      </c>
      <c r="D8496" s="2" t="s">
        <v>5</v>
      </c>
    </row>
    <row r="8497">
      <c r="A8497" s="1">
        <v>43774.56383679398</v>
      </c>
      <c r="B8497" s="2">
        <v>609.0</v>
      </c>
      <c r="C8497" s="2" t="s">
        <v>179</v>
      </c>
    </row>
    <row r="8498">
      <c r="A8498" s="1">
        <v>43779.416461886576</v>
      </c>
      <c r="B8498" s="2">
        <v>252.0</v>
      </c>
      <c r="C8498" s="2" t="s">
        <v>34</v>
      </c>
    </row>
    <row r="8499">
      <c r="A8499" s="1">
        <v>43779.41686616898</v>
      </c>
      <c r="B8499" s="2">
        <v>722.0</v>
      </c>
      <c r="C8499" s="2" t="s">
        <v>25</v>
      </c>
      <c r="D8499" s="2" t="s">
        <v>5</v>
      </c>
    </row>
    <row r="8500">
      <c r="A8500" s="1">
        <v>43779.4171655324</v>
      </c>
      <c r="B8500" s="2">
        <v>736.0</v>
      </c>
      <c r="C8500" s="2" t="s">
        <v>175</v>
      </c>
      <c r="D8500" s="2" t="s">
        <v>5</v>
      </c>
    </row>
    <row r="8501">
      <c r="A8501" s="1">
        <v>43779.41726290509</v>
      </c>
      <c r="B8501" s="2">
        <v>737.0</v>
      </c>
      <c r="C8501" s="2" t="s">
        <v>176</v>
      </c>
      <c r="D8501" s="2" t="s">
        <v>5</v>
      </c>
    </row>
    <row r="8502">
      <c r="A8502" s="1">
        <v>43779.41735390046</v>
      </c>
      <c r="B8502" s="2">
        <v>209.0</v>
      </c>
      <c r="C8502" s="2" t="s">
        <v>219</v>
      </c>
    </row>
    <row r="8503">
      <c r="A8503" s="1">
        <v>43779.417734386574</v>
      </c>
      <c r="B8503" s="2">
        <v>736.0</v>
      </c>
      <c r="C8503" s="2" t="s">
        <v>175</v>
      </c>
      <c r="D8503" s="2" t="s">
        <v>5</v>
      </c>
    </row>
    <row r="8504">
      <c r="A8504" s="1">
        <v>43779.41824</v>
      </c>
      <c r="B8504" s="3" t="s">
        <v>42</v>
      </c>
      <c r="C8504" s="2" t="s">
        <v>43</v>
      </c>
    </row>
    <row r="8505">
      <c r="A8505" s="1">
        <v>43779.418319212964</v>
      </c>
      <c r="B8505" s="2">
        <v>737.0</v>
      </c>
      <c r="C8505" s="2" t="s">
        <v>176</v>
      </c>
      <c r="D8505" s="2" t="s">
        <v>5</v>
      </c>
    </row>
    <row r="8506">
      <c r="A8506" s="1">
        <v>43779.41868369213</v>
      </c>
      <c r="B8506" s="3" t="s">
        <v>159</v>
      </c>
      <c r="C8506" s="2" t="s">
        <v>160</v>
      </c>
    </row>
    <row r="8507">
      <c r="A8507" s="1">
        <v>43779.418768194446</v>
      </c>
      <c r="B8507" s="2">
        <v>655.0</v>
      </c>
      <c r="C8507" s="2" t="s">
        <v>17</v>
      </c>
    </row>
    <row r="8508">
      <c r="A8508" s="1">
        <v>43779.4190822338</v>
      </c>
      <c r="B8508" s="2">
        <v>246.0</v>
      </c>
      <c r="C8508" s="2" t="s">
        <v>26</v>
      </c>
    </row>
    <row r="8509">
      <c r="A8509" s="1">
        <v>43779.422106909726</v>
      </c>
      <c r="B8509" s="2">
        <v>648.0</v>
      </c>
      <c r="C8509" s="2" t="s">
        <v>207</v>
      </c>
    </row>
    <row r="8510">
      <c r="A8510" s="1">
        <v>43779.42238270833</v>
      </c>
      <c r="B8510" s="2">
        <v>635.0</v>
      </c>
      <c r="C8510" s="2" t="s">
        <v>165</v>
      </c>
    </row>
    <row r="8511">
      <c r="A8511" s="1">
        <v>43779.42248962963</v>
      </c>
      <c r="B8511" s="2">
        <v>735.0</v>
      </c>
      <c r="C8511" s="2" t="s">
        <v>37</v>
      </c>
      <c r="D8511" s="2" t="s">
        <v>5</v>
      </c>
    </row>
    <row r="8512">
      <c r="A8512" s="1">
        <v>43779.42312898148</v>
      </c>
      <c r="B8512" s="2">
        <v>707.0</v>
      </c>
      <c r="C8512" s="2" t="s">
        <v>57</v>
      </c>
      <c r="D8512" s="2" t="s">
        <v>5</v>
      </c>
    </row>
    <row r="8513">
      <c r="A8513" s="1">
        <v>43779.42330253472</v>
      </c>
      <c r="B8513" s="2">
        <v>141.0</v>
      </c>
      <c r="C8513" s="2" t="s">
        <v>53</v>
      </c>
    </row>
    <row r="8514">
      <c r="A8514" s="1">
        <v>43779.4234612963</v>
      </c>
      <c r="B8514" s="3" t="s">
        <v>55</v>
      </c>
      <c r="C8514" s="2" t="s">
        <v>56</v>
      </c>
    </row>
    <row r="8515">
      <c r="A8515" s="1">
        <v>43779.42389618055</v>
      </c>
      <c r="B8515" s="2">
        <v>141.0</v>
      </c>
      <c r="C8515" s="2" t="s">
        <v>53</v>
      </c>
    </row>
    <row r="8516">
      <c r="A8516" s="1">
        <v>43779.42444190972</v>
      </c>
      <c r="B8516" s="2">
        <v>729.0</v>
      </c>
      <c r="C8516" s="2" t="s">
        <v>54</v>
      </c>
      <c r="D8516" s="2" t="s">
        <v>5</v>
      </c>
    </row>
    <row r="8517">
      <c r="A8517" s="1">
        <v>43779.42456778935</v>
      </c>
      <c r="B8517" s="2">
        <v>267.0</v>
      </c>
      <c r="C8517" s="2" t="s">
        <v>115</v>
      </c>
    </row>
    <row r="8518">
      <c r="A8518" s="1">
        <v>43779.42560515046</v>
      </c>
      <c r="B8518" s="2">
        <v>160.0</v>
      </c>
      <c r="C8518" s="2" t="s">
        <v>154</v>
      </c>
    </row>
    <row r="8519">
      <c r="A8519" s="1">
        <v>43779.425883749995</v>
      </c>
      <c r="B8519" s="2">
        <v>173.0</v>
      </c>
      <c r="C8519" s="2" t="s">
        <v>24</v>
      </c>
    </row>
    <row r="8520">
      <c r="A8520" s="1">
        <v>43779.42610681713</v>
      </c>
      <c r="B8520" s="2">
        <v>193.0</v>
      </c>
      <c r="C8520" s="2" t="s">
        <v>30</v>
      </c>
    </row>
    <row r="8521">
      <c r="A8521" s="1">
        <v>43779.427053125</v>
      </c>
      <c r="B8521" s="2">
        <v>262.0</v>
      </c>
      <c r="C8521" s="2" t="s">
        <v>28</v>
      </c>
    </row>
    <row r="8522">
      <c r="A8522" s="1">
        <v>43779.42767787037</v>
      </c>
      <c r="B8522" s="2">
        <v>627.0</v>
      </c>
      <c r="C8522" s="2" t="s">
        <v>134</v>
      </c>
    </row>
    <row r="8523">
      <c r="A8523" s="1">
        <v>43779.42795668982</v>
      </c>
      <c r="B8523" s="2">
        <v>253.0</v>
      </c>
      <c r="C8523" s="2" t="s">
        <v>138</v>
      </c>
    </row>
    <row r="8524">
      <c r="A8524" s="1">
        <v>43779.42836428241</v>
      </c>
      <c r="B8524" s="2">
        <v>229.0</v>
      </c>
      <c r="C8524" s="2" t="s">
        <v>86</v>
      </c>
    </row>
    <row r="8525">
      <c r="A8525" s="1">
        <v>43779.42861870371</v>
      </c>
      <c r="B8525" s="2">
        <v>165.0</v>
      </c>
      <c r="C8525" s="2" t="s">
        <v>50</v>
      </c>
    </row>
    <row r="8526">
      <c r="A8526" s="1">
        <v>43779.42906945602</v>
      </c>
      <c r="B8526" s="2">
        <v>229.0</v>
      </c>
      <c r="C8526" s="2" t="s">
        <v>86</v>
      </c>
    </row>
    <row r="8527">
      <c r="A8527" s="1">
        <v>43779.429556435185</v>
      </c>
      <c r="B8527" s="2">
        <v>656.0</v>
      </c>
      <c r="C8527" s="2" t="s">
        <v>144</v>
      </c>
    </row>
    <row r="8528">
      <c r="A8528" s="1">
        <v>43779.430651539355</v>
      </c>
      <c r="B8528" s="2">
        <v>734.0</v>
      </c>
      <c r="C8528" s="2" t="s">
        <v>63</v>
      </c>
      <c r="D8528" s="2" t="s">
        <v>5</v>
      </c>
    </row>
    <row r="8529">
      <c r="A8529" s="1">
        <v>43779.43076457176</v>
      </c>
      <c r="B8529" s="2">
        <v>259.0</v>
      </c>
      <c r="C8529" s="2" t="s">
        <v>66</v>
      </c>
    </row>
    <row r="8530">
      <c r="A8530" s="1">
        <v>43779.430892627315</v>
      </c>
      <c r="B8530" s="2">
        <v>260.0</v>
      </c>
      <c r="C8530" s="2" t="s">
        <v>67</v>
      </c>
    </row>
    <row r="8531">
      <c r="A8531" s="1">
        <v>43779.43108195602</v>
      </c>
      <c r="B8531" s="2">
        <v>723.0</v>
      </c>
      <c r="C8531" s="2" t="s">
        <v>84</v>
      </c>
      <c r="D8531" s="2" t="s">
        <v>5</v>
      </c>
    </row>
    <row r="8532">
      <c r="A8532" s="1">
        <v>43779.43147513889</v>
      </c>
      <c r="B8532" s="2">
        <v>173.0</v>
      </c>
      <c r="C8532" s="2" t="s">
        <v>24</v>
      </c>
    </row>
    <row r="8533">
      <c r="A8533" s="1">
        <v>43779.431479872685</v>
      </c>
      <c r="B8533" s="2">
        <v>611.0</v>
      </c>
      <c r="C8533" s="2" t="s">
        <v>143</v>
      </c>
    </row>
    <row r="8534">
      <c r="A8534" s="1">
        <v>43779.4316678125</v>
      </c>
      <c r="B8534" s="2">
        <v>607.0</v>
      </c>
      <c r="C8534" s="2" t="s">
        <v>68</v>
      </c>
    </row>
    <row r="8535">
      <c r="A8535" s="1">
        <v>43779.43177483796</v>
      </c>
      <c r="B8535" s="2">
        <v>604.0</v>
      </c>
      <c r="C8535" s="2" t="s">
        <v>36</v>
      </c>
    </row>
    <row r="8536">
      <c r="A8536" s="1">
        <v>43779.43199997685</v>
      </c>
      <c r="B8536" s="3" t="s">
        <v>82</v>
      </c>
      <c r="C8536" s="2" t="s">
        <v>83</v>
      </c>
    </row>
    <row r="8537">
      <c r="A8537" s="1">
        <v>43779.432136759264</v>
      </c>
      <c r="B8537" s="3" t="s">
        <v>78</v>
      </c>
      <c r="C8537" s="2" t="s">
        <v>79</v>
      </c>
    </row>
    <row r="8538">
      <c r="A8538" s="1">
        <v>43779.43232997685</v>
      </c>
      <c r="B8538" s="2">
        <v>208.0</v>
      </c>
      <c r="C8538" s="2" t="s">
        <v>182</v>
      </c>
    </row>
    <row r="8539">
      <c r="A8539" s="1">
        <v>43779.433115625</v>
      </c>
      <c r="B8539" s="2">
        <v>173.0</v>
      </c>
      <c r="C8539" s="2" t="s">
        <v>24</v>
      </c>
    </row>
    <row r="8540">
      <c r="A8540" s="1">
        <v>43779.43317532407</v>
      </c>
      <c r="B8540" s="2">
        <v>173.0</v>
      </c>
      <c r="C8540" s="2" t="s">
        <v>24</v>
      </c>
    </row>
    <row r="8541">
      <c r="A8541" s="1">
        <v>43779.433453923615</v>
      </c>
      <c r="B8541" s="3" t="s">
        <v>150</v>
      </c>
      <c r="C8541" s="2" t="s">
        <v>151</v>
      </c>
    </row>
    <row r="8542">
      <c r="A8542" s="1">
        <v>43779.43358131945</v>
      </c>
      <c r="B8542" s="2">
        <v>201.0</v>
      </c>
      <c r="C8542" s="2" t="s">
        <v>70</v>
      </c>
    </row>
    <row r="8543">
      <c r="A8543" s="1">
        <v>43779.433718761575</v>
      </c>
      <c r="B8543" s="2">
        <v>706.0</v>
      </c>
      <c r="C8543" s="2" t="s">
        <v>149</v>
      </c>
      <c r="D8543" s="2" t="s">
        <v>5</v>
      </c>
    </row>
    <row r="8544">
      <c r="A8544" s="1">
        <v>43779.43390333334</v>
      </c>
      <c r="B8544" s="2">
        <v>632.0</v>
      </c>
      <c r="C8544" s="2" t="s">
        <v>146</v>
      </c>
    </row>
    <row r="8545">
      <c r="A8545" s="1">
        <v>43779.433924791665</v>
      </c>
      <c r="B8545" s="2">
        <v>167.0</v>
      </c>
      <c r="C8545" s="2" t="s">
        <v>39</v>
      </c>
    </row>
    <row r="8546">
      <c r="A8546" s="1">
        <v>43779.43424282408</v>
      </c>
      <c r="B8546" s="2">
        <v>706.0</v>
      </c>
      <c r="C8546" s="2" t="s">
        <v>149</v>
      </c>
      <c r="D8546" s="2" t="s">
        <v>5</v>
      </c>
    </row>
    <row r="8547">
      <c r="A8547" s="1">
        <v>43779.434337314815</v>
      </c>
      <c r="B8547" s="2">
        <v>667.0</v>
      </c>
      <c r="C8547" s="2" t="s">
        <v>73</v>
      </c>
    </row>
    <row r="8548">
      <c r="A8548" s="1">
        <v>43779.43455287037</v>
      </c>
      <c r="B8548" s="2">
        <v>238.0</v>
      </c>
      <c r="C8548" s="2" t="s">
        <v>35</v>
      </c>
    </row>
    <row r="8549">
      <c r="A8549" s="1">
        <v>43779.43462013888</v>
      </c>
      <c r="B8549" s="2">
        <v>238.0</v>
      </c>
      <c r="C8549" s="2" t="s">
        <v>35</v>
      </c>
    </row>
    <row r="8550">
      <c r="A8550" s="1">
        <v>43779.43488163194</v>
      </c>
      <c r="B8550" s="3" t="s">
        <v>44</v>
      </c>
      <c r="C8550" s="2" t="s">
        <v>45</v>
      </c>
    </row>
    <row r="8551">
      <c r="A8551" s="1">
        <v>43779.435404351854</v>
      </c>
      <c r="B8551" s="2">
        <v>603.0</v>
      </c>
      <c r="C8551" s="2" t="s">
        <v>40</v>
      </c>
    </row>
    <row r="8552">
      <c r="A8552" s="1">
        <v>43779.43569275463</v>
      </c>
      <c r="B8552" s="2">
        <v>231.0</v>
      </c>
      <c r="C8552" s="2" t="s">
        <v>61</v>
      </c>
    </row>
    <row r="8553">
      <c r="A8553" s="1">
        <v>43779.43606260417</v>
      </c>
      <c r="B8553" s="2">
        <v>614.0</v>
      </c>
      <c r="C8553" s="2" t="s">
        <v>76</v>
      </c>
    </row>
    <row r="8554">
      <c r="A8554" s="1">
        <v>43779.436678935184</v>
      </c>
      <c r="B8554" s="2">
        <v>631.0</v>
      </c>
      <c r="C8554" s="2" t="s">
        <v>178</v>
      </c>
    </row>
    <row r="8555">
      <c r="A8555" s="1">
        <v>43779.43767966435</v>
      </c>
      <c r="B8555" s="2">
        <v>52.0</v>
      </c>
      <c r="C8555" s="2" t="s">
        <v>41</v>
      </c>
    </row>
    <row r="8556">
      <c r="A8556" s="1">
        <v>43779.43792902778</v>
      </c>
      <c r="B8556" s="3" t="s">
        <v>13</v>
      </c>
      <c r="C8556" s="2" t="s">
        <v>14</v>
      </c>
    </row>
    <row r="8557">
      <c r="A8557" s="1">
        <v>43779.437930625005</v>
      </c>
      <c r="B8557" s="3" t="s">
        <v>74</v>
      </c>
      <c r="C8557" s="2" t="s">
        <v>75</v>
      </c>
    </row>
    <row r="8558">
      <c r="A8558" s="1">
        <v>43779.43795523148</v>
      </c>
      <c r="B8558" s="2">
        <v>602.0</v>
      </c>
      <c r="C8558" s="2" t="s">
        <v>131</v>
      </c>
    </row>
    <row r="8559">
      <c r="A8559" s="1">
        <v>43779.43814657407</v>
      </c>
      <c r="B8559" s="3" t="s">
        <v>13</v>
      </c>
      <c r="C8559" s="2" t="s">
        <v>14</v>
      </c>
    </row>
    <row r="8560">
      <c r="A8560" s="1">
        <v>43779.438216215276</v>
      </c>
      <c r="B8560" s="2">
        <v>613.0</v>
      </c>
      <c r="C8560" s="2" t="s">
        <v>124</v>
      </c>
    </row>
    <row r="8561">
      <c r="A8561" s="1">
        <v>43779.438411863426</v>
      </c>
      <c r="B8561" s="2">
        <v>740.0</v>
      </c>
      <c r="C8561" s="2" t="s">
        <v>221</v>
      </c>
      <c r="D8561" s="2" t="s">
        <v>5</v>
      </c>
    </row>
    <row r="8562">
      <c r="A8562" s="1">
        <v>43779.440062939815</v>
      </c>
      <c r="B8562" s="3" t="s">
        <v>126</v>
      </c>
      <c r="C8562" s="2" t="s">
        <v>127</v>
      </c>
    </row>
    <row r="8563">
      <c r="A8563" s="1">
        <v>43779.44330625</v>
      </c>
      <c r="B8563" s="2">
        <v>611.0</v>
      </c>
      <c r="C8563" s="2" t="s">
        <v>143</v>
      </c>
    </row>
    <row r="8564">
      <c r="A8564" s="1">
        <v>43779.44396546297</v>
      </c>
      <c r="B8564" s="2">
        <v>124.0</v>
      </c>
      <c r="C8564" s="2" t="s">
        <v>107</v>
      </c>
    </row>
    <row r="8565">
      <c r="A8565" s="1">
        <v>43779.444237222226</v>
      </c>
      <c r="B8565" s="2">
        <v>257.0</v>
      </c>
      <c r="C8565" s="2" t="s">
        <v>27</v>
      </c>
    </row>
    <row r="8566">
      <c r="A8566" s="1">
        <v>43779.445309421295</v>
      </c>
      <c r="B8566" s="3" t="s">
        <v>113</v>
      </c>
      <c r="C8566" s="2" t="s">
        <v>114</v>
      </c>
    </row>
    <row r="8567">
      <c r="A8567" s="1">
        <v>43779.44539113426</v>
      </c>
      <c r="B8567" s="2">
        <v>101.0</v>
      </c>
      <c r="C8567" s="2" t="s">
        <v>108</v>
      </c>
    </row>
    <row r="8568">
      <c r="A8568" s="1">
        <v>43779.44559268518</v>
      </c>
      <c r="B8568" s="2">
        <v>101.0</v>
      </c>
      <c r="C8568" s="2" t="s">
        <v>108</v>
      </c>
    </row>
    <row r="8569">
      <c r="A8569" s="1">
        <v>43779.44566106482</v>
      </c>
      <c r="B8569" s="3" t="s">
        <v>103</v>
      </c>
      <c r="C8569" s="2" t="s">
        <v>104</v>
      </c>
    </row>
    <row r="8570">
      <c r="A8570" s="1">
        <v>43779.44575585648</v>
      </c>
      <c r="B8570" s="2">
        <v>718.0</v>
      </c>
      <c r="C8570" s="2" t="s">
        <v>105</v>
      </c>
      <c r="D8570" s="2" t="s">
        <v>5</v>
      </c>
    </row>
    <row r="8571">
      <c r="A8571" s="1">
        <v>43779.44581837963</v>
      </c>
      <c r="B8571" s="2">
        <v>719.0</v>
      </c>
      <c r="C8571" s="2" t="s">
        <v>106</v>
      </c>
      <c r="D8571" s="2" t="s">
        <v>5</v>
      </c>
    </row>
    <row r="8572">
      <c r="A8572" s="1">
        <v>43779.44679780093</v>
      </c>
      <c r="B8572" s="2">
        <v>673.0</v>
      </c>
      <c r="C8572" s="2" t="s">
        <v>189</v>
      </c>
    </row>
    <row r="8573">
      <c r="A8573" s="1">
        <v>43779.451061458334</v>
      </c>
      <c r="B8573" s="2">
        <v>643.0</v>
      </c>
      <c r="C8573" s="2" t="s">
        <v>166</v>
      </c>
    </row>
    <row r="8574">
      <c r="A8574" s="1">
        <v>43779.45366136574</v>
      </c>
      <c r="B8574" s="2">
        <v>126.0</v>
      </c>
      <c r="C8574" s="2" t="s">
        <v>87</v>
      </c>
    </row>
    <row r="8575">
      <c r="A8575" s="1">
        <v>43779.454317615746</v>
      </c>
      <c r="B8575" s="2">
        <v>268.0</v>
      </c>
      <c r="C8575" s="2" t="s">
        <v>205</v>
      </c>
    </row>
    <row r="8576">
      <c r="A8576" s="1">
        <v>43779.45510633102</v>
      </c>
      <c r="B8576" s="3" t="s">
        <v>94</v>
      </c>
      <c r="C8576" s="2" t="s">
        <v>95</v>
      </c>
    </row>
    <row r="8577">
      <c r="A8577" s="1">
        <v>43779.455372743054</v>
      </c>
      <c r="B8577" s="2">
        <v>702.0</v>
      </c>
      <c r="C8577" s="2" t="s">
        <v>96</v>
      </c>
      <c r="D8577" s="2" t="s">
        <v>5</v>
      </c>
    </row>
    <row r="8578">
      <c r="A8578" s="1">
        <v>43779.45557813658</v>
      </c>
      <c r="B8578" s="2">
        <v>268.0</v>
      </c>
      <c r="C8578" s="2" t="s">
        <v>205</v>
      </c>
    </row>
    <row r="8579">
      <c r="A8579" s="1">
        <v>43779.45571984954</v>
      </c>
      <c r="B8579" s="2">
        <v>126.0</v>
      </c>
      <c r="C8579" s="2" t="s">
        <v>87</v>
      </c>
    </row>
    <row r="8580">
      <c r="A8580" s="1">
        <v>43781.42387915509</v>
      </c>
      <c r="B8580" s="2">
        <v>655.0</v>
      </c>
      <c r="C8580" s="2" t="s">
        <v>17</v>
      </c>
    </row>
    <row r="8581">
      <c r="A8581" s="1">
        <v>43781.424348773144</v>
      </c>
      <c r="B8581" s="3" t="s">
        <v>22</v>
      </c>
      <c r="C8581" s="2" t="s">
        <v>23</v>
      </c>
    </row>
    <row r="8582">
      <c r="A8582" s="1">
        <v>43781.424944467595</v>
      </c>
      <c r="B8582" s="3" t="s">
        <v>111</v>
      </c>
      <c r="C8582" s="2" t="s">
        <v>112</v>
      </c>
    </row>
    <row r="8583">
      <c r="A8583" s="1">
        <v>43781.42523497685</v>
      </c>
      <c r="B8583" s="3" t="s">
        <v>32</v>
      </c>
      <c r="C8583" s="2" t="s">
        <v>33</v>
      </c>
    </row>
    <row r="8584">
      <c r="A8584" s="1">
        <v>43781.42637730324</v>
      </c>
      <c r="B8584" s="2">
        <v>675.0</v>
      </c>
      <c r="C8584" s="2" t="s">
        <v>222</v>
      </c>
    </row>
    <row r="8585">
      <c r="A8585" s="1">
        <v>43781.42674890046</v>
      </c>
      <c r="B8585" s="2">
        <v>619.0</v>
      </c>
      <c r="C8585" s="2" t="s">
        <v>46</v>
      </c>
    </row>
    <row r="8586">
      <c r="A8586" s="1">
        <v>43781.427024351855</v>
      </c>
      <c r="B8586" s="2">
        <v>618.0</v>
      </c>
      <c r="C8586" s="2" t="s">
        <v>147</v>
      </c>
    </row>
    <row r="8587">
      <c r="A8587" s="1">
        <v>43781.427476909725</v>
      </c>
      <c r="B8587" s="2">
        <v>214.0</v>
      </c>
      <c r="C8587" s="2" t="s">
        <v>47</v>
      </c>
    </row>
    <row r="8588">
      <c r="A8588" s="1">
        <v>43781.427720277774</v>
      </c>
      <c r="B8588" s="2">
        <v>246.0</v>
      </c>
      <c r="C8588" s="2" t="s">
        <v>26</v>
      </c>
    </row>
    <row r="8589">
      <c r="A8589" s="1">
        <v>43781.427960393514</v>
      </c>
      <c r="B8589" s="3" t="s">
        <v>88</v>
      </c>
      <c r="C8589" s="2" t="s">
        <v>89</v>
      </c>
    </row>
    <row r="8590">
      <c r="A8590" s="1">
        <v>43781.42865284722</v>
      </c>
      <c r="B8590" s="3" t="s">
        <v>11</v>
      </c>
      <c r="C8590" s="2" t="s">
        <v>12</v>
      </c>
    </row>
    <row r="8591">
      <c r="A8591" s="1">
        <v>43781.42917581019</v>
      </c>
      <c r="B8591" s="2">
        <v>738.0</v>
      </c>
      <c r="C8591" s="2" t="s">
        <v>161</v>
      </c>
      <c r="D8591" s="2" t="s">
        <v>5</v>
      </c>
    </row>
    <row r="8592">
      <c r="A8592" s="1">
        <v>43781.44440746528</v>
      </c>
      <c r="B8592" s="3" t="s">
        <v>117</v>
      </c>
      <c r="C8592" s="2" t="s">
        <v>118</v>
      </c>
    </row>
    <row r="8593">
      <c r="A8593" s="1">
        <v>43781.44448582176</v>
      </c>
      <c r="B8593" s="3" t="s">
        <v>119</v>
      </c>
      <c r="C8593" s="2" t="s">
        <v>120</v>
      </c>
    </row>
    <row r="8594">
      <c r="A8594" s="1">
        <v>43781.44551421296</v>
      </c>
      <c r="B8594" s="2">
        <v>201.0</v>
      </c>
      <c r="C8594" s="2" t="s">
        <v>70</v>
      </c>
    </row>
    <row r="8595">
      <c r="A8595" s="1">
        <v>43781.446788981484</v>
      </c>
      <c r="B8595" s="2">
        <v>713.0</v>
      </c>
      <c r="C8595" s="2" t="s">
        <v>121</v>
      </c>
      <c r="D8595" s="2" t="s">
        <v>5</v>
      </c>
    </row>
    <row r="8596">
      <c r="A8596" s="1">
        <v>43781.44684665509</v>
      </c>
      <c r="B8596" s="2">
        <v>714.0</v>
      </c>
      <c r="C8596" s="2" t="s">
        <v>122</v>
      </c>
      <c r="D8596" s="2" t="s">
        <v>5</v>
      </c>
    </row>
    <row r="8597">
      <c r="A8597" s="1">
        <v>43784.65216075232</v>
      </c>
      <c r="B8597" s="2">
        <v>714.0</v>
      </c>
      <c r="C8597" s="2" t="s">
        <v>122</v>
      </c>
      <c r="D8597" s="2" t="s">
        <v>5</v>
      </c>
    </row>
    <row r="8598">
      <c r="A8598" s="1">
        <v>43791.836146643516</v>
      </c>
      <c r="B8598" s="2">
        <v>611.0</v>
      </c>
      <c r="C8598" s="2" t="s">
        <v>143</v>
      </c>
    </row>
    <row r="8599">
      <c r="A8599" s="1">
        <v>43793.41698434028</v>
      </c>
      <c r="B8599" s="2">
        <v>141.0</v>
      </c>
      <c r="C8599" s="2" t="s">
        <v>53</v>
      </c>
    </row>
    <row r="8600">
      <c r="A8600" s="1">
        <v>43793.41763947917</v>
      </c>
      <c r="B8600" s="2">
        <v>729.0</v>
      </c>
      <c r="C8600" s="2" t="s">
        <v>54</v>
      </c>
      <c r="D8600" s="2" t="s">
        <v>5</v>
      </c>
    </row>
    <row r="8601">
      <c r="A8601" s="1">
        <v>43793.417732870366</v>
      </c>
      <c r="B8601" s="2">
        <v>141.0</v>
      </c>
      <c r="C8601" s="2" t="s">
        <v>53</v>
      </c>
    </row>
    <row r="8602">
      <c r="A8602" s="1">
        <v>43793.41788439815</v>
      </c>
      <c r="B8602" s="2">
        <v>707.0</v>
      </c>
      <c r="C8602" s="2" t="s">
        <v>57</v>
      </c>
      <c r="D8602" s="2" t="s">
        <v>5</v>
      </c>
    </row>
    <row r="8603">
      <c r="A8603" s="1">
        <v>43793.417996759264</v>
      </c>
      <c r="B8603" s="3" t="s">
        <v>55</v>
      </c>
      <c r="C8603" s="2" t="s">
        <v>56</v>
      </c>
    </row>
    <row r="8604">
      <c r="A8604" s="1">
        <v>43793.41975901621</v>
      </c>
      <c r="B8604" s="3" t="s">
        <v>80</v>
      </c>
      <c r="C8604" s="2" t="s">
        <v>81</v>
      </c>
    </row>
    <row r="8605">
      <c r="A8605" s="1">
        <v>43793.41981839121</v>
      </c>
      <c r="B8605" s="3" t="s">
        <v>51</v>
      </c>
      <c r="C8605" s="2" t="s">
        <v>52</v>
      </c>
    </row>
    <row r="8606">
      <c r="A8606" s="1">
        <v>43793.41990145833</v>
      </c>
      <c r="B8606" s="2">
        <v>238.0</v>
      </c>
      <c r="C8606" s="2" t="s">
        <v>35</v>
      </c>
    </row>
    <row r="8607">
      <c r="A8607" s="1">
        <v>43793.42009759259</v>
      </c>
      <c r="B8607" s="2">
        <v>661.0</v>
      </c>
      <c r="C8607" s="2" t="s">
        <v>153</v>
      </c>
    </row>
    <row r="8608">
      <c r="A8608" s="1">
        <v>43793.42037699074</v>
      </c>
      <c r="B8608" s="2">
        <v>717.0</v>
      </c>
      <c r="C8608" s="2" t="s">
        <v>152</v>
      </c>
      <c r="D8608" s="2" t="s">
        <v>5</v>
      </c>
    </row>
    <row r="8609">
      <c r="A8609" s="1">
        <v>43793.42044015046</v>
      </c>
      <c r="B8609" s="2">
        <v>208.0</v>
      </c>
      <c r="C8609" s="2" t="s">
        <v>182</v>
      </c>
    </row>
    <row r="8610">
      <c r="A8610" s="1">
        <v>43793.420565023145</v>
      </c>
      <c r="B8610" s="2">
        <v>603.0</v>
      </c>
      <c r="C8610" s="2" t="s">
        <v>40</v>
      </c>
    </row>
    <row r="8611">
      <c r="A8611" s="1">
        <v>43793.42063893519</v>
      </c>
      <c r="B8611" s="2">
        <v>167.0</v>
      </c>
      <c r="C8611" s="2" t="s">
        <v>39</v>
      </c>
    </row>
    <row r="8612">
      <c r="A8612" s="1">
        <v>43793.42072486111</v>
      </c>
      <c r="B8612" s="2">
        <v>735.0</v>
      </c>
      <c r="C8612" s="2" t="s">
        <v>37</v>
      </c>
      <c r="D8612" s="2" t="s">
        <v>5</v>
      </c>
    </row>
    <row r="8613">
      <c r="A8613" s="1">
        <v>43793.4207734838</v>
      </c>
      <c r="B8613" s="2">
        <v>604.0</v>
      </c>
      <c r="C8613" s="2" t="s">
        <v>36</v>
      </c>
    </row>
    <row r="8614">
      <c r="A8614" s="1">
        <v>43793.420854236116</v>
      </c>
      <c r="B8614" s="2">
        <v>655.0</v>
      </c>
      <c r="C8614" s="2" t="s">
        <v>17</v>
      </c>
    </row>
    <row r="8615">
      <c r="A8615" s="1">
        <v>43793.42225508102</v>
      </c>
      <c r="B8615" s="2">
        <v>165.0</v>
      </c>
      <c r="C8615" s="2" t="s">
        <v>50</v>
      </c>
    </row>
    <row r="8616">
      <c r="A8616" s="1">
        <v>43793.42242173611</v>
      </c>
      <c r="B8616" s="2">
        <v>618.0</v>
      </c>
      <c r="C8616" s="2" t="s">
        <v>147</v>
      </c>
    </row>
    <row r="8617">
      <c r="A8617" s="1">
        <v>43793.43477025463</v>
      </c>
      <c r="B8617" s="2">
        <v>653.0</v>
      </c>
      <c r="C8617" s="2" t="s">
        <v>77</v>
      </c>
    </row>
    <row r="8618">
      <c r="A8618" s="1">
        <v>43793.43539298611</v>
      </c>
      <c r="B8618" s="3" t="s">
        <v>150</v>
      </c>
      <c r="C8618" s="2" t="s">
        <v>151</v>
      </c>
    </row>
    <row r="8619">
      <c r="A8619" s="1">
        <v>43793.43587204861</v>
      </c>
      <c r="B8619" s="2">
        <v>667.0</v>
      </c>
      <c r="C8619" s="2" t="s">
        <v>73</v>
      </c>
    </row>
    <row r="8620">
      <c r="A8620" s="1">
        <v>43793.436275370375</v>
      </c>
      <c r="B8620" s="2">
        <v>231.0</v>
      </c>
      <c r="C8620" s="2" t="s">
        <v>61</v>
      </c>
    </row>
    <row r="8621">
      <c r="A8621" s="1">
        <v>43793.436455636576</v>
      </c>
      <c r="B8621" s="3" t="s">
        <v>42</v>
      </c>
      <c r="C8621" s="2" t="s">
        <v>43</v>
      </c>
    </row>
    <row r="8622">
      <c r="A8622" s="1">
        <v>43793.436455636576</v>
      </c>
      <c r="B8622" s="2">
        <v>740.0</v>
      </c>
      <c r="C8622" s="2" t="s">
        <v>221</v>
      </c>
      <c r="D8622" s="2" t="s">
        <v>5</v>
      </c>
    </row>
    <row r="8623">
      <c r="A8623" s="1">
        <v>43793.4364621412</v>
      </c>
      <c r="B8623" s="2">
        <v>648.0</v>
      </c>
      <c r="C8623" s="2" t="s">
        <v>207</v>
      </c>
    </row>
    <row r="8624">
      <c r="A8624" s="1">
        <v>43793.436603738424</v>
      </c>
      <c r="B8624" s="2">
        <v>649.0</v>
      </c>
      <c r="C8624" s="2" t="s">
        <v>177</v>
      </c>
    </row>
    <row r="8625">
      <c r="A8625" s="1">
        <v>43793.4366121875</v>
      </c>
      <c r="B8625" s="2">
        <v>723.0</v>
      </c>
      <c r="C8625" s="2" t="s">
        <v>84</v>
      </c>
      <c r="D8625" s="2" t="s">
        <v>5</v>
      </c>
    </row>
    <row r="8626">
      <c r="A8626" s="1">
        <v>43793.436715821765</v>
      </c>
      <c r="B8626" s="2">
        <v>736.0</v>
      </c>
      <c r="C8626" s="2" t="s">
        <v>175</v>
      </c>
      <c r="D8626" s="2" t="s">
        <v>5</v>
      </c>
    </row>
    <row r="8627">
      <c r="A8627" s="1">
        <v>43793.43681313658</v>
      </c>
      <c r="B8627" s="2">
        <v>737.0</v>
      </c>
      <c r="C8627" s="2" t="s">
        <v>176</v>
      </c>
      <c r="D8627" s="2" t="s">
        <v>5</v>
      </c>
    </row>
    <row r="8628">
      <c r="A8628" s="1">
        <v>43793.436938680556</v>
      </c>
      <c r="B8628" s="2">
        <v>706.0</v>
      </c>
      <c r="C8628" s="2" t="s">
        <v>149</v>
      </c>
      <c r="D8628" s="2" t="s">
        <v>5</v>
      </c>
    </row>
    <row r="8629">
      <c r="A8629" s="1">
        <v>43793.43695354166</v>
      </c>
      <c r="B8629" s="2">
        <v>602.0</v>
      </c>
      <c r="C8629" s="2" t="s">
        <v>131</v>
      </c>
    </row>
    <row r="8630">
      <c r="A8630" s="1">
        <v>43793.43711438657</v>
      </c>
      <c r="B8630" s="2">
        <v>201.0</v>
      </c>
      <c r="C8630" s="2" t="s">
        <v>70</v>
      </c>
    </row>
    <row r="8631">
      <c r="A8631" s="1">
        <v>43793.437315312505</v>
      </c>
      <c r="B8631" s="3" t="s">
        <v>44</v>
      </c>
      <c r="C8631" s="2" t="s">
        <v>45</v>
      </c>
    </row>
    <row r="8632">
      <c r="A8632" s="1">
        <v>43793.43738376157</v>
      </c>
      <c r="B8632" s="2">
        <v>677.0</v>
      </c>
      <c r="C8632" s="2" t="s">
        <v>224</v>
      </c>
    </row>
    <row r="8633">
      <c r="A8633" s="1">
        <v>43793.43744987268</v>
      </c>
      <c r="B8633" s="2">
        <v>193.0</v>
      </c>
      <c r="C8633" s="2" t="s">
        <v>30</v>
      </c>
    </row>
    <row r="8634">
      <c r="A8634" s="1">
        <v>43793.43753549768</v>
      </c>
      <c r="B8634" s="2">
        <v>643.0</v>
      </c>
      <c r="C8634" s="2" t="s">
        <v>166</v>
      </c>
    </row>
    <row r="8635">
      <c r="A8635" s="1">
        <v>43793.43763015047</v>
      </c>
      <c r="B8635" s="2">
        <v>262.0</v>
      </c>
      <c r="C8635" s="2" t="s">
        <v>28</v>
      </c>
    </row>
    <row r="8636">
      <c r="A8636" s="1">
        <v>43793.437763194444</v>
      </c>
      <c r="B8636" s="2">
        <v>613.0</v>
      </c>
      <c r="C8636" s="2" t="s">
        <v>124</v>
      </c>
    </row>
    <row r="8637">
      <c r="A8637" s="1">
        <v>43793.43780487269</v>
      </c>
      <c r="B8637" s="2">
        <v>210.0</v>
      </c>
      <c r="C8637" s="2" t="s">
        <v>64</v>
      </c>
    </row>
    <row r="8638">
      <c r="A8638" s="1">
        <v>43793.43785850695</v>
      </c>
      <c r="B8638" s="2">
        <v>611.0</v>
      </c>
      <c r="C8638" s="2" t="s">
        <v>143</v>
      </c>
    </row>
    <row r="8639">
      <c r="A8639" s="1">
        <v>43793.43791291666</v>
      </c>
      <c r="B8639" s="2">
        <v>158.0</v>
      </c>
      <c r="C8639" s="2" t="s">
        <v>62</v>
      </c>
    </row>
    <row r="8640">
      <c r="A8640" s="1">
        <v>43793.43802782407</v>
      </c>
      <c r="B8640" s="2">
        <v>172.0</v>
      </c>
      <c r="C8640" s="2" t="s">
        <v>65</v>
      </c>
    </row>
    <row r="8641">
      <c r="A8641" s="1">
        <v>43793.438062395835</v>
      </c>
      <c r="B8641" s="2">
        <v>607.0</v>
      </c>
      <c r="C8641" s="2" t="s">
        <v>68</v>
      </c>
    </row>
    <row r="8642">
      <c r="A8642" s="1">
        <v>43793.438286122684</v>
      </c>
      <c r="B8642" s="3" t="s">
        <v>88</v>
      </c>
      <c r="C8642" s="2" t="s">
        <v>89</v>
      </c>
    </row>
    <row r="8643">
      <c r="A8643" s="1">
        <v>43793.43830282407</v>
      </c>
      <c r="B8643" s="2">
        <v>673.0</v>
      </c>
      <c r="C8643" s="2" t="s">
        <v>189</v>
      </c>
    </row>
    <row r="8644">
      <c r="A8644" s="1">
        <v>43793.43838952546</v>
      </c>
      <c r="B8644" s="3" t="s">
        <v>159</v>
      </c>
      <c r="C8644" s="2" t="s">
        <v>160</v>
      </c>
    </row>
    <row r="8645">
      <c r="A8645" s="1">
        <v>43793.43848966435</v>
      </c>
      <c r="B8645" s="2">
        <v>257.0</v>
      </c>
      <c r="C8645" s="2" t="s">
        <v>27</v>
      </c>
    </row>
    <row r="8646">
      <c r="A8646" s="1">
        <v>43793.43893255787</v>
      </c>
      <c r="B8646" s="3" t="s">
        <v>82</v>
      </c>
      <c r="C8646" s="2" t="s">
        <v>83</v>
      </c>
    </row>
    <row r="8647">
      <c r="A8647" s="1">
        <v>43793.43898770833</v>
      </c>
      <c r="B8647" s="3" t="s">
        <v>82</v>
      </c>
      <c r="C8647" s="2" t="s">
        <v>83</v>
      </c>
    </row>
    <row r="8648">
      <c r="A8648" s="1">
        <v>43793.4390278125</v>
      </c>
      <c r="B8648" s="3" t="s">
        <v>78</v>
      </c>
      <c r="C8648" s="2" t="s">
        <v>79</v>
      </c>
    </row>
    <row r="8649">
      <c r="A8649" s="1">
        <v>43793.43921662037</v>
      </c>
      <c r="B8649" s="2">
        <v>175.0</v>
      </c>
      <c r="C8649" s="2" t="s">
        <v>69</v>
      </c>
    </row>
    <row r="8650">
      <c r="A8650" s="1">
        <v>43793.43923127315</v>
      </c>
      <c r="B8650" s="2">
        <v>632.0</v>
      </c>
      <c r="C8650" s="2" t="s">
        <v>146</v>
      </c>
    </row>
    <row r="8651">
      <c r="A8651" s="1">
        <v>43793.43956719908</v>
      </c>
      <c r="B8651" s="2">
        <v>126.0</v>
      </c>
      <c r="C8651" s="2" t="s">
        <v>87</v>
      </c>
    </row>
    <row r="8652">
      <c r="A8652" s="1">
        <v>43793.43981655093</v>
      </c>
      <c r="B8652" s="2">
        <v>268.0</v>
      </c>
      <c r="C8652" s="2" t="s">
        <v>205</v>
      </c>
    </row>
    <row r="8653">
      <c r="A8653" s="1">
        <v>43793.44525844908</v>
      </c>
      <c r="B8653" s="3" t="s">
        <v>74</v>
      </c>
      <c r="C8653" s="2" t="s">
        <v>75</v>
      </c>
    </row>
    <row r="8654">
      <c r="A8654" s="1">
        <v>43793.457748553235</v>
      </c>
      <c r="B8654" s="2">
        <v>244.0</v>
      </c>
      <c r="C8654" s="2" t="s">
        <v>38</v>
      </c>
    </row>
    <row r="8655">
      <c r="A8655" s="1">
        <v>43793.45816517361</v>
      </c>
      <c r="B8655" s="3" t="s">
        <v>94</v>
      </c>
      <c r="C8655" s="2" t="s">
        <v>95</v>
      </c>
    </row>
    <row r="8656">
      <c r="A8656" s="1">
        <v>43793.45845450231</v>
      </c>
      <c r="B8656" s="2">
        <v>198.0</v>
      </c>
      <c r="C8656" s="2" t="s">
        <v>97</v>
      </c>
    </row>
    <row r="8657">
      <c r="A8657" s="1">
        <v>43793.45863613426</v>
      </c>
      <c r="B8657" s="3" t="s">
        <v>111</v>
      </c>
      <c r="C8657" s="2" t="s">
        <v>112</v>
      </c>
    </row>
    <row r="8658">
      <c r="A8658" s="1">
        <v>43793.45880314815</v>
      </c>
      <c r="B8658" s="2">
        <v>101.0</v>
      </c>
      <c r="C8658" s="2" t="s">
        <v>108</v>
      </c>
    </row>
    <row r="8659">
      <c r="A8659" s="1">
        <v>43793.45902084491</v>
      </c>
      <c r="B8659" s="3" t="s">
        <v>113</v>
      </c>
      <c r="C8659" s="2" t="s">
        <v>114</v>
      </c>
    </row>
    <row r="8660">
      <c r="A8660" s="1">
        <v>43793.4592003125</v>
      </c>
      <c r="B8660" s="2">
        <v>229.0</v>
      </c>
      <c r="C8660" s="2" t="s">
        <v>86</v>
      </c>
    </row>
    <row r="8661">
      <c r="A8661" s="1">
        <v>43794.67621244213</v>
      </c>
      <c r="B8661" s="3" t="s">
        <v>88</v>
      </c>
      <c r="C8661" s="2" t="s">
        <v>89</v>
      </c>
    </row>
    <row r="8662">
      <c r="A8662" s="1">
        <v>43794.68003171297</v>
      </c>
      <c r="B8662" s="2">
        <v>723.0</v>
      </c>
      <c r="C8662" s="2" t="s">
        <v>84</v>
      </c>
      <c r="D8662" s="2" t="s">
        <v>5</v>
      </c>
    </row>
    <row r="8663">
      <c r="A8663" s="1">
        <v>43794.68020609954</v>
      </c>
      <c r="B8663" s="2">
        <v>723.0</v>
      </c>
      <c r="C8663" s="2" t="s">
        <v>84</v>
      </c>
      <c r="D8663" s="2" t="s">
        <v>5</v>
      </c>
    </row>
    <row r="8664">
      <c r="A8664" s="1">
        <v>43794.68289703704</v>
      </c>
      <c r="B8664" s="2">
        <v>734.0</v>
      </c>
      <c r="C8664" s="2" t="s">
        <v>63</v>
      </c>
      <c r="D8664" s="2" t="s">
        <v>5</v>
      </c>
    </row>
    <row r="8665">
      <c r="A8665" s="1">
        <v>43794.68332699074</v>
      </c>
      <c r="B8665" s="2">
        <v>734.0</v>
      </c>
      <c r="C8665" s="2" t="s">
        <v>63</v>
      </c>
      <c r="D8665" s="2" t="s">
        <v>5</v>
      </c>
    </row>
    <row r="8666">
      <c r="A8666" s="1">
        <v>43794.69135390046</v>
      </c>
      <c r="B8666" s="2">
        <v>614.0</v>
      </c>
      <c r="C8666" s="2" t="s">
        <v>76</v>
      </c>
    </row>
    <row r="8667">
      <c r="A8667" s="1">
        <v>43794.6916980324</v>
      </c>
      <c r="B8667" s="3" t="s">
        <v>22</v>
      </c>
      <c r="C8667" s="2" t="s">
        <v>23</v>
      </c>
    </row>
    <row r="8668">
      <c r="A8668" s="1">
        <v>43794.69201506945</v>
      </c>
      <c r="B8668" s="2">
        <v>675.0</v>
      </c>
      <c r="C8668" s="2" t="s">
        <v>222</v>
      </c>
    </row>
    <row r="8669">
      <c r="A8669" s="1">
        <v>43794.692583993055</v>
      </c>
      <c r="B8669" s="2">
        <v>52.0</v>
      </c>
      <c r="C8669" s="2" t="s">
        <v>41</v>
      </c>
    </row>
    <row r="8670">
      <c r="A8670" s="1">
        <v>43794.693037476856</v>
      </c>
      <c r="B8670" s="2">
        <v>237.0</v>
      </c>
      <c r="C8670" s="2" t="s">
        <v>140</v>
      </c>
    </row>
    <row r="8671">
      <c r="A8671" s="1">
        <v>43794.693490798614</v>
      </c>
      <c r="B8671" s="2">
        <v>124.0</v>
      </c>
      <c r="C8671" s="2" t="s">
        <v>107</v>
      </c>
    </row>
    <row r="8672">
      <c r="A8672" s="1">
        <v>43794.69384287037</v>
      </c>
      <c r="B8672" s="2">
        <v>701.0</v>
      </c>
      <c r="C8672" s="2" t="s">
        <v>93</v>
      </c>
      <c r="D8672" s="2" t="s">
        <v>5</v>
      </c>
    </row>
    <row r="8673">
      <c r="A8673" s="1">
        <v>43794.69387769676</v>
      </c>
      <c r="B8673" s="2">
        <v>702.0</v>
      </c>
      <c r="C8673" s="2" t="s">
        <v>96</v>
      </c>
      <c r="D8673" s="2" t="s">
        <v>5</v>
      </c>
    </row>
    <row r="8674">
      <c r="A8674" s="1">
        <v>43794.694101064815</v>
      </c>
      <c r="B8674" s="2">
        <v>718.0</v>
      </c>
      <c r="C8674" s="2" t="s">
        <v>105</v>
      </c>
      <c r="D8674" s="2" t="s">
        <v>5</v>
      </c>
    </row>
    <row r="8675">
      <c r="A8675" s="1">
        <v>43794.694138287035</v>
      </c>
      <c r="B8675" s="2">
        <v>719.0</v>
      </c>
      <c r="C8675" s="2" t="s">
        <v>106</v>
      </c>
      <c r="D8675" s="2" t="s">
        <v>5</v>
      </c>
    </row>
    <row r="8676">
      <c r="A8676" s="1">
        <v>43794.69448431713</v>
      </c>
      <c r="B8676" s="2">
        <v>253.0</v>
      </c>
      <c r="C8676" s="2" t="s">
        <v>138</v>
      </c>
    </row>
    <row r="8677">
      <c r="A8677" s="1">
        <v>43794.694753703705</v>
      </c>
      <c r="B8677" s="3" t="s">
        <v>103</v>
      </c>
      <c r="C8677" s="2" t="s">
        <v>104</v>
      </c>
    </row>
    <row r="8678">
      <c r="A8678" s="1">
        <v>43794.6957494213</v>
      </c>
      <c r="B8678" s="2">
        <v>618.0</v>
      </c>
      <c r="C8678" s="2" t="s">
        <v>147</v>
      </c>
    </row>
    <row r="8679">
      <c r="A8679" s="1">
        <v>43794.69627071759</v>
      </c>
      <c r="B8679" s="2">
        <v>721.0</v>
      </c>
      <c r="C8679" s="2" t="s">
        <v>156</v>
      </c>
      <c r="D8679" s="2" t="s">
        <v>5</v>
      </c>
    </row>
    <row r="8680">
      <c r="A8680" s="1">
        <v>43794.69683230324</v>
      </c>
      <c r="B8680" s="2">
        <v>259.0</v>
      </c>
      <c r="C8680" s="2" t="s">
        <v>66</v>
      </c>
    </row>
    <row r="8681">
      <c r="A8681" s="1">
        <v>43794.69685604167</v>
      </c>
      <c r="B8681" s="2">
        <v>260.0</v>
      </c>
      <c r="C8681" s="2" t="s">
        <v>67</v>
      </c>
    </row>
    <row r="8682">
      <c r="A8682" s="1">
        <v>43794.696894733795</v>
      </c>
      <c r="B8682" s="2">
        <v>734.0</v>
      </c>
      <c r="C8682" s="2" t="s">
        <v>63</v>
      </c>
      <c r="D8682" s="2" t="s">
        <v>5</v>
      </c>
    </row>
    <row r="8683">
      <c r="A8683" s="1">
        <v>43794.69712616898</v>
      </c>
      <c r="B8683" s="3" t="s">
        <v>119</v>
      </c>
      <c r="C8683" s="2" t="s">
        <v>120</v>
      </c>
    </row>
    <row r="8684">
      <c r="A8684" s="1">
        <v>43794.697336655096</v>
      </c>
      <c r="B8684" s="2">
        <v>713.0</v>
      </c>
      <c r="C8684" s="2" t="s">
        <v>121</v>
      </c>
      <c r="D8684" s="2" t="s">
        <v>5</v>
      </c>
    </row>
    <row r="8685">
      <c r="A8685" s="1">
        <v>43794.69737376158</v>
      </c>
      <c r="B8685" s="2">
        <v>714.0</v>
      </c>
      <c r="C8685" s="2" t="s">
        <v>122</v>
      </c>
      <c r="D8685" s="2" t="s">
        <v>5</v>
      </c>
    </row>
    <row r="8686">
      <c r="A8686" s="1">
        <v>43794.69751576389</v>
      </c>
      <c r="B8686" s="2">
        <v>708.0</v>
      </c>
      <c r="C8686" s="2" t="s">
        <v>4</v>
      </c>
      <c r="D8686" s="2" t="s">
        <v>5</v>
      </c>
    </row>
    <row r="8687">
      <c r="A8687" s="1">
        <v>43794.69755599537</v>
      </c>
      <c r="B8687" s="2">
        <v>709.0</v>
      </c>
      <c r="C8687" s="2" t="s">
        <v>20</v>
      </c>
      <c r="D8687" s="2" t="s">
        <v>5</v>
      </c>
    </row>
    <row r="8688">
      <c r="A8688" s="1">
        <v>43794.69758813657</v>
      </c>
      <c r="B8688" s="2">
        <v>710.0</v>
      </c>
      <c r="C8688" s="2" t="s">
        <v>21</v>
      </c>
      <c r="D8688" s="2" t="s">
        <v>5</v>
      </c>
    </row>
    <row r="8689">
      <c r="A8689" s="1">
        <v>43794.69793741898</v>
      </c>
      <c r="B8689" s="3" t="s">
        <v>9</v>
      </c>
      <c r="C8689" s="2" t="s">
        <v>10</v>
      </c>
    </row>
    <row r="8690">
      <c r="A8690" s="1">
        <v>43794.69832556713</v>
      </c>
      <c r="B8690" s="2">
        <v>114.0</v>
      </c>
      <c r="C8690" s="2" t="s">
        <v>15</v>
      </c>
    </row>
    <row r="8691">
      <c r="A8691" s="1">
        <v>43794.69853659722</v>
      </c>
      <c r="B8691" s="2">
        <v>157.0</v>
      </c>
      <c r="C8691" s="2" t="s">
        <v>141</v>
      </c>
    </row>
    <row r="8692">
      <c r="A8692" s="1">
        <v>43794.69894199074</v>
      </c>
      <c r="B8692" s="2">
        <v>705.0</v>
      </c>
      <c r="C8692" s="2" t="s">
        <v>168</v>
      </c>
      <c r="D8692" s="2" t="s">
        <v>5</v>
      </c>
    </row>
    <row r="8693">
      <c r="A8693" s="1">
        <v>43794.699265</v>
      </c>
      <c r="B8693" s="2">
        <v>627.0</v>
      </c>
      <c r="C8693" s="2" t="s">
        <v>134</v>
      </c>
    </row>
    <row r="8694">
      <c r="A8694" s="1">
        <v>43794.6993855787</v>
      </c>
      <c r="B8694" s="3" t="s">
        <v>117</v>
      </c>
      <c r="C8694" s="2" t="s">
        <v>118</v>
      </c>
    </row>
    <row r="8695">
      <c r="A8695" s="1">
        <v>43794.70715505787</v>
      </c>
      <c r="B8695" s="2">
        <v>656.0</v>
      </c>
      <c r="C8695" s="2" t="s">
        <v>144</v>
      </c>
    </row>
    <row r="8696">
      <c r="A8696" s="1">
        <v>43794.71029777778</v>
      </c>
      <c r="B8696" s="2">
        <v>656.0</v>
      </c>
      <c r="C8696" s="2" t="s">
        <v>144</v>
      </c>
    </row>
    <row r="8697">
      <c r="A8697" s="1">
        <v>43796.60908631944</v>
      </c>
      <c r="B8697" s="2">
        <v>268.0</v>
      </c>
      <c r="C8697" s="2" t="s">
        <v>205</v>
      </c>
    </row>
    <row r="8698">
      <c r="A8698" s="1">
        <v>43796.609294236114</v>
      </c>
      <c r="B8698" s="2">
        <v>734.0</v>
      </c>
      <c r="C8698" s="2" t="s">
        <v>63</v>
      </c>
      <c r="D8698" s="2" t="s">
        <v>5</v>
      </c>
    </row>
    <row r="8699">
      <c r="A8699" s="1">
        <v>43796.609457893515</v>
      </c>
      <c r="B8699" s="2">
        <v>723.0</v>
      </c>
      <c r="C8699" s="2" t="s">
        <v>84</v>
      </c>
      <c r="D8699" s="2" t="s">
        <v>5</v>
      </c>
    </row>
    <row r="8700">
      <c r="A8700" s="1">
        <v>43796.609550486115</v>
      </c>
      <c r="B8700" s="2">
        <v>719.0</v>
      </c>
      <c r="C8700" s="2" t="s">
        <v>106</v>
      </c>
      <c r="D8700" s="2" t="s">
        <v>5</v>
      </c>
    </row>
    <row r="8701">
      <c r="A8701" s="1">
        <v>43796.609605405094</v>
      </c>
      <c r="B8701" s="2">
        <v>718.0</v>
      </c>
      <c r="C8701" s="2" t="s">
        <v>105</v>
      </c>
      <c r="D8701" s="2" t="s">
        <v>5</v>
      </c>
    </row>
    <row r="8702">
      <c r="A8702" s="1">
        <v>43796.60966862268</v>
      </c>
      <c r="B8702" s="2">
        <v>673.0</v>
      </c>
      <c r="C8702" s="2" t="s">
        <v>189</v>
      </c>
    </row>
    <row r="8703">
      <c r="A8703" s="1">
        <v>43796.6109233912</v>
      </c>
      <c r="B8703" s="2">
        <v>734.0</v>
      </c>
      <c r="C8703" s="2" t="s">
        <v>63</v>
      </c>
      <c r="D8703" s="2" t="s">
        <v>5</v>
      </c>
    </row>
    <row r="8704">
      <c r="A8704" s="1">
        <v>43796.61104408564</v>
      </c>
      <c r="B8704" s="2">
        <v>268.0</v>
      </c>
      <c r="C8704" s="2" t="s">
        <v>205</v>
      </c>
    </row>
    <row r="8705">
      <c r="A8705" s="1">
        <v>43797.460877210644</v>
      </c>
      <c r="B8705" s="2">
        <v>673.0</v>
      </c>
      <c r="C8705" s="2" t="s">
        <v>189</v>
      </c>
    </row>
    <row r="8706">
      <c r="A8706" s="1">
        <v>43797.46184952546</v>
      </c>
      <c r="B8706" s="2">
        <v>718.0</v>
      </c>
      <c r="C8706" s="2" t="s">
        <v>105</v>
      </c>
      <c r="D8706" s="2" t="s">
        <v>5</v>
      </c>
    </row>
    <row r="8707">
      <c r="A8707" s="1">
        <v>43797.461987256946</v>
      </c>
      <c r="B8707" s="2">
        <v>723.0</v>
      </c>
      <c r="C8707" s="2" t="s">
        <v>84</v>
      </c>
      <c r="D8707" s="2" t="s">
        <v>5</v>
      </c>
    </row>
    <row r="8708">
      <c r="A8708" s="1">
        <v>43797.46212891204</v>
      </c>
      <c r="B8708" s="2">
        <v>734.0</v>
      </c>
      <c r="C8708" s="2" t="s">
        <v>63</v>
      </c>
      <c r="D8708" s="2" t="s">
        <v>5</v>
      </c>
    </row>
    <row r="8709">
      <c r="A8709" s="1">
        <v>43797.46222078704</v>
      </c>
      <c r="B8709" s="2">
        <v>268.0</v>
      </c>
      <c r="C8709" s="2" t="s">
        <v>205</v>
      </c>
    </row>
    <row r="8710">
      <c r="A8710" s="1">
        <v>43797.462603125</v>
      </c>
      <c r="B8710" s="2">
        <v>268.0</v>
      </c>
      <c r="C8710" s="2" t="s">
        <v>205</v>
      </c>
    </row>
    <row r="8711">
      <c r="A8711" s="1">
        <v>43797.463628541664</v>
      </c>
      <c r="B8711" s="2">
        <v>673.0</v>
      </c>
      <c r="C8711" s="2" t="s">
        <v>189</v>
      </c>
    </row>
    <row r="8712">
      <c r="A8712" s="1">
        <v>43797.64178802083</v>
      </c>
      <c r="B8712" s="3" t="s">
        <v>184</v>
      </c>
      <c r="C8712" s="2" t="s">
        <v>185</v>
      </c>
    </row>
    <row r="8713">
      <c r="A8713" s="1">
        <v>43797.64192190972</v>
      </c>
      <c r="B8713" s="3" t="s">
        <v>186</v>
      </c>
      <c r="C8713" s="2" t="s">
        <v>187</v>
      </c>
    </row>
    <row r="8714">
      <c r="A8714" s="1">
        <v>43797.642045995366</v>
      </c>
      <c r="B8714" s="3" t="s">
        <v>22</v>
      </c>
      <c r="C8714" s="2" t="s">
        <v>23</v>
      </c>
    </row>
    <row r="8715">
      <c r="A8715" s="1">
        <v>43797.64213648148</v>
      </c>
      <c r="B8715" s="3" t="s">
        <v>88</v>
      </c>
      <c r="C8715" s="2" t="s">
        <v>89</v>
      </c>
    </row>
    <row r="8716">
      <c r="A8716" s="1">
        <v>43797.64222530092</v>
      </c>
      <c r="B8716" s="2">
        <v>14.0</v>
      </c>
      <c r="C8716" s="2" t="s">
        <v>218</v>
      </c>
    </row>
    <row r="8717">
      <c r="A8717" s="1">
        <v>43797.642284953705</v>
      </c>
      <c r="B8717" s="3" t="s">
        <v>9</v>
      </c>
      <c r="C8717" s="2" t="s">
        <v>10</v>
      </c>
    </row>
    <row r="8718">
      <c r="A8718" s="1">
        <v>43797.64237215278</v>
      </c>
      <c r="B8718" s="3" t="s">
        <v>117</v>
      </c>
      <c r="C8718" s="2" t="s">
        <v>118</v>
      </c>
    </row>
    <row r="8719">
      <c r="A8719" s="1">
        <v>43797.64246710648</v>
      </c>
      <c r="B8719" s="3" t="s">
        <v>119</v>
      </c>
      <c r="C8719" s="2" t="s">
        <v>120</v>
      </c>
    </row>
    <row r="8720">
      <c r="A8720" s="1">
        <v>43797.64253297454</v>
      </c>
      <c r="B8720" s="3" t="s">
        <v>11</v>
      </c>
      <c r="C8720" s="2" t="s">
        <v>12</v>
      </c>
    </row>
    <row r="8721">
      <c r="A8721" s="1">
        <v>43797.6426309838</v>
      </c>
      <c r="B8721" s="3" t="s">
        <v>126</v>
      </c>
      <c r="C8721" s="2" t="s">
        <v>127</v>
      </c>
    </row>
    <row r="8722">
      <c r="A8722" s="1">
        <v>43797.64270377315</v>
      </c>
      <c r="B8722" s="3" t="s">
        <v>59</v>
      </c>
      <c r="C8722" s="2" t="s">
        <v>60</v>
      </c>
    </row>
    <row r="8723">
      <c r="A8723" s="1">
        <v>43797.64277255787</v>
      </c>
      <c r="B8723" s="3" t="s">
        <v>13</v>
      </c>
      <c r="C8723" s="2" t="s">
        <v>14</v>
      </c>
    </row>
    <row r="8724">
      <c r="A8724" s="1">
        <v>43797.64293277777</v>
      </c>
      <c r="B8724" s="3" t="s">
        <v>74</v>
      </c>
      <c r="C8724" s="2" t="s">
        <v>75</v>
      </c>
    </row>
    <row r="8725">
      <c r="A8725" s="1">
        <v>43797.643034039356</v>
      </c>
      <c r="B8725" s="3" t="s">
        <v>44</v>
      </c>
      <c r="C8725" s="2" t="s">
        <v>45</v>
      </c>
    </row>
    <row r="8726">
      <c r="A8726" s="1">
        <v>43797.64309067129</v>
      </c>
      <c r="B8726" s="3" t="s">
        <v>150</v>
      </c>
      <c r="C8726" s="2" t="s">
        <v>151</v>
      </c>
    </row>
    <row r="8727">
      <c r="A8727" s="1">
        <v>43797.64321731481</v>
      </c>
      <c r="B8727" s="3" t="s">
        <v>82</v>
      </c>
      <c r="C8727" s="2" t="s">
        <v>83</v>
      </c>
    </row>
    <row r="8728">
      <c r="A8728" s="1">
        <v>43797.64328469908</v>
      </c>
      <c r="B8728" s="3" t="s">
        <v>162</v>
      </c>
      <c r="C8728" s="2" t="s">
        <v>163</v>
      </c>
    </row>
    <row r="8729">
      <c r="A8729" s="1">
        <v>43797.643351527775</v>
      </c>
      <c r="B8729" s="2">
        <v>52.0</v>
      </c>
      <c r="C8729" s="2" t="s">
        <v>41</v>
      </c>
    </row>
    <row r="8730">
      <c r="A8730" s="1">
        <v>43797.64348050926</v>
      </c>
      <c r="B8730" s="3" t="s">
        <v>103</v>
      </c>
      <c r="C8730" s="2" t="s">
        <v>104</v>
      </c>
    </row>
    <row r="8731">
      <c r="A8731" s="1">
        <v>43797.64356090278</v>
      </c>
      <c r="B8731" s="3" t="s">
        <v>159</v>
      </c>
      <c r="C8731" s="2" t="s">
        <v>160</v>
      </c>
    </row>
    <row r="8732">
      <c r="A8732" s="1">
        <v>43797.64362040509</v>
      </c>
      <c r="B8732" s="3" t="s">
        <v>180</v>
      </c>
      <c r="C8732" s="2" t="s">
        <v>181</v>
      </c>
    </row>
    <row r="8733">
      <c r="A8733" s="1">
        <v>43797.64371251158</v>
      </c>
      <c r="B8733" s="3" t="s">
        <v>78</v>
      </c>
      <c r="C8733" s="2" t="s">
        <v>79</v>
      </c>
    </row>
    <row r="8734">
      <c r="A8734" s="1">
        <v>43797.64381715278</v>
      </c>
      <c r="B8734" s="3" t="s">
        <v>111</v>
      </c>
      <c r="C8734" s="2" t="s">
        <v>112</v>
      </c>
    </row>
    <row r="8735">
      <c r="A8735" s="1">
        <v>43797.643876574075</v>
      </c>
      <c r="B8735" s="2">
        <v>70.0</v>
      </c>
      <c r="C8735" s="2" t="s">
        <v>183</v>
      </c>
    </row>
    <row r="8736">
      <c r="A8736" s="1">
        <v>43797.643928819445</v>
      </c>
      <c r="B8736" s="3" t="s">
        <v>80</v>
      </c>
      <c r="C8736" s="2" t="s">
        <v>81</v>
      </c>
    </row>
    <row r="8737">
      <c r="A8737" s="1">
        <v>43797.64397820602</v>
      </c>
      <c r="B8737" s="3" t="s">
        <v>51</v>
      </c>
      <c r="C8737" s="2" t="s">
        <v>52</v>
      </c>
    </row>
    <row r="8738">
      <c r="A8738" s="1">
        <v>43797.64408587963</v>
      </c>
      <c r="B8738" s="3" t="s">
        <v>169</v>
      </c>
      <c r="C8738" s="2" t="s">
        <v>170</v>
      </c>
    </row>
    <row r="8739">
      <c r="A8739" s="1">
        <v>43797.64414363426</v>
      </c>
      <c r="B8739" s="3" t="s">
        <v>94</v>
      </c>
      <c r="C8739" s="2" t="s">
        <v>95</v>
      </c>
    </row>
    <row r="8740">
      <c r="A8740" s="1">
        <v>43797.64419943287</v>
      </c>
      <c r="B8740" s="3" t="s">
        <v>48</v>
      </c>
      <c r="C8740" s="2" t="s">
        <v>49</v>
      </c>
    </row>
    <row r="8741">
      <c r="A8741" s="1">
        <v>43797.64425328704</v>
      </c>
      <c r="B8741" s="3" t="s">
        <v>98</v>
      </c>
      <c r="C8741" s="2" t="s">
        <v>99</v>
      </c>
    </row>
    <row r="8742">
      <c r="A8742" s="1">
        <v>43797.64436097222</v>
      </c>
      <c r="B8742" s="3" t="s">
        <v>55</v>
      </c>
      <c r="C8742" s="2" t="s">
        <v>56</v>
      </c>
    </row>
    <row r="8743">
      <c r="A8743" s="1">
        <v>43797.64442104167</v>
      </c>
      <c r="B8743" s="3" t="s">
        <v>42</v>
      </c>
      <c r="C8743" s="2" t="s">
        <v>43</v>
      </c>
    </row>
    <row r="8744">
      <c r="A8744" s="1">
        <v>43797.64448905093</v>
      </c>
      <c r="B8744" s="2">
        <v>92.0</v>
      </c>
      <c r="C8744" s="2" t="s">
        <v>230</v>
      </c>
    </row>
    <row r="8745">
      <c r="A8745" s="1">
        <v>43797.644568958334</v>
      </c>
      <c r="B8745" s="3" t="s">
        <v>32</v>
      </c>
      <c r="C8745" s="2" t="s">
        <v>33</v>
      </c>
    </row>
    <row r="8746">
      <c r="A8746" s="1">
        <v>43797.644626180554</v>
      </c>
      <c r="B8746" s="3" t="s">
        <v>113</v>
      </c>
      <c r="C8746" s="2" t="s">
        <v>114</v>
      </c>
    </row>
    <row r="8747">
      <c r="A8747" s="1">
        <v>43797.644767997685</v>
      </c>
      <c r="B8747" s="2">
        <v>101.0</v>
      </c>
      <c r="C8747" s="2" t="s">
        <v>108</v>
      </c>
    </row>
    <row r="8748">
      <c r="A8748" s="1">
        <v>43797.644827488424</v>
      </c>
      <c r="B8748" s="2">
        <v>113.0</v>
      </c>
      <c r="C8748" s="2" t="s">
        <v>29</v>
      </c>
    </row>
    <row r="8749">
      <c r="A8749" s="1">
        <v>43797.645095879634</v>
      </c>
      <c r="B8749" s="2">
        <v>114.0</v>
      </c>
      <c r="C8749" s="2" t="s">
        <v>15</v>
      </c>
    </row>
    <row r="8750">
      <c r="A8750" s="1">
        <v>43797.64514869213</v>
      </c>
      <c r="B8750" s="2">
        <v>116.0</v>
      </c>
      <c r="C8750" s="2" t="s">
        <v>211</v>
      </c>
    </row>
    <row r="8751">
      <c r="A8751" s="1">
        <v>43797.64521503472</v>
      </c>
      <c r="B8751" s="2">
        <v>117.0</v>
      </c>
      <c r="C8751" s="2" t="s">
        <v>226</v>
      </c>
    </row>
    <row r="8752">
      <c r="A8752" s="1">
        <v>43797.64530231481</v>
      </c>
      <c r="B8752" s="2">
        <v>124.0</v>
      </c>
      <c r="C8752" s="2" t="s">
        <v>107</v>
      </c>
    </row>
    <row r="8753">
      <c r="A8753" s="1">
        <v>43797.645366516204</v>
      </c>
      <c r="B8753" s="2">
        <v>126.0</v>
      </c>
      <c r="C8753" s="2" t="s">
        <v>87</v>
      </c>
    </row>
    <row r="8754">
      <c r="A8754" s="1">
        <v>43797.64558321759</v>
      </c>
      <c r="B8754" s="2">
        <v>137.0</v>
      </c>
      <c r="C8754" s="2" t="s">
        <v>72</v>
      </c>
    </row>
    <row r="8755">
      <c r="A8755" s="1">
        <v>43797.645657615736</v>
      </c>
      <c r="B8755" s="2">
        <v>141.0</v>
      </c>
      <c r="C8755" s="2" t="s">
        <v>53</v>
      </c>
    </row>
    <row r="8756">
      <c r="A8756" s="1">
        <v>43797.64578009259</v>
      </c>
      <c r="B8756" s="2">
        <v>147.0</v>
      </c>
      <c r="C8756" s="2" t="s">
        <v>100</v>
      </c>
    </row>
    <row r="8757">
      <c r="A8757" s="1">
        <v>43797.645878449075</v>
      </c>
      <c r="B8757" s="2">
        <v>153.0</v>
      </c>
      <c r="C8757" s="2" t="s">
        <v>148</v>
      </c>
    </row>
    <row r="8758">
      <c r="A8758" s="1">
        <v>43797.646009212964</v>
      </c>
      <c r="B8758" s="2">
        <v>157.0</v>
      </c>
      <c r="C8758" s="2" t="s">
        <v>141</v>
      </c>
    </row>
    <row r="8759">
      <c r="A8759" s="1">
        <v>43797.646086215274</v>
      </c>
      <c r="B8759" s="2">
        <v>158.0</v>
      </c>
      <c r="C8759" s="2" t="s">
        <v>62</v>
      </c>
    </row>
    <row r="8760">
      <c r="A8760" s="1">
        <v>43797.646156180555</v>
      </c>
      <c r="B8760" s="2">
        <v>159.0</v>
      </c>
      <c r="C8760" s="2" t="s">
        <v>58</v>
      </c>
    </row>
    <row r="8761">
      <c r="A8761" s="1">
        <v>43797.646218657406</v>
      </c>
      <c r="B8761" s="2">
        <v>160.0</v>
      </c>
      <c r="C8761" s="2" t="s">
        <v>154</v>
      </c>
    </row>
    <row r="8762">
      <c r="A8762" s="1">
        <v>43797.64632194444</v>
      </c>
      <c r="B8762" s="2">
        <v>165.0</v>
      </c>
      <c r="C8762" s="2" t="s">
        <v>50</v>
      </c>
    </row>
    <row r="8763">
      <c r="A8763" s="1">
        <v>43797.6463874537</v>
      </c>
      <c r="B8763" s="2">
        <v>167.0</v>
      </c>
      <c r="C8763" s="2" t="s">
        <v>39</v>
      </c>
    </row>
    <row r="8764">
      <c r="A8764" s="1">
        <v>43797.646444791666</v>
      </c>
      <c r="B8764" s="2">
        <v>172.0</v>
      </c>
      <c r="C8764" s="2" t="s">
        <v>65</v>
      </c>
    </row>
    <row r="8765">
      <c r="A8765" s="1">
        <v>43797.64650408565</v>
      </c>
      <c r="B8765" s="2">
        <v>173.0</v>
      </c>
      <c r="C8765" s="2" t="s">
        <v>24</v>
      </c>
    </row>
    <row r="8766">
      <c r="A8766" s="1">
        <v>43797.64656378472</v>
      </c>
      <c r="B8766" s="2">
        <v>175.0</v>
      </c>
      <c r="C8766" s="2" t="s">
        <v>69</v>
      </c>
    </row>
    <row r="8767">
      <c r="A8767" s="1">
        <v>43797.64661884259</v>
      </c>
      <c r="B8767" s="2">
        <v>189.0</v>
      </c>
      <c r="C8767" s="2" t="s">
        <v>128</v>
      </c>
    </row>
    <row r="8768">
      <c r="A8768" s="1">
        <v>43797.64671954861</v>
      </c>
      <c r="B8768" s="2">
        <v>193.0</v>
      </c>
      <c r="C8768" s="2" t="s">
        <v>30</v>
      </c>
    </row>
    <row r="8769">
      <c r="A8769" s="1">
        <v>43797.646775381945</v>
      </c>
      <c r="B8769" s="2">
        <v>197.0</v>
      </c>
      <c r="C8769" s="2" t="s">
        <v>225</v>
      </c>
    </row>
    <row r="8770">
      <c r="A8770" s="1">
        <v>43797.6468278588</v>
      </c>
      <c r="B8770" s="2">
        <v>198.0</v>
      </c>
      <c r="C8770" s="2" t="s">
        <v>97</v>
      </c>
    </row>
    <row r="8771">
      <c r="A8771" s="1">
        <v>43797.64688472222</v>
      </c>
      <c r="B8771" s="2">
        <v>201.0</v>
      </c>
      <c r="C8771" s="2" t="s">
        <v>70</v>
      </c>
    </row>
    <row r="8772">
      <c r="A8772" s="1">
        <v>43797.647000798606</v>
      </c>
      <c r="B8772" s="2">
        <v>202.0</v>
      </c>
      <c r="C8772" s="2" t="s">
        <v>130</v>
      </c>
    </row>
    <row r="8773">
      <c r="A8773" s="1">
        <v>43797.64707077546</v>
      </c>
      <c r="B8773" s="2">
        <v>207.0</v>
      </c>
      <c r="C8773" s="2" t="s">
        <v>85</v>
      </c>
    </row>
    <row r="8774">
      <c r="A8774" s="1">
        <v>43797.647125601856</v>
      </c>
      <c r="B8774" s="2">
        <v>208.0</v>
      </c>
      <c r="C8774" s="2" t="s">
        <v>182</v>
      </c>
    </row>
    <row r="8775">
      <c r="A8775" s="1">
        <v>43797.64717231481</v>
      </c>
      <c r="B8775" s="2">
        <v>209.0</v>
      </c>
      <c r="C8775" s="2" t="s">
        <v>219</v>
      </c>
    </row>
    <row r="8776">
      <c r="A8776" s="1">
        <v>43797.647231759256</v>
      </c>
      <c r="B8776" s="2">
        <v>210.0</v>
      </c>
      <c r="C8776" s="2" t="s">
        <v>64</v>
      </c>
    </row>
    <row r="8777">
      <c r="A8777" s="1">
        <v>43797.64734638889</v>
      </c>
      <c r="B8777" s="2">
        <v>214.0</v>
      </c>
      <c r="C8777" s="2" t="s">
        <v>47</v>
      </c>
    </row>
    <row r="8778">
      <c r="A8778" s="1">
        <v>43797.647418622684</v>
      </c>
      <c r="B8778" s="2">
        <v>215.0</v>
      </c>
      <c r="C8778" s="2" t="s">
        <v>137</v>
      </c>
    </row>
    <row r="8779">
      <c r="A8779" s="1">
        <v>43797.64746902778</v>
      </c>
      <c r="B8779" s="2">
        <v>219.0</v>
      </c>
      <c r="C8779" s="2" t="s">
        <v>31</v>
      </c>
    </row>
    <row r="8780">
      <c r="A8780" s="1">
        <v>43797.647511863426</v>
      </c>
      <c r="B8780" s="2">
        <v>220.0</v>
      </c>
      <c r="C8780" s="2" t="s">
        <v>231</v>
      </c>
    </row>
    <row r="8781">
      <c r="A8781" s="1">
        <v>43797.64758394676</v>
      </c>
      <c r="B8781" s="2">
        <v>228.0</v>
      </c>
      <c r="C8781" s="2" t="s">
        <v>135</v>
      </c>
    </row>
    <row r="8782">
      <c r="A8782" s="1">
        <v>43797.64766275463</v>
      </c>
      <c r="B8782" s="2">
        <v>229.0</v>
      </c>
      <c r="C8782" s="2" t="s">
        <v>86</v>
      </c>
    </row>
    <row r="8783">
      <c r="A8783" s="1">
        <v>43797.64780228009</v>
      </c>
      <c r="B8783" s="2">
        <v>231.0</v>
      </c>
      <c r="C8783" s="2" t="s">
        <v>61</v>
      </c>
    </row>
    <row r="8784">
      <c r="A8784" s="1">
        <v>43797.647858842596</v>
      </c>
      <c r="B8784" s="2">
        <v>232.0</v>
      </c>
      <c r="C8784" s="2" t="s">
        <v>216</v>
      </c>
    </row>
    <row r="8785">
      <c r="A8785" s="1">
        <v>43797.647911319444</v>
      </c>
      <c r="B8785" s="2">
        <v>236.0</v>
      </c>
      <c r="C8785" s="2" t="s">
        <v>142</v>
      </c>
    </row>
    <row r="8786">
      <c r="A8786" s="1">
        <v>43797.64796667824</v>
      </c>
      <c r="B8786" s="2">
        <v>237.0</v>
      </c>
      <c r="C8786" s="2" t="s">
        <v>140</v>
      </c>
    </row>
    <row r="8787">
      <c r="A8787" s="1">
        <v>43797.64804168981</v>
      </c>
      <c r="B8787" s="2">
        <v>238.0</v>
      </c>
      <c r="C8787" s="2" t="s">
        <v>35</v>
      </c>
    </row>
    <row r="8788">
      <c r="A8788" s="1">
        <v>43797.648122569444</v>
      </c>
      <c r="B8788" s="2">
        <v>243.0</v>
      </c>
      <c r="C8788" s="2" t="s">
        <v>171</v>
      </c>
    </row>
    <row r="8789">
      <c r="A8789" s="1">
        <v>43797.648198854164</v>
      </c>
      <c r="B8789" s="2">
        <v>244.0</v>
      </c>
      <c r="C8789" s="2" t="s">
        <v>38</v>
      </c>
    </row>
    <row r="8790">
      <c r="A8790" s="1">
        <v>43797.64825574074</v>
      </c>
      <c r="B8790" s="2">
        <v>246.0</v>
      </c>
      <c r="C8790" s="2" t="s">
        <v>26</v>
      </c>
    </row>
    <row r="8791">
      <c r="A8791" s="1">
        <v>43797.64831813658</v>
      </c>
      <c r="B8791" s="2">
        <v>252.0</v>
      </c>
      <c r="C8791" s="2" t="s">
        <v>34</v>
      </c>
    </row>
    <row r="8792">
      <c r="A8792" s="1">
        <v>43797.64836799768</v>
      </c>
      <c r="B8792" s="2">
        <v>253.0</v>
      </c>
      <c r="C8792" s="2" t="s">
        <v>138</v>
      </c>
    </row>
    <row r="8793">
      <c r="A8793" s="1">
        <v>43797.64842571759</v>
      </c>
      <c r="B8793" s="2">
        <v>254.0</v>
      </c>
      <c r="C8793" s="2" t="s">
        <v>132</v>
      </c>
    </row>
    <row r="8794">
      <c r="A8794" s="1">
        <v>43797.64857895834</v>
      </c>
      <c r="B8794" s="2">
        <v>257.0</v>
      </c>
      <c r="C8794" s="2" t="s">
        <v>27</v>
      </c>
    </row>
    <row r="8795">
      <c r="A8795" s="1">
        <v>43797.64871716435</v>
      </c>
      <c r="B8795" s="2">
        <v>259.0</v>
      </c>
      <c r="C8795" s="2" t="s">
        <v>66</v>
      </c>
    </row>
    <row r="8796">
      <c r="A8796" s="1">
        <v>43797.64880081019</v>
      </c>
      <c r="B8796" s="2">
        <v>260.0</v>
      </c>
      <c r="C8796" s="2" t="s">
        <v>67</v>
      </c>
    </row>
    <row r="8797">
      <c r="A8797" s="1">
        <v>43797.64888126157</v>
      </c>
      <c r="B8797" s="2">
        <v>262.0</v>
      </c>
      <c r="C8797" s="2" t="s">
        <v>28</v>
      </c>
    </row>
    <row r="8798">
      <c r="A8798" s="1">
        <v>43797.6489821875</v>
      </c>
      <c r="B8798" s="2">
        <v>267.0</v>
      </c>
      <c r="C8798" s="2" t="s">
        <v>115</v>
      </c>
    </row>
    <row r="8799">
      <c r="A8799" s="1">
        <v>43797.64908658565</v>
      </c>
      <c r="B8799" s="2">
        <v>268.0</v>
      </c>
      <c r="C8799" s="2" t="s">
        <v>205</v>
      </c>
    </row>
    <row r="8800">
      <c r="A8800" s="1">
        <v>43797.64916424769</v>
      </c>
      <c r="B8800" s="2">
        <v>270.0</v>
      </c>
      <c r="C8800" s="2" t="s">
        <v>153</v>
      </c>
    </row>
    <row r="8801">
      <c r="A8801" s="1">
        <v>43797.6492664699</v>
      </c>
      <c r="B8801" s="2">
        <v>535.0</v>
      </c>
      <c r="C8801" s="2" t="s">
        <v>208</v>
      </c>
    </row>
    <row r="8802">
      <c r="A8802" s="1">
        <v>43797.649337662035</v>
      </c>
      <c r="B8802" s="2">
        <v>601.0</v>
      </c>
      <c r="C8802" s="2" t="s">
        <v>125</v>
      </c>
    </row>
    <row r="8803">
      <c r="A8803" s="1">
        <v>43797.64940658565</v>
      </c>
      <c r="B8803" s="2">
        <v>602.0</v>
      </c>
      <c r="C8803" s="2" t="s">
        <v>131</v>
      </c>
    </row>
    <row r="8804">
      <c r="A8804" s="1">
        <v>43797.6495082176</v>
      </c>
      <c r="B8804" s="2">
        <v>603.0</v>
      </c>
      <c r="C8804" s="2" t="s">
        <v>40</v>
      </c>
    </row>
    <row r="8805">
      <c r="A8805" s="1">
        <v>43797.64960979167</v>
      </c>
      <c r="B8805" s="2">
        <v>604.0</v>
      </c>
      <c r="C8805" s="2" t="s">
        <v>36</v>
      </c>
    </row>
    <row r="8806">
      <c r="A8806" s="1">
        <v>43797.649726805554</v>
      </c>
      <c r="B8806" s="2">
        <v>605.0</v>
      </c>
      <c r="C8806" s="2" t="s">
        <v>206</v>
      </c>
    </row>
    <row r="8807">
      <c r="A8807" s="1">
        <v>43797.649855104166</v>
      </c>
      <c r="B8807" s="2">
        <v>606.0</v>
      </c>
      <c r="C8807" s="2" t="s">
        <v>174</v>
      </c>
    </row>
    <row r="8808">
      <c r="A8808" s="1">
        <v>43797.649922129625</v>
      </c>
      <c r="B8808" s="2">
        <v>607.0</v>
      </c>
      <c r="C8808" s="2" t="s">
        <v>68</v>
      </c>
    </row>
    <row r="8809">
      <c r="A8809" s="1">
        <v>43797.65001961806</v>
      </c>
      <c r="B8809" s="2">
        <v>608.0</v>
      </c>
      <c r="C8809" s="2" t="s">
        <v>7</v>
      </c>
    </row>
    <row r="8810">
      <c r="A8810" s="1">
        <v>43797.65011693287</v>
      </c>
      <c r="B8810" s="2">
        <v>609.0</v>
      </c>
      <c r="C8810" s="2" t="s">
        <v>179</v>
      </c>
    </row>
    <row r="8811">
      <c r="A8811" s="1">
        <v>43797.66964892361</v>
      </c>
      <c r="B8811" s="2">
        <v>610.0</v>
      </c>
      <c r="C8811" s="2" t="s">
        <v>220</v>
      </c>
    </row>
    <row r="8812">
      <c r="A8812" s="1">
        <v>43797.66969753472</v>
      </c>
      <c r="B8812" s="2">
        <v>611.0</v>
      </c>
      <c r="C8812" s="2" t="s">
        <v>143</v>
      </c>
    </row>
    <row r="8813">
      <c r="A8813" s="1">
        <v>43797.66973648148</v>
      </c>
      <c r="B8813" s="2">
        <v>612.0</v>
      </c>
      <c r="C8813" s="2" t="s">
        <v>214</v>
      </c>
    </row>
    <row r="8814">
      <c r="A8814" s="1">
        <v>43797.669775</v>
      </c>
      <c r="B8814" s="2">
        <v>613.0</v>
      </c>
      <c r="C8814" s="2" t="s">
        <v>124</v>
      </c>
    </row>
    <row r="8815">
      <c r="A8815" s="1">
        <v>43797.66990168982</v>
      </c>
      <c r="B8815" s="2">
        <v>614.0</v>
      </c>
      <c r="C8815" s="2" t="s">
        <v>76</v>
      </c>
    </row>
    <row r="8816">
      <c r="A8816" s="1">
        <v>43797.669958796294</v>
      </c>
      <c r="B8816" s="2">
        <v>615.0</v>
      </c>
      <c r="C8816" s="2" t="s">
        <v>16</v>
      </c>
    </row>
    <row r="8817">
      <c r="A8817" s="1">
        <v>43797.66999527778</v>
      </c>
      <c r="B8817" s="2">
        <v>616.0</v>
      </c>
      <c r="C8817" s="2" t="s">
        <v>71</v>
      </c>
    </row>
    <row r="8818">
      <c r="A8818" s="1">
        <v>43797.6700472338</v>
      </c>
      <c r="B8818" s="2">
        <v>617.0</v>
      </c>
      <c r="C8818" s="2" t="s">
        <v>172</v>
      </c>
    </row>
    <row r="8819">
      <c r="A8819" s="1">
        <v>43797.67008780093</v>
      </c>
      <c r="B8819" s="2">
        <v>618.0</v>
      </c>
      <c r="C8819" s="2" t="s">
        <v>147</v>
      </c>
    </row>
    <row r="8820">
      <c r="A8820" s="1">
        <v>43797.670130983795</v>
      </c>
      <c r="B8820" s="2">
        <v>619.0</v>
      </c>
      <c r="C8820" s="2" t="s">
        <v>46</v>
      </c>
    </row>
    <row r="8821">
      <c r="A8821" s="1">
        <v>43797.67017290509</v>
      </c>
      <c r="B8821" s="2">
        <v>620.0</v>
      </c>
      <c r="C8821" s="2" t="s">
        <v>232</v>
      </c>
    </row>
    <row r="8822">
      <c r="A8822" s="1">
        <v>43797.67021266204</v>
      </c>
      <c r="B8822" s="2">
        <v>621.0</v>
      </c>
      <c r="C8822" s="2" t="s">
        <v>215</v>
      </c>
    </row>
    <row r="8823">
      <c r="A8823" s="1">
        <v>43797.67026079861</v>
      </c>
      <c r="B8823" s="2">
        <v>623.0</v>
      </c>
      <c r="C8823" s="2" t="s">
        <v>133</v>
      </c>
    </row>
    <row r="8824">
      <c r="A8824" s="1">
        <v>43797.67032226852</v>
      </c>
      <c r="B8824" s="2">
        <v>624.0</v>
      </c>
      <c r="C8824" s="2" t="s">
        <v>90</v>
      </c>
    </row>
    <row r="8825">
      <c r="A8825" s="1">
        <v>43797.67039438657</v>
      </c>
      <c r="B8825" s="2">
        <v>625.0</v>
      </c>
      <c r="C8825" s="2" t="s">
        <v>136</v>
      </c>
    </row>
    <row r="8826">
      <c r="A8826" s="1">
        <v>43797.67044152778</v>
      </c>
      <c r="B8826" s="2">
        <v>627.0</v>
      </c>
      <c r="C8826" s="2" t="s">
        <v>134</v>
      </c>
    </row>
    <row r="8827">
      <c r="A8827" s="1">
        <v>43797.67048678241</v>
      </c>
      <c r="B8827" s="2">
        <v>630.0</v>
      </c>
      <c r="C8827" s="2" t="s">
        <v>158</v>
      </c>
    </row>
    <row r="8828">
      <c r="A8828" s="1">
        <v>43797.67053366898</v>
      </c>
      <c r="B8828" s="2">
        <v>631.0</v>
      </c>
      <c r="C8828" s="2" t="s">
        <v>178</v>
      </c>
    </row>
    <row r="8829">
      <c r="A8829" s="1">
        <v>43797.67058013889</v>
      </c>
      <c r="B8829" s="2">
        <v>632.0</v>
      </c>
      <c r="C8829" s="2" t="s">
        <v>146</v>
      </c>
    </row>
    <row r="8830">
      <c r="A8830" s="1">
        <v>43797.67065069445</v>
      </c>
      <c r="B8830" s="2">
        <v>633.0</v>
      </c>
      <c r="C8830" s="2" t="s">
        <v>233</v>
      </c>
    </row>
    <row r="8831">
      <c r="A8831" s="1">
        <v>43797.67071099537</v>
      </c>
      <c r="B8831" s="2">
        <v>634.0</v>
      </c>
      <c r="C8831" s="2" t="s">
        <v>234</v>
      </c>
    </row>
    <row r="8832">
      <c r="A8832" s="1">
        <v>43797.67075952546</v>
      </c>
      <c r="B8832" s="2">
        <v>635.0</v>
      </c>
      <c r="C8832" s="2" t="s">
        <v>165</v>
      </c>
    </row>
    <row r="8833">
      <c r="A8833" s="1">
        <v>43797.67080951389</v>
      </c>
      <c r="B8833" s="2">
        <v>636.0</v>
      </c>
      <c r="C8833" s="2" t="s">
        <v>204</v>
      </c>
    </row>
    <row r="8834">
      <c r="A8834" s="1">
        <v>43797.67087074074</v>
      </c>
      <c r="B8834" s="2">
        <v>639.0</v>
      </c>
      <c r="C8834" s="2" t="s">
        <v>235</v>
      </c>
    </row>
    <row r="8835">
      <c r="A8835" s="1">
        <v>43797.670957442126</v>
      </c>
      <c r="B8835" s="2">
        <v>641.0</v>
      </c>
      <c r="C8835" s="2" t="s">
        <v>210</v>
      </c>
    </row>
    <row r="8836">
      <c r="A8836" s="1">
        <v>43797.67118329861</v>
      </c>
      <c r="B8836" s="2">
        <v>642.0</v>
      </c>
      <c r="C8836" s="2" t="s">
        <v>236</v>
      </c>
    </row>
    <row r="8837">
      <c r="A8837" s="1">
        <v>43797.6712216088</v>
      </c>
      <c r="B8837" s="2">
        <v>643.0</v>
      </c>
      <c r="C8837" s="2" t="s">
        <v>166</v>
      </c>
    </row>
    <row r="8838">
      <c r="A8838" s="1">
        <v>43797.67126563657</v>
      </c>
      <c r="B8838" s="2">
        <v>644.0</v>
      </c>
      <c r="C8838" s="2" t="s">
        <v>227</v>
      </c>
    </row>
    <row r="8839">
      <c r="A8839" s="1">
        <v>43797.671309537036</v>
      </c>
      <c r="B8839" s="2">
        <v>646.0</v>
      </c>
      <c r="C8839" s="2" t="s">
        <v>209</v>
      </c>
    </row>
    <row r="8840">
      <c r="A8840" s="1">
        <v>43797.672150706014</v>
      </c>
      <c r="B8840" s="2">
        <v>647.0</v>
      </c>
      <c r="C8840" s="2" t="s">
        <v>217</v>
      </c>
    </row>
    <row r="8841">
      <c r="A8841" s="1">
        <v>43797.67219332176</v>
      </c>
      <c r="B8841" s="2">
        <v>648.0</v>
      </c>
      <c r="C8841" s="2" t="s">
        <v>207</v>
      </c>
    </row>
    <row r="8842">
      <c r="A8842" s="1">
        <v>43797.6722308912</v>
      </c>
      <c r="B8842" s="2">
        <v>649.0</v>
      </c>
      <c r="C8842" s="2" t="s">
        <v>177</v>
      </c>
    </row>
    <row r="8843">
      <c r="A8843" s="1">
        <v>43797.672271759264</v>
      </c>
      <c r="B8843" s="2">
        <v>650.0</v>
      </c>
      <c r="C8843" s="2" t="s">
        <v>213</v>
      </c>
    </row>
    <row r="8844">
      <c r="A8844" s="1">
        <v>43797.67231819444</v>
      </c>
      <c r="B8844" s="2">
        <v>653.0</v>
      </c>
      <c r="C8844" s="2" t="s">
        <v>77</v>
      </c>
    </row>
    <row r="8845">
      <c r="A8845" s="1">
        <v>43797.672527939816</v>
      </c>
      <c r="B8845" s="2">
        <v>654.0</v>
      </c>
      <c r="C8845" s="2" t="s">
        <v>115</v>
      </c>
    </row>
    <row r="8846">
      <c r="A8846" s="1">
        <v>43797.67265425926</v>
      </c>
      <c r="B8846" s="2">
        <v>655.0</v>
      </c>
      <c r="C8846" s="2" t="s">
        <v>17</v>
      </c>
    </row>
    <row r="8847">
      <c r="A8847" s="1">
        <v>43797.672693761575</v>
      </c>
      <c r="B8847" s="2">
        <v>656.0</v>
      </c>
      <c r="C8847" s="2" t="s">
        <v>144</v>
      </c>
    </row>
    <row r="8848">
      <c r="A8848" s="1">
        <v>43797.67273486111</v>
      </c>
      <c r="B8848" s="2">
        <v>657.0</v>
      </c>
      <c r="C8848" s="2" t="s">
        <v>237</v>
      </c>
    </row>
    <row r="8849">
      <c r="A8849" s="1">
        <v>43797.6727990625</v>
      </c>
      <c r="B8849" s="2">
        <v>661.0</v>
      </c>
      <c r="C8849" s="2" t="s">
        <v>153</v>
      </c>
    </row>
    <row r="8850">
      <c r="A8850" s="1">
        <v>43797.67284165509</v>
      </c>
      <c r="B8850" s="2">
        <v>663.0</v>
      </c>
      <c r="C8850" s="2" t="s">
        <v>109</v>
      </c>
    </row>
    <row r="8851">
      <c r="A8851" s="1">
        <v>43797.672950532404</v>
      </c>
      <c r="B8851" s="2">
        <v>664.0</v>
      </c>
      <c r="C8851" s="2" t="s">
        <v>191</v>
      </c>
    </row>
    <row r="8852">
      <c r="A8852" s="1">
        <v>43797.67300188658</v>
      </c>
      <c r="B8852" s="2">
        <v>665.0</v>
      </c>
      <c r="C8852" s="2" t="s">
        <v>145</v>
      </c>
    </row>
    <row r="8853">
      <c r="A8853" s="1">
        <v>43797.67308287037</v>
      </c>
      <c r="B8853" s="2">
        <v>666.0</v>
      </c>
      <c r="C8853" s="2" t="s">
        <v>192</v>
      </c>
    </row>
    <row r="8854">
      <c r="A8854" s="1">
        <v>43797.67314099537</v>
      </c>
      <c r="B8854" s="2">
        <v>667.0</v>
      </c>
      <c r="C8854" s="2" t="s">
        <v>73</v>
      </c>
    </row>
    <row r="8855">
      <c r="A8855" s="1">
        <v>43797.67318895833</v>
      </c>
      <c r="B8855" s="2">
        <v>669.0</v>
      </c>
      <c r="C8855" s="2" t="s">
        <v>190</v>
      </c>
    </row>
    <row r="8856">
      <c r="A8856" s="1">
        <v>43797.67323005787</v>
      </c>
      <c r="B8856" s="2">
        <v>670.0</v>
      </c>
      <c r="C8856" s="2" t="s">
        <v>139</v>
      </c>
    </row>
    <row r="8857">
      <c r="A8857" s="1">
        <v>43797.67327082176</v>
      </c>
      <c r="B8857" s="2">
        <v>671.0</v>
      </c>
      <c r="C8857" s="2" t="s">
        <v>129</v>
      </c>
    </row>
    <row r="8858">
      <c r="A8858" s="1">
        <v>43797.673322835646</v>
      </c>
      <c r="B8858" s="2">
        <v>672.0</v>
      </c>
      <c r="C8858" s="2" t="s">
        <v>6</v>
      </c>
    </row>
    <row r="8859">
      <c r="A8859" s="1">
        <v>43797.67337258102</v>
      </c>
      <c r="B8859" s="2">
        <v>673.0</v>
      </c>
      <c r="C8859" s="2" t="s">
        <v>189</v>
      </c>
    </row>
    <row r="8860">
      <c r="A8860" s="1">
        <v>43797.67357119213</v>
      </c>
      <c r="B8860" s="2">
        <v>674.0</v>
      </c>
      <c r="C8860" s="2" t="s">
        <v>193</v>
      </c>
    </row>
    <row r="8861">
      <c r="A8861" s="1">
        <v>43797.67361554399</v>
      </c>
      <c r="B8861" s="2">
        <v>675.0</v>
      </c>
      <c r="C8861" s="2" t="s">
        <v>222</v>
      </c>
    </row>
    <row r="8862">
      <c r="A8862" s="1">
        <v>43797.67365923611</v>
      </c>
      <c r="B8862" s="2">
        <v>676.0</v>
      </c>
      <c r="C8862" s="2" t="s">
        <v>223</v>
      </c>
    </row>
    <row r="8863">
      <c r="A8863" s="1">
        <v>43797.67370084491</v>
      </c>
      <c r="B8863" s="2">
        <v>677.0</v>
      </c>
      <c r="C8863" s="2" t="s">
        <v>224</v>
      </c>
    </row>
    <row r="8864">
      <c r="A8864" s="1">
        <v>43797.67374510417</v>
      </c>
      <c r="B8864" s="2">
        <v>678.0</v>
      </c>
      <c r="C8864" s="2" t="s">
        <v>228</v>
      </c>
    </row>
    <row r="8865">
      <c r="A8865" s="1">
        <v>43797.673791747686</v>
      </c>
      <c r="B8865" s="2">
        <v>679.0</v>
      </c>
      <c r="C8865" s="2" t="s">
        <v>229</v>
      </c>
    </row>
    <row r="8866">
      <c r="A8866" s="1">
        <v>43797.673840497686</v>
      </c>
      <c r="B8866" s="2">
        <v>701.0</v>
      </c>
      <c r="C8866" s="2" t="s">
        <v>93</v>
      </c>
      <c r="D8866" s="2" t="s">
        <v>5</v>
      </c>
    </row>
    <row r="8867">
      <c r="A8867" s="1">
        <v>43797.673893113424</v>
      </c>
      <c r="B8867" s="2">
        <v>702.0</v>
      </c>
      <c r="C8867" s="2" t="s">
        <v>96</v>
      </c>
      <c r="D8867" s="2" t="s">
        <v>5</v>
      </c>
    </row>
    <row r="8868">
      <c r="A8868" s="1">
        <v>43797.67403425926</v>
      </c>
      <c r="B8868" s="2">
        <v>703.0</v>
      </c>
      <c r="C8868" s="2" t="s">
        <v>157</v>
      </c>
      <c r="D8868" s="2" t="s">
        <v>5</v>
      </c>
    </row>
    <row r="8869">
      <c r="A8869" s="1">
        <v>43797.67409606482</v>
      </c>
      <c r="B8869" s="2">
        <v>704.0</v>
      </c>
      <c r="C8869" s="2" t="s">
        <v>167</v>
      </c>
      <c r="D8869" s="2" t="s">
        <v>5</v>
      </c>
    </row>
    <row r="8870">
      <c r="A8870" s="1">
        <v>43797.67415796296</v>
      </c>
      <c r="B8870" s="2">
        <v>705.0</v>
      </c>
      <c r="C8870" s="2" t="s">
        <v>168</v>
      </c>
      <c r="D8870" s="2" t="s">
        <v>5</v>
      </c>
    </row>
    <row r="8871">
      <c r="A8871" s="1">
        <v>43797.67424908565</v>
      </c>
      <c r="B8871" s="2">
        <v>706.0</v>
      </c>
      <c r="C8871" s="2" t="s">
        <v>149</v>
      </c>
      <c r="D8871" s="2" t="s">
        <v>5</v>
      </c>
    </row>
    <row r="8872">
      <c r="A8872" s="1">
        <v>43797.67429274306</v>
      </c>
      <c r="B8872" s="2">
        <v>707.0</v>
      </c>
      <c r="C8872" s="2" t="s">
        <v>57</v>
      </c>
      <c r="D8872" s="2" t="s">
        <v>5</v>
      </c>
    </row>
    <row r="8873">
      <c r="A8873" s="1">
        <v>43797.67433421296</v>
      </c>
      <c r="B8873" s="2">
        <v>708.0</v>
      </c>
      <c r="C8873" s="2" t="s">
        <v>4</v>
      </c>
      <c r="D8873" s="2" t="s">
        <v>5</v>
      </c>
    </row>
    <row r="8874">
      <c r="A8874" s="1">
        <v>43797.67446224537</v>
      </c>
      <c r="B8874" s="2">
        <v>709.0</v>
      </c>
      <c r="C8874" s="2" t="s">
        <v>20</v>
      </c>
      <c r="D8874" s="2" t="s">
        <v>5</v>
      </c>
    </row>
    <row r="8875">
      <c r="A8875" s="1">
        <v>43797.67450606481</v>
      </c>
      <c r="B8875" s="2">
        <v>710.0</v>
      </c>
      <c r="C8875" s="2" t="s">
        <v>21</v>
      </c>
      <c r="D8875" s="2" t="s">
        <v>5</v>
      </c>
    </row>
    <row r="8876">
      <c r="A8876" s="1">
        <v>43797.674540162036</v>
      </c>
      <c r="B8876" s="2">
        <v>711.0</v>
      </c>
      <c r="C8876" s="2" t="s">
        <v>8</v>
      </c>
      <c r="D8876" s="2" t="s">
        <v>5</v>
      </c>
    </row>
    <row r="8877">
      <c r="A8877" s="1">
        <v>43797.674575428246</v>
      </c>
      <c r="B8877" s="2">
        <v>712.0</v>
      </c>
      <c r="C8877" s="2" t="s">
        <v>116</v>
      </c>
      <c r="D8877" s="2" t="s">
        <v>5</v>
      </c>
    </row>
    <row r="8878">
      <c r="A8878" s="1">
        <v>43797.674609699076</v>
      </c>
      <c r="B8878" s="2">
        <v>713.0</v>
      </c>
      <c r="C8878" s="2" t="s">
        <v>121</v>
      </c>
      <c r="D8878" s="2" t="s">
        <v>5</v>
      </c>
    </row>
    <row r="8879">
      <c r="A8879" s="1">
        <v>43797.67469969907</v>
      </c>
      <c r="B8879" s="2">
        <v>714.0</v>
      </c>
      <c r="C8879" s="2" t="s">
        <v>122</v>
      </c>
      <c r="D8879" s="2" t="s">
        <v>5</v>
      </c>
    </row>
    <row r="8880">
      <c r="A8880" s="1">
        <v>43797.67475579861</v>
      </c>
      <c r="B8880" s="2">
        <v>715.0</v>
      </c>
      <c r="C8880" s="2" t="s">
        <v>203</v>
      </c>
      <c r="D8880" s="2" t="s">
        <v>5</v>
      </c>
    </row>
    <row r="8881">
      <c r="A8881" s="1">
        <v>43797.67482936343</v>
      </c>
      <c r="B8881" s="2">
        <v>716.0</v>
      </c>
      <c r="C8881" s="2" t="s">
        <v>123</v>
      </c>
      <c r="D8881" s="2" t="s">
        <v>5</v>
      </c>
    </row>
    <row r="8882">
      <c r="A8882" s="1">
        <v>43797.674882858795</v>
      </c>
      <c r="B8882" s="2">
        <v>717.0</v>
      </c>
      <c r="C8882" s="2" t="s">
        <v>152</v>
      </c>
      <c r="D8882" s="2" t="s">
        <v>5</v>
      </c>
    </row>
    <row r="8883">
      <c r="A8883" s="1">
        <v>43797.67494467593</v>
      </c>
      <c r="B8883" s="2">
        <v>718.0</v>
      </c>
      <c r="C8883" s="2" t="s">
        <v>105</v>
      </c>
      <c r="D8883" s="2" t="s">
        <v>5</v>
      </c>
    </row>
    <row r="8884">
      <c r="A8884" s="1">
        <v>43797.67498497685</v>
      </c>
      <c r="B8884" s="2">
        <v>719.0</v>
      </c>
      <c r="C8884" s="2" t="s">
        <v>106</v>
      </c>
      <c r="D8884" s="2" t="s">
        <v>5</v>
      </c>
    </row>
    <row r="8885">
      <c r="A8885" s="1">
        <v>43797.67502328704</v>
      </c>
      <c r="B8885" s="2">
        <v>720.0</v>
      </c>
      <c r="C8885" s="2" t="s">
        <v>155</v>
      </c>
      <c r="D8885" s="2" t="s">
        <v>5</v>
      </c>
    </row>
    <row r="8886">
      <c r="A8886" s="1">
        <v>43797.675068344906</v>
      </c>
      <c r="B8886" s="2">
        <v>721.0</v>
      </c>
      <c r="C8886" s="2" t="s">
        <v>156</v>
      </c>
      <c r="D8886" s="2" t="s">
        <v>5</v>
      </c>
    </row>
    <row r="8887">
      <c r="A8887" s="1">
        <v>43797.67511509259</v>
      </c>
      <c r="B8887" s="2">
        <v>722.0</v>
      </c>
      <c r="C8887" s="2" t="s">
        <v>25</v>
      </c>
      <c r="D8887" s="2" t="s">
        <v>5</v>
      </c>
    </row>
    <row r="8888">
      <c r="A8888" s="1">
        <v>43797.675173194446</v>
      </c>
      <c r="B8888" s="2">
        <v>723.0</v>
      </c>
      <c r="C8888" s="2" t="s">
        <v>84</v>
      </c>
      <c r="D8888" s="2" t="s">
        <v>5</v>
      </c>
    </row>
    <row r="8889">
      <c r="A8889" s="1">
        <v>43797.67522445602</v>
      </c>
      <c r="B8889" s="2">
        <v>724.0</v>
      </c>
      <c r="C8889" s="2" t="s">
        <v>91</v>
      </c>
      <c r="D8889" s="2" t="s">
        <v>5</v>
      </c>
    </row>
    <row r="8890">
      <c r="A8890" s="1">
        <v>43797.67527612268</v>
      </c>
      <c r="B8890" s="2">
        <v>725.0</v>
      </c>
      <c r="C8890" s="2" t="s">
        <v>92</v>
      </c>
      <c r="D8890" s="2" t="s">
        <v>5</v>
      </c>
    </row>
    <row r="8891">
      <c r="A8891" s="1">
        <v>43797.67561954861</v>
      </c>
      <c r="B8891" s="2">
        <v>726.0</v>
      </c>
      <c r="C8891" s="2" t="s">
        <v>101</v>
      </c>
      <c r="D8891" s="2" t="s">
        <v>5</v>
      </c>
    </row>
    <row r="8892">
      <c r="A8892" s="1">
        <v>43797.67566096065</v>
      </c>
      <c r="B8892" s="2">
        <v>728.0</v>
      </c>
      <c r="C8892" s="2" t="s">
        <v>173</v>
      </c>
      <c r="D8892" s="2" t="s">
        <v>5</v>
      </c>
    </row>
    <row r="8893">
      <c r="A8893" s="1">
        <v>43797.67570987268</v>
      </c>
      <c r="B8893" s="2">
        <v>729.0</v>
      </c>
      <c r="C8893" s="2" t="s">
        <v>54</v>
      </c>
      <c r="D8893" s="2" t="s">
        <v>5</v>
      </c>
    </row>
    <row r="8894">
      <c r="A8894" s="1">
        <v>43797.67574505787</v>
      </c>
      <c r="B8894" s="2">
        <v>731.0</v>
      </c>
      <c r="C8894" s="2" t="s">
        <v>164</v>
      </c>
      <c r="D8894" s="2" t="s">
        <v>5</v>
      </c>
    </row>
    <row r="8895">
      <c r="A8895" s="1">
        <v>43797.67578482639</v>
      </c>
      <c r="B8895" s="2">
        <v>732.0</v>
      </c>
      <c r="C8895" s="2" t="s">
        <v>102</v>
      </c>
      <c r="D8895" s="2" t="s">
        <v>5</v>
      </c>
    </row>
    <row r="8896">
      <c r="A8896" s="1">
        <v>43797.67587893519</v>
      </c>
      <c r="B8896" s="2">
        <v>733.0</v>
      </c>
      <c r="C8896" s="2" t="s">
        <v>110</v>
      </c>
      <c r="D8896" s="2" t="s">
        <v>5</v>
      </c>
    </row>
    <row r="8897">
      <c r="A8897" s="1">
        <v>43797.67593884259</v>
      </c>
      <c r="B8897" s="2">
        <v>734.0</v>
      </c>
      <c r="C8897" s="2" t="s">
        <v>63</v>
      </c>
      <c r="D8897" s="2" t="s">
        <v>5</v>
      </c>
    </row>
    <row r="8898">
      <c r="A8898" s="1">
        <v>43797.67600262731</v>
      </c>
      <c r="B8898" s="2">
        <v>735.0</v>
      </c>
      <c r="C8898" s="2" t="s">
        <v>37</v>
      </c>
      <c r="D8898" s="2" t="s">
        <v>5</v>
      </c>
    </row>
    <row r="8899">
      <c r="A8899" s="1">
        <v>43797.676057743054</v>
      </c>
      <c r="B8899" s="2">
        <v>736.0</v>
      </c>
      <c r="C8899" s="2" t="s">
        <v>175</v>
      </c>
      <c r="D8899" s="2" t="s">
        <v>5</v>
      </c>
    </row>
    <row r="8900">
      <c r="A8900" s="1">
        <v>43797.67610802084</v>
      </c>
      <c r="B8900" s="2">
        <v>737.0</v>
      </c>
      <c r="C8900" s="2" t="s">
        <v>176</v>
      </c>
      <c r="D8900" s="2" t="s">
        <v>5</v>
      </c>
    </row>
    <row r="8901">
      <c r="A8901" s="1">
        <v>43797.67621391204</v>
      </c>
      <c r="B8901" s="2">
        <v>738.0</v>
      </c>
      <c r="C8901" s="2" t="s">
        <v>161</v>
      </c>
      <c r="D8901" s="2" t="s">
        <v>5</v>
      </c>
    </row>
    <row r="8902">
      <c r="A8902" s="1">
        <v>43797.676248738426</v>
      </c>
      <c r="B8902" s="2">
        <v>739.0</v>
      </c>
      <c r="C8902" s="2" t="s">
        <v>194</v>
      </c>
      <c r="D8902" s="2" t="s">
        <v>5</v>
      </c>
    </row>
    <row r="8903">
      <c r="A8903" s="1">
        <v>43797.67629366898</v>
      </c>
      <c r="B8903" s="2">
        <v>740.0</v>
      </c>
      <c r="C8903" s="2" t="s">
        <v>221</v>
      </c>
      <c r="D8903" s="2" t="s">
        <v>5</v>
      </c>
    </row>
    <row r="8904">
      <c r="A8904" s="1">
        <v>43797.676364224535</v>
      </c>
      <c r="C8904" s="2" t="s">
        <v>195</v>
      </c>
    </row>
    <row r="8905">
      <c r="A8905" s="1">
        <v>43797.67640596065</v>
      </c>
      <c r="C8905" s="2" t="s">
        <v>196</v>
      </c>
    </row>
    <row r="8906">
      <c r="A8906" s="1">
        <v>43797.676444641205</v>
      </c>
      <c r="C8906" s="2" t="s">
        <v>198</v>
      </c>
    </row>
    <row r="8907">
      <c r="A8907" s="1">
        <v>43797.67651344907</v>
      </c>
      <c r="C8907" s="2" t="s">
        <v>199</v>
      </c>
    </row>
    <row r="8908">
      <c r="A8908" s="1">
        <v>43797.67655616898</v>
      </c>
      <c r="C8908" s="2" t="s">
        <v>200</v>
      </c>
    </row>
    <row r="8909">
      <c r="A8909" s="1">
        <v>43797.67661188658</v>
      </c>
      <c r="C8909" s="2" t="s">
        <v>201</v>
      </c>
    </row>
    <row r="8910">
      <c r="A8910" s="1">
        <v>43797.67667028935</v>
      </c>
      <c r="C8910" s="2" t="s">
        <v>19</v>
      </c>
    </row>
    <row r="8911">
      <c r="A8911" s="1">
        <v>43797.67671206019</v>
      </c>
      <c r="C8911" s="2" t="s">
        <v>202</v>
      </c>
    </row>
    <row r="8912">
      <c r="A8912" s="1">
        <v>43797.76173913194</v>
      </c>
      <c r="B8912" s="2">
        <v>713.0</v>
      </c>
      <c r="C8912" s="2" t="s">
        <v>121</v>
      </c>
      <c r="D8912" s="2" t="s">
        <v>5</v>
      </c>
    </row>
    <row r="8913">
      <c r="A8913" s="1">
        <v>43797.76182114583</v>
      </c>
      <c r="B8913" s="2">
        <v>713.0</v>
      </c>
      <c r="C8913" s="2" t="s">
        <v>121</v>
      </c>
      <c r="D8913" s="2" t="s">
        <v>5</v>
      </c>
    </row>
    <row r="8914">
      <c r="A8914" s="1">
        <v>43797.76186652778</v>
      </c>
      <c r="B8914" s="2">
        <v>711.0</v>
      </c>
      <c r="C8914" s="2" t="s">
        <v>8</v>
      </c>
      <c r="D8914" s="2" t="s">
        <v>5</v>
      </c>
    </row>
    <row r="8915">
      <c r="A8915" s="1">
        <v>43797.76187886574</v>
      </c>
      <c r="B8915" s="2">
        <v>711.0</v>
      </c>
      <c r="C8915" s="2" t="s">
        <v>8</v>
      </c>
      <c r="D8915" s="2" t="s">
        <v>5</v>
      </c>
    </row>
    <row r="8916">
      <c r="A8916" s="1">
        <v>43797.761914965275</v>
      </c>
      <c r="B8916" s="2">
        <v>709.0</v>
      </c>
      <c r="C8916" s="2" t="s">
        <v>20</v>
      </c>
      <c r="D8916" s="2" t="s">
        <v>5</v>
      </c>
    </row>
    <row r="8917">
      <c r="A8917" s="1">
        <v>43797.76194917824</v>
      </c>
      <c r="B8917" s="2">
        <v>707.0</v>
      </c>
      <c r="C8917" s="2" t="s">
        <v>57</v>
      </c>
      <c r="D8917" s="2" t="s">
        <v>5</v>
      </c>
    </row>
    <row r="8918">
      <c r="A8918" s="1">
        <v>43797.76202230324</v>
      </c>
      <c r="B8918" s="2">
        <v>706.0</v>
      </c>
      <c r="C8918" s="2" t="s">
        <v>149</v>
      </c>
      <c r="D8918" s="2" t="s">
        <v>5</v>
      </c>
    </row>
    <row r="8919">
      <c r="A8919" s="1">
        <v>43797.76203619213</v>
      </c>
      <c r="B8919" s="2">
        <v>706.0</v>
      </c>
      <c r="C8919" s="2" t="s">
        <v>149</v>
      </c>
      <c r="D8919" s="2" t="s">
        <v>5</v>
      </c>
    </row>
    <row r="8920">
      <c r="A8920" s="1">
        <v>43797.76205597223</v>
      </c>
      <c r="B8920" s="2">
        <v>704.0</v>
      </c>
      <c r="C8920" s="2" t="s">
        <v>167</v>
      </c>
      <c r="D8920" s="2" t="s">
        <v>5</v>
      </c>
    </row>
    <row r="8921">
      <c r="A8921" s="1">
        <v>43797.76208186343</v>
      </c>
      <c r="B8921" s="2">
        <v>702.0</v>
      </c>
      <c r="C8921" s="2" t="s">
        <v>96</v>
      </c>
      <c r="D8921" s="2" t="s">
        <v>5</v>
      </c>
    </row>
    <row r="8922">
      <c r="A8922" s="1">
        <v>43797.76211369213</v>
      </c>
      <c r="B8922" s="2">
        <v>701.0</v>
      </c>
      <c r="C8922" s="2" t="s">
        <v>93</v>
      </c>
      <c r="D8922" s="2" t="s">
        <v>5</v>
      </c>
    </row>
    <row r="8923">
      <c r="A8923" s="1">
        <v>43797.76213309028</v>
      </c>
      <c r="B8923" s="2">
        <v>702.0</v>
      </c>
      <c r="C8923" s="2" t="s">
        <v>96</v>
      </c>
      <c r="D8923" s="2" t="s">
        <v>5</v>
      </c>
    </row>
    <row r="8924">
      <c r="A8924" s="1">
        <v>43797.76214414352</v>
      </c>
      <c r="B8924" s="2">
        <v>714.0</v>
      </c>
      <c r="C8924" s="2" t="s">
        <v>122</v>
      </c>
      <c r="D8924" s="2" t="s">
        <v>5</v>
      </c>
    </row>
    <row r="8925">
      <c r="A8925" s="1">
        <v>43797.76216607638</v>
      </c>
      <c r="B8925" s="2">
        <v>715.0</v>
      </c>
      <c r="C8925" s="2" t="s">
        <v>203</v>
      </c>
      <c r="D8925" s="2" t="s">
        <v>5</v>
      </c>
    </row>
    <row r="8926">
      <c r="A8926" s="1">
        <v>43797.76218289352</v>
      </c>
      <c r="B8926" s="2">
        <v>716.0</v>
      </c>
      <c r="C8926" s="2" t="s">
        <v>123</v>
      </c>
      <c r="D8926" s="2" t="s">
        <v>5</v>
      </c>
    </row>
    <row r="8927">
      <c r="A8927" s="1">
        <v>43797.76219375</v>
      </c>
      <c r="B8927" s="2">
        <v>717.0</v>
      </c>
      <c r="C8927" s="2" t="s">
        <v>152</v>
      </c>
      <c r="D8927" s="2" t="s">
        <v>5</v>
      </c>
    </row>
    <row r="8928">
      <c r="A8928" s="1">
        <v>43797.76222866898</v>
      </c>
      <c r="B8928" s="2">
        <v>719.0</v>
      </c>
      <c r="C8928" s="2" t="s">
        <v>106</v>
      </c>
      <c r="D8928" s="2" t="s">
        <v>5</v>
      </c>
    </row>
    <row r="8929">
      <c r="A8929" s="1">
        <v>43797.762259675925</v>
      </c>
      <c r="B8929" s="2">
        <v>720.0</v>
      </c>
      <c r="C8929" s="2" t="s">
        <v>155</v>
      </c>
      <c r="D8929" s="2" t="s">
        <v>5</v>
      </c>
    </row>
    <row r="8930">
      <c r="A8930" s="1">
        <v>43797.76227986111</v>
      </c>
      <c r="B8930" s="2">
        <v>721.0</v>
      </c>
      <c r="C8930" s="2" t="s">
        <v>156</v>
      </c>
      <c r="D8930" s="2" t="s">
        <v>5</v>
      </c>
    </row>
    <row r="8931">
      <c r="A8931" s="1">
        <v>43797.76229182871</v>
      </c>
      <c r="B8931" s="2">
        <v>722.0</v>
      </c>
      <c r="C8931" s="2" t="s">
        <v>25</v>
      </c>
      <c r="D8931" s="2" t="s">
        <v>5</v>
      </c>
    </row>
    <row r="8932">
      <c r="A8932" s="1">
        <v>43797.762393171295</v>
      </c>
      <c r="B8932" s="2">
        <v>723.0</v>
      </c>
      <c r="C8932" s="2" t="s">
        <v>84</v>
      </c>
      <c r="D8932" s="2" t="s">
        <v>5</v>
      </c>
    </row>
    <row r="8933">
      <c r="A8933" s="1">
        <v>43797.76240630787</v>
      </c>
      <c r="B8933" s="2">
        <v>724.0</v>
      </c>
      <c r="C8933" s="2" t="s">
        <v>91</v>
      </c>
      <c r="D8933" s="2" t="s">
        <v>5</v>
      </c>
    </row>
    <row r="8934">
      <c r="A8934" s="1">
        <v>43797.76242532408</v>
      </c>
      <c r="B8934" s="2">
        <v>725.0</v>
      </c>
      <c r="C8934" s="2" t="s">
        <v>92</v>
      </c>
      <c r="D8934" s="2" t="s">
        <v>5</v>
      </c>
    </row>
    <row r="8935">
      <c r="A8935" s="1">
        <v>43797.762473263894</v>
      </c>
      <c r="C8935" s="2" t="s">
        <v>197</v>
      </c>
    </row>
    <row r="8936">
      <c r="A8936" s="1">
        <v>43797.76249439815</v>
      </c>
      <c r="C8936" s="2" t="s">
        <v>196</v>
      </c>
    </row>
    <row r="8937">
      <c r="A8937" s="1">
        <v>43797.762641180554</v>
      </c>
      <c r="C8937" s="2" t="s">
        <v>196</v>
      </c>
    </row>
    <row r="8938">
      <c r="A8938" s="1">
        <v>43797.762682546294</v>
      </c>
      <c r="C8938" s="2" t="s">
        <v>202</v>
      </c>
    </row>
    <row r="8939">
      <c r="A8939" s="1">
        <v>43797.76273125</v>
      </c>
      <c r="C8939" s="2" t="s">
        <v>199</v>
      </c>
    </row>
    <row r="8940">
      <c r="A8940" s="1">
        <v>43797.76274173611</v>
      </c>
      <c r="C8940" s="2" t="s">
        <v>200</v>
      </c>
    </row>
    <row r="8941">
      <c r="A8941" s="1">
        <v>43797.76275628472</v>
      </c>
      <c r="C8941" s="2" t="s">
        <v>198</v>
      </c>
    </row>
    <row r="8942">
      <c r="A8942" s="1">
        <v>43797.76276817129</v>
      </c>
      <c r="C8942" s="2" t="s">
        <v>19</v>
      </c>
    </row>
    <row r="8943">
      <c r="A8943" s="1">
        <v>43797.76278730324</v>
      </c>
      <c r="C8943" s="2" t="s">
        <v>201</v>
      </c>
    </row>
    <row r="8944">
      <c r="A8944" s="1">
        <v>43797.76399506944</v>
      </c>
      <c r="B8944" s="2">
        <v>665.0</v>
      </c>
      <c r="C8944" s="2" t="s">
        <v>145</v>
      </c>
    </row>
    <row r="8945">
      <c r="A8945" s="1">
        <v>43797.764052071754</v>
      </c>
      <c r="B8945" s="2">
        <v>656.0</v>
      </c>
      <c r="C8945" s="2" t="s">
        <v>144</v>
      </c>
    </row>
    <row r="8946">
      <c r="A8946" s="1">
        <v>43797.76410699074</v>
      </c>
      <c r="B8946" s="2">
        <v>635.0</v>
      </c>
      <c r="C8946" s="2" t="s">
        <v>165</v>
      </c>
    </row>
    <row r="8947">
      <c r="A8947" s="1">
        <v>43797.764129675925</v>
      </c>
      <c r="B8947" s="2">
        <v>643.0</v>
      </c>
      <c r="C8947" s="2" t="s">
        <v>166</v>
      </c>
    </row>
    <row r="8948">
      <c r="A8948" s="1">
        <v>43797.76413930555</v>
      </c>
      <c r="B8948" s="2">
        <v>643.0</v>
      </c>
      <c r="C8948" s="2" t="s">
        <v>166</v>
      </c>
    </row>
    <row r="8949">
      <c r="A8949" s="1">
        <v>43797.76421259259</v>
      </c>
      <c r="B8949" s="2">
        <v>648.0</v>
      </c>
      <c r="C8949" s="2" t="s">
        <v>207</v>
      </c>
    </row>
    <row r="8950">
      <c r="A8950" s="1">
        <v>43797.764229699074</v>
      </c>
      <c r="B8950" s="2">
        <v>649.0</v>
      </c>
      <c r="C8950" s="2" t="s">
        <v>177</v>
      </c>
    </row>
    <row r="8951">
      <c r="A8951" s="1">
        <v>43797.764245405095</v>
      </c>
      <c r="B8951" s="2">
        <v>649.0</v>
      </c>
      <c r="C8951" s="2" t="s">
        <v>177</v>
      </c>
    </row>
    <row r="8952">
      <c r="A8952" s="1">
        <v>43797.76431751157</v>
      </c>
      <c r="B8952" s="2">
        <v>634.0</v>
      </c>
      <c r="C8952" s="2" t="s">
        <v>234</v>
      </c>
    </row>
    <row r="8953">
      <c r="A8953" s="1">
        <v>43797.764331597224</v>
      </c>
      <c r="B8953" s="2">
        <v>633.0</v>
      </c>
      <c r="C8953" s="2" t="s">
        <v>233</v>
      </c>
    </row>
    <row r="8954">
      <c r="A8954" s="1">
        <v>43797.76434637731</v>
      </c>
      <c r="B8954" s="2">
        <v>635.0</v>
      </c>
      <c r="C8954" s="2" t="s">
        <v>165</v>
      </c>
    </row>
    <row r="8955">
      <c r="A8955" s="1">
        <v>43797.7643643287</v>
      </c>
      <c r="B8955" s="2">
        <v>636.0</v>
      </c>
      <c r="C8955" s="2" t="s">
        <v>204</v>
      </c>
    </row>
    <row r="8956">
      <c r="A8956" s="1">
        <v>43797.76437726852</v>
      </c>
      <c r="B8956" s="2">
        <v>639.0</v>
      </c>
      <c r="C8956" s="2" t="s">
        <v>235</v>
      </c>
    </row>
    <row r="8957">
      <c r="A8957" s="1">
        <v>43797.764387777774</v>
      </c>
      <c r="B8957" s="2">
        <v>641.0</v>
      </c>
      <c r="C8957" s="2" t="s">
        <v>210</v>
      </c>
    </row>
    <row r="8958">
      <c r="A8958" s="1">
        <v>43797.76446179398</v>
      </c>
      <c r="B8958" s="2">
        <v>642.0</v>
      </c>
      <c r="C8958" s="2" t="s">
        <v>236</v>
      </c>
    </row>
    <row r="8959">
      <c r="A8959" s="1">
        <v>43797.76448118055</v>
      </c>
      <c r="B8959" s="2">
        <v>643.0</v>
      </c>
      <c r="C8959" s="2" t="s">
        <v>166</v>
      </c>
    </row>
    <row r="8960">
      <c r="A8960" s="1">
        <v>43797.76454820602</v>
      </c>
      <c r="B8960" s="2">
        <v>644.0</v>
      </c>
      <c r="C8960" s="2" t="s">
        <v>227</v>
      </c>
    </row>
    <row r="8961">
      <c r="A8961" s="1">
        <v>43797.76458966435</v>
      </c>
      <c r="B8961" s="2">
        <v>653.0</v>
      </c>
      <c r="C8961" s="2" t="s">
        <v>77</v>
      </c>
    </row>
    <row r="8962">
      <c r="A8962" s="1">
        <v>43797.76460931713</v>
      </c>
      <c r="B8962" s="2">
        <v>653.0</v>
      </c>
      <c r="C8962" s="2" t="s">
        <v>77</v>
      </c>
    </row>
    <row r="8963">
      <c r="A8963" s="1">
        <v>43797.764622766204</v>
      </c>
      <c r="B8963" s="2">
        <v>655.0</v>
      </c>
      <c r="C8963" s="2" t="s">
        <v>17</v>
      </c>
    </row>
    <row r="8964">
      <c r="A8964" s="1">
        <v>43797.76464981481</v>
      </c>
      <c r="B8964" s="2">
        <v>656.0</v>
      </c>
      <c r="C8964" s="2" t="s">
        <v>144</v>
      </c>
    </row>
    <row r="8965">
      <c r="A8965" s="1">
        <v>43797.76484488426</v>
      </c>
      <c r="B8965" s="3" t="s">
        <v>117</v>
      </c>
      <c r="C8965" s="2" t="s">
        <v>118</v>
      </c>
    </row>
    <row r="8966">
      <c r="A8966" s="1">
        <v>43797.764870300925</v>
      </c>
      <c r="B8966" s="3" t="s">
        <v>9</v>
      </c>
      <c r="C8966" s="2" t="s">
        <v>10</v>
      </c>
    </row>
    <row r="8967">
      <c r="A8967" s="1">
        <v>43797.76491297454</v>
      </c>
      <c r="B8967" s="3" t="s">
        <v>88</v>
      </c>
      <c r="C8967" s="2" t="s">
        <v>89</v>
      </c>
    </row>
    <row r="8968">
      <c r="A8968" s="1">
        <v>43797.76492829861</v>
      </c>
      <c r="B8968" s="3" t="s">
        <v>22</v>
      </c>
      <c r="C8968" s="2" t="s">
        <v>23</v>
      </c>
    </row>
    <row r="8969">
      <c r="A8969" s="1">
        <v>43797.76494355324</v>
      </c>
      <c r="B8969" s="3" t="s">
        <v>186</v>
      </c>
      <c r="C8969" s="2" t="s">
        <v>187</v>
      </c>
    </row>
    <row r="8970">
      <c r="A8970" s="1">
        <v>43797.76496151621</v>
      </c>
      <c r="B8970" s="3" t="s">
        <v>184</v>
      </c>
      <c r="C8970" s="2" t="s">
        <v>185</v>
      </c>
    </row>
    <row r="8971">
      <c r="A8971" s="1">
        <v>43797.7649822338</v>
      </c>
      <c r="B8971" s="3" t="s">
        <v>119</v>
      </c>
      <c r="C8971" s="2" t="s">
        <v>120</v>
      </c>
    </row>
    <row r="8972">
      <c r="A8972" s="1">
        <v>43797.765012662036</v>
      </c>
      <c r="B8972" s="3" t="s">
        <v>11</v>
      </c>
      <c r="C8972" s="2" t="s">
        <v>12</v>
      </c>
    </row>
    <row r="8973">
      <c r="A8973" s="1">
        <v>43797.765082025464</v>
      </c>
      <c r="B8973" s="3" t="s">
        <v>126</v>
      </c>
      <c r="C8973" s="2" t="s">
        <v>127</v>
      </c>
    </row>
    <row r="8974">
      <c r="A8974" s="1">
        <v>43797.765096863426</v>
      </c>
      <c r="B8974" s="3" t="s">
        <v>59</v>
      </c>
      <c r="C8974" s="2" t="s">
        <v>60</v>
      </c>
    </row>
    <row r="8975">
      <c r="A8975" s="1">
        <v>43797.765131712964</v>
      </c>
      <c r="B8975" s="3" t="s">
        <v>13</v>
      </c>
      <c r="C8975" s="2" t="s">
        <v>14</v>
      </c>
    </row>
    <row r="8976">
      <c r="A8976" s="1">
        <v>43797.76514708334</v>
      </c>
      <c r="B8976" s="3" t="s">
        <v>74</v>
      </c>
      <c r="C8976" s="2" t="s">
        <v>75</v>
      </c>
    </row>
    <row r="8977">
      <c r="A8977" s="1">
        <v>43797.76516108796</v>
      </c>
      <c r="B8977" s="3" t="s">
        <v>159</v>
      </c>
      <c r="C8977" s="2" t="s">
        <v>160</v>
      </c>
    </row>
    <row r="8978">
      <c r="A8978" s="1">
        <v>43797.76517407407</v>
      </c>
      <c r="B8978" s="3" t="s">
        <v>103</v>
      </c>
      <c r="C8978" s="2" t="s">
        <v>104</v>
      </c>
    </row>
    <row r="8979">
      <c r="A8979" s="1">
        <v>43797.76520540509</v>
      </c>
      <c r="B8979" s="3" t="s">
        <v>162</v>
      </c>
      <c r="C8979" s="2" t="s">
        <v>163</v>
      </c>
    </row>
    <row r="8980">
      <c r="A8980" s="1">
        <v>43797.76527474537</v>
      </c>
      <c r="B8980" s="3" t="s">
        <v>82</v>
      </c>
      <c r="C8980" s="2" t="s">
        <v>83</v>
      </c>
    </row>
    <row r="8981">
      <c r="A8981" s="1">
        <v>43797.765287581016</v>
      </c>
      <c r="B8981" s="3" t="s">
        <v>150</v>
      </c>
      <c r="C8981" s="2" t="s">
        <v>151</v>
      </c>
    </row>
    <row r="8982">
      <c r="A8982" s="1">
        <v>43797.76530773148</v>
      </c>
      <c r="B8982" s="3" t="s">
        <v>44</v>
      </c>
      <c r="C8982" s="2" t="s">
        <v>45</v>
      </c>
    </row>
    <row r="8983">
      <c r="A8983" s="1">
        <v>43797.76539858796</v>
      </c>
      <c r="B8983" s="3" t="s">
        <v>44</v>
      </c>
      <c r="C8983" s="2" t="s">
        <v>45</v>
      </c>
    </row>
    <row r="8984">
      <c r="A8984" s="1">
        <v>43797.76543915509</v>
      </c>
      <c r="B8984" s="3" t="s">
        <v>180</v>
      </c>
      <c r="C8984" s="2" t="s">
        <v>181</v>
      </c>
    </row>
    <row r="8985">
      <c r="A8985" s="1">
        <v>43797.765450798615</v>
      </c>
      <c r="B8985" s="3" t="s">
        <v>180</v>
      </c>
      <c r="C8985" s="2" t="s">
        <v>181</v>
      </c>
    </row>
    <row r="8986">
      <c r="A8986" s="1">
        <v>43797.765476967594</v>
      </c>
      <c r="B8986" s="3" t="s">
        <v>78</v>
      </c>
      <c r="C8986" s="2" t="s">
        <v>79</v>
      </c>
    </row>
    <row r="8987">
      <c r="A8987" s="1">
        <v>43797.76549542824</v>
      </c>
      <c r="B8987" s="3" t="s">
        <v>111</v>
      </c>
      <c r="C8987" s="2" t="s">
        <v>112</v>
      </c>
    </row>
    <row r="8988">
      <c r="A8988" s="1">
        <v>43797.76551467592</v>
      </c>
      <c r="B8988" s="3" t="s">
        <v>80</v>
      </c>
      <c r="C8988" s="2" t="s">
        <v>81</v>
      </c>
    </row>
    <row r="8989">
      <c r="A8989" s="1">
        <v>43797.765523622686</v>
      </c>
      <c r="B8989" s="3" t="s">
        <v>80</v>
      </c>
      <c r="C8989" s="2" t="s">
        <v>81</v>
      </c>
    </row>
    <row r="8990">
      <c r="A8990" s="1">
        <v>43797.76558733796</v>
      </c>
      <c r="B8990" s="3" t="s">
        <v>80</v>
      </c>
      <c r="C8990" s="2" t="s">
        <v>81</v>
      </c>
    </row>
    <row r="8991">
      <c r="A8991" s="1">
        <v>43797.765738981485</v>
      </c>
      <c r="B8991" s="3" t="s">
        <v>51</v>
      </c>
      <c r="C8991" s="2" t="s">
        <v>52</v>
      </c>
    </row>
    <row r="8992">
      <c r="A8992" s="1">
        <v>43797.765754884254</v>
      </c>
      <c r="B8992" s="3" t="s">
        <v>169</v>
      </c>
      <c r="C8992" s="2" t="s">
        <v>170</v>
      </c>
    </row>
    <row r="8993">
      <c r="A8993" s="1">
        <v>43797.76577607639</v>
      </c>
      <c r="B8993" s="3" t="s">
        <v>32</v>
      </c>
      <c r="C8993" s="2" t="s">
        <v>33</v>
      </c>
    </row>
    <row r="8994">
      <c r="A8994" s="1">
        <v>43797.76578371528</v>
      </c>
      <c r="B8994" s="3" t="s">
        <v>32</v>
      </c>
      <c r="C8994" s="2" t="s">
        <v>33</v>
      </c>
    </row>
    <row r="8995">
      <c r="A8995" s="1">
        <v>43797.76581442129</v>
      </c>
      <c r="B8995" s="3" t="s">
        <v>42</v>
      </c>
      <c r="C8995" s="2" t="s">
        <v>43</v>
      </c>
    </row>
    <row r="8996">
      <c r="A8996" s="1">
        <v>43797.765905312495</v>
      </c>
      <c r="B8996" s="3" t="s">
        <v>42</v>
      </c>
      <c r="C8996" s="2" t="s">
        <v>43</v>
      </c>
    </row>
    <row r="8997">
      <c r="A8997" s="1">
        <v>43797.765949953704</v>
      </c>
      <c r="B8997" s="3" t="s">
        <v>55</v>
      </c>
      <c r="C8997" s="2" t="s">
        <v>56</v>
      </c>
    </row>
    <row r="8998">
      <c r="A8998" s="1">
        <v>43797.76599622685</v>
      </c>
      <c r="B8998" s="3" t="s">
        <v>98</v>
      </c>
      <c r="C8998" s="2" t="s">
        <v>99</v>
      </c>
    </row>
    <row r="8999">
      <c r="A8999" s="1">
        <v>43797.76601465278</v>
      </c>
      <c r="B8999" s="3" t="s">
        <v>48</v>
      </c>
      <c r="C8999" s="2" t="s">
        <v>49</v>
      </c>
    </row>
    <row r="9000">
      <c r="A9000" s="1">
        <v>43797.76603351852</v>
      </c>
      <c r="B9000" s="3" t="s">
        <v>94</v>
      </c>
      <c r="C9000" s="2" t="s">
        <v>95</v>
      </c>
    </row>
    <row r="9001">
      <c r="A9001" s="1">
        <v>43797.76606149306</v>
      </c>
      <c r="B9001" s="3" t="s">
        <v>113</v>
      </c>
      <c r="C9001" s="2" t="s">
        <v>114</v>
      </c>
    </row>
    <row r="9002">
      <c r="A9002" s="1">
        <v>43797.76607855324</v>
      </c>
      <c r="B9002" s="2">
        <v>101.0</v>
      </c>
      <c r="C9002" s="2" t="s">
        <v>108</v>
      </c>
    </row>
    <row r="9003">
      <c r="A9003" s="1">
        <v>43797.76609513889</v>
      </c>
      <c r="B9003" s="2">
        <v>113.0</v>
      </c>
      <c r="C9003" s="2" t="s">
        <v>29</v>
      </c>
    </row>
    <row r="9004">
      <c r="A9004" s="1">
        <v>43797.76613074074</v>
      </c>
      <c r="B9004" s="2">
        <v>114.0</v>
      </c>
      <c r="C9004" s="2" t="s">
        <v>15</v>
      </c>
    </row>
    <row r="9005">
      <c r="A9005" s="1">
        <v>43797.7661409375</v>
      </c>
      <c r="B9005" s="2">
        <v>116.0</v>
      </c>
      <c r="C9005" s="2" t="s">
        <v>211</v>
      </c>
    </row>
    <row r="9006">
      <c r="A9006" s="1">
        <v>43797.7661537963</v>
      </c>
      <c r="B9006" s="2">
        <v>117.0</v>
      </c>
      <c r="C9006" s="2" t="s">
        <v>226</v>
      </c>
    </row>
    <row r="9007">
      <c r="A9007" s="1">
        <v>43797.76637832176</v>
      </c>
      <c r="B9007" s="2">
        <v>708.0</v>
      </c>
      <c r="C9007" s="2" t="s">
        <v>4</v>
      </c>
      <c r="D9007" s="2" t="s">
        <v>5</v>
      </c>
    </row>
    <row r="9008">
      <c r="A9008" s="1">
        <v>43797.766390625</v>
      </c>
      <c r="B9008" s="2">
        <v>708.0</v>
      </c>
      <c r="C9008" s="2" t="s">
        <v>4</v>
      </c>
      <c r="D9008" s="2" t="s">
        <v>5</v>
      </c>
    </row>
    <row r="9009">
      <c r="A9009" s="1">
        <v>43797.766429641204</v>
      </c>
      <c r="B9009" s="2">
        <v>664.0</v>
      </c>
      <c r="C9009" s="2" t="s">
        <v>191</v>
      </c>
    </row>
    <row r="9010">
      <c r="A9010" s="1">
        <v>43797.76644423611</v>
      </c>
      <c r="B9010" s="2">
        <v>655.0</v>
      </c>
      <c r="C9010" s="2" t="s">
        <v>17</v>
      </c>
    </row>
    <row r="9011">
      <c r="A9011" s="1">
        <v>43797.76647228009</v>
      </c>
      <c r="B9011" s="2">
        <v>655.0</v>
      </c>
      <c r="C9011" s="2" t="s">
        <v>17</v>
      </c>
    </row>
    <row r="9012">
      <c r="A9012" s="1">
        <v>43797.76654696759</v>
      </c>
      <c r="B9012" s="2">
        <v>647.0</v>
      </c>
      <c r="C9012" s="2" t="s">
        <v>217</v>
      </c>
    </row>
    <row r="9013">
      <c r="A9013" s="1">
        <v>43797.76659675926</v>
      </c>
      <c r="B9013" s="2">
        <v>646.0</v>
      </c>
      <c r="C9013" s="2" t="s">
        <v>209</v>
      </c>
    </row>
    <row r="9014">
      <c r="A9014" s="1">
        <v>43797.7666159375</v>
      </c>
      <c r="B9014" s="2">
        <v>644.0</v>
      </c>
      <c r="C9014" s="2" t="s">
        <v>227</v>
      </c>
    </row>
    <row r="9015">
      <c r="A9015" s="1">
        <v>43797.76664613426</v>
      </c>
      <c r="B9015" s="2">
        <v>642.0</v>
      </c>
      <c r="C9015" s="2" t="s">
        <v>236</v>
      </c>
    </row>
    <row r="9016">
      <c r="A9016" s="1">
        <v>43797.76666829862</v>
      </c>
      <c r="B9016" s="2">
        <v>641.0</v>
      </c>
      <c r="C9016" s="2" t="s">
        <v>210</v>
      </c>
    </row>
    <row r="9017">
      <c r="A9017" s="1">
        <v>43797.76669396991</v>
      </c>
      <c r="B9017" s="2">
        <v>654.0</v>
      </c>
      <c r="C9017" s="2" t="s">
        <v>115</v>
      </c>
    </row>
    <row r="9018">
      <c r="A9018" s="1">
        <v>43797.76671423611</v>
      </c>
      <c r="B9018" s="2">
        <v>655.0</v>
      </c>
      <c r="C9018" s="2" t="s">
        <v>17</v>
      </c>
    </row>
    <row r="9019">
      <c r="A9019" s="1">
        <v>43797.766726747686</v>
      </c>
      <c r="B9019" s="2">
        <v>657.0</v>
      </c>
      <c r="C9019" s="2" t="s">
        <v>237</v>
      </c>
    </row>
    <row r="9020">
      <c r="A9020" s="1">
        <v>43797.76673741898</v>
      </c>
      <c r="B9020" s="2">
        <v>657.0</v>
      </c>
      <c r="C9020" s="2" t="s">
        <v>237</v>
      </c>
    </row>
    <row r="9021">
      <c r="A9021" s="1">
        <v>43797.76678399305</v>
      </c>
      <c r="B9021" s="2">
        <v>661.0</v>
      </c>
      <c r="C9021" s="2" t="s">
        <v>153</v>
      </c>
    </row>
    <row r="9022">
      <c r="A9022" s="1">
        <v>43797.76679821759</v>
      </c>
      <c r="B9022" s="2">
        <v>661.0</v>
      </c>
      <c r="C9022" s="2" t="s">
        <v>153</v>
      </c>
    </row>
    <row r="9023">
      <c r="A9023" s="1">
        <v>43797.76683912037</v>
      </c>
      <c r="B9023" s="2">
        <v>662.0</v>
      </c>
      <c r="C9023" s="2" t="s">
        <v>238</v>
      </c>
    </row>
    <row r="9024">
      <c r="A9024" s="1">
        <v>43799.45385987269</v>
      </c>
      <c r="B9024" s="2">
        <v>214.0</v>
      </c>
      <c r="C9024" s="2" t="s">
        <v>47</v>
      </c>
    </row>
    <row r="9025">
      <c r="A9025" s="1">
        <v>43799.52324879629</v>
      </c>
      <c r="B9025" s="2">
        <v>214.0</v>
      </c>
      <c r="C9025" s="2" t="s">
        <v>47</v>
      </c>
    </row>
    <row r="9026">
      <c r="A9026" s="1">
        <v>43800.416523576394</v>
      </c>
      <c r="B9026" s="2">
        <v>246.0</v>
      </c>
      <c r="C9026" s="2" t="s">
        <v>26</v>
      </c>
    </row>
    <row r="9027">
      <c r="A9027" s="1">
        <v>43800.41688650463</v>
      </c>
      <c r="B9027" s="2">
        <v>219.0</v>
      </c>
      <c r="C9027" s="2" t="s">
        <v>31</v>
      </c>
    </row>
    <row r="9028">
      <c r="A9028" s="1">
        <v>43800.41782642361</v>
      </c>
      <c r="B9028" s="2">
        <v>238.0</v>
      </c>
      <c r="C9028" s="2" t="s">
        <v>35</v>
      </c>
    </row>
    <row r="9029">
      <c r="A9029" s="1">
        <v>43800.418000046295</v>
      </c>
      <c r="B9029" s="2">
        <v>165.0</v>
      </c>
      <c r="C9029" s="2" t="s">
        <v>50</v>
      </c>
    </row>
    <row r="9030">
      <c r="A9030" s="1">
        <v>43800.418070196756</v>
      </c>
      <c r="B9030" s="2">
        <v>167.0</v>
      </c>
      <c r="C9030" s="2" t="s">
        <v>39</v>
      </c>
    </row>
    <row r="9031">
      <c r="A9031" s="1">
        <v>43800.41820210648</v>
      </c>
      <c r="B9031" s="2">
        <v>124.0</v>
      </c>
      <c r="C9031" s="2" t="s">
        <v>107</v>
      </c>
    </row>
    <row r="9032">
      <c r="A9032" s="1">
        <v>43800.41839065972</v>
      </c>
      <c r="B9032" s="2">
        <v>604.0</v>
      </c>
      <c r="C9032" s="2" t="s">
        <v>36</v>
      </c>
    </row>
    <row r="9033">
      <c r="A9033" s="1">
        <v>43800.41850640046</v>
      </c>
      <c r="B9033" s="3" t="s">
        <v>80</v>
      </c>
      <c r="C9033" s="2" t="s">
        <v>81</v>
      </c>
    </row>
    <row r="9034">
      <c r="A9034" s="1">
        <v>43800.419383622684</v>
      </c>
      <c r="B9034" s="2">
        <v>244.0</v>
      </c>
      <c r="C9034" s="2" t="s">
        <v>38</v>
      </c>
    </row>
    <row r="9035">
      <c r="A9035" s="1">
        <v>43800.421196041665</v>
      </c>
      <c r="B9035" s="2">
        <v>738.0</v>
      </c>
      <c r="C9035" s="2" t="s">
        <v>161</v>
      </c>
      <c r="D9035" s="2" t="s">
        <v>5</v>
      </c>
    </row>
    <row r="9036">
      <c r="A9036" s="1">
        <v>43800.42128071759</v>
      </c>
      <c r="B9036" s="2">
        <v>738.0</v>
      </c>
      <c r="C9036" s="2" t="s">
        <v>161</v>
      </c>
      <c r="D9036" s="2" t="s">
        <v>5</v>
      </c>
    </row>
    <row r="9037">
      <c r="A9037" s="1">
        <v>43800.42142922454</v>
      </c>
      <c r="B9037" s="2">
        <v>722.0</v>
      </c>
      <c r="C9037" s="2" t="s">
        <v>25</v>
      </c>
      <c r="D9037" s="2" t="s">
        <v>5</v>
      </c>
    </row>
    <row r="9038">
      <c r="A9038" s="1">
        <v>43800.42252628472</v>
      </c>
      <c r="B9038" s="2">
        <v>262.0</v>
      </c>
      <c r="C9038" s="2" t="s">
        <v>28</v>
      </c>
    </row>
    <row r="9039">
      <c r="A9039" s="1">
        <v>43800.42264469907</v>
      </c>
      <c r="B9039" s="2">
        <v>172.0</v>
      </c>
      <c r="C9039" s="2" t="s">
        <v>65</v>
      </c>
    </row>
    <row r="9040">
      <c r="A9040" s="1">
        <v>43800.42292211806</v>
      </c>
      <c r="B9040" s="2">
        <v>607.0</v>
      </c>
      <c r="C9040" s="2" t="s">
        <v>68</v>
      </c>
    </row>
    <row r="9041">
      <c r="A9041" s="1">
        <v>43800.42311309028</v>
      </c>
      <c r="B9041" s="2">
        <v>210.0</v>
      </c>
      <c r="C9041" s="2" t="s">
        <v>64</v>
      </c>
    </row>
    <row r="9042">
      <c r="A9042" s="1">
        <v>43800.423464224536</v>
      </c>
      <c r="B9042" s="2">
        <v>602.0</v>
      </c>
      <c r="C9042" s="2" t="s">
        <v>131</v>
      </c>
    </row>
    <row r="9043">
      <c r="A9043" s="1">
        <v>43800.42368861111</v>
      </c>
      <c r="B9043" s="3" t="s">
        <v>150</v>
      </c>
      <c r="C9043" s="2" t="s">
        <v>151</v>
      </c>
    </row>
    <row r="9044">
      <c r="A9044" s="1">
        <v>43800.42378755787</v>
      </c>
      <c r="B9044" s="3" t="s">
        <v>186</v>
      </c>
      <c r="C9044" s="2" t="s">
        <v>187</v>
      </c>
    </row>
    <row r="9045">
      <c r="A9045" s="1">
        <v>43800.423870439816</v>
      </c>
      <c r="B9045" s="3" t="s">
        <v>184</v>
      </c>
      <c r="C9045" s="2" t="s">
        <v>185</v>
      </c>
    </row>
    <row r="9046">
      <c r="A9046" s="1">
        <v>43800.423992199074</v>
      </c>
      <c r="B9046" s="3" t="s">
        <v>184</v>
      </c>
      <c r="C9046" s="2" t="s">
        <v>185</v>
      </c>
    </row>
    <row r="9047">
      <c r="A9047" s="1">
        <v>43800.42423510417</v>
      </c>
      <c r="B9047" s="2">
        <v>723.0</v>
      </c>
      <c r="C9047" s="2" t="s">
        <v>84</v>
      </c>
      <c r="D9047" s="2" t="s">
        <v>5</v>
      </c>
    </row>
    <row r="9048">
      <c r="A9048" s="1">
        <v>43800.4248725</v>
      </c>
      <c r="B9048" s="3" t="s">
        <v>78</v>
      </c>
      <c r="C9048" s="2" t="s">
        <v>79</v>
      </c>
    </row>
    <row r="9049">
      <c r="A9049" s="1">
        <v>43800.42548284722</v>
      </c>
      <c r="B9049" s="2">
        <v>735.0</v>
      </c>
      <c r="C9049" s="2" t="s">
        <v>37</v>
      </c>
      <c r="D9049" s="2" t="s">
        <v>5</v>
      </c>
    </row>
    <row r="9050">
      <c r="A9050" s="1">
        <v>43800.42563466435</v>
      </c>
      <c r="B9050" s="2">
        <v>207.0</v>
      </c>
      <c r="C9050" s="2" t="s">
        <v>85</v>
      </c>
    </row>
    <row r="9051">
      <c r="A9051" s="1">
        <v>43800.426364328705</v>
      </c>
      <c r="B9051" s="2">
        <v>609.0</v>
      </c>
      <c r="C9051" s="2" t="s">
        <v>179</v>
      </c>
    </row>
    <row r="9052">
      <c r="A9052" s="1">
        <v>43800.42645324074</v>
      </c>
      <c r="B9052" s="2">
        <v>173.0</v>
      </c>
      <c r="C9052" s="2" t="s">
        <v>24</v>
      </c>
    </row>
    <row r="9053">
      <c r="A9053" s="1">
        <v>43800.42692420139</v>
      </c>
      <c r="B9053" s="2">
        <v>648.0</v>
      </c>
      <c r="C9053" s="2" t="s">
        <v>207</v>
      </c>
    </row>
    <row r="9054">
      <c r="A9054" s="1">
        <v>43800.42703784722</v>
      </c>
      <c r="B9054" s="2">
        <v>736.0</v>
      </c>
      <c r="C9054" s="2" t="s">
        <v>175</v>
      </c>
      <c r="D9054" s="2" t="s">
        <v>5</v>
      </c>
    </row>
    <row r="9055">
      <c r="A9055" s="1">
        <v>43800.42710429398</v>
      </c>
      <c r="B9055" s="2">
        <v>737.0</v>
      </c>
      <c r="C9055" s="2" t="s">
        <v>176</v>
      </c>
      <c r="D9055" s="2" t="s">
        <v>5</v>
      </c>
    </row>
    <row r="9056">
      <c r="A9056" s="1">
        <v>43800.42719478009</v>
      </c>
      <c r="B9056" s="2">
        <v>259.0</v>
      </c>
      <c r="C9056" s="2" t="s">
        <v>66</v>
      </c>
    </row>
    <row r="9057">
      <c r="A9057" s="1">
        <v>43800.42741640046</v>
      </c>
      <c r="B9057" s="3" t="s">
        <v>32</v>
      </c>
      <c r="C9057" s="2" t="s">
        <v>33</v>
      </c>
    </row>
    <row r="9058">
      <c r="A9058" s="1">
        <v>43800.42771015046</v>
      </c>
      <c r="B9058" s="2">
        <v>231.0</v>
      </c>
      <c r="C9058" s="2" t="s">
        <v>61</v>
      </c>
    </row>
    <row r="9059">
      <c r="A9059" s="1">
        <v>43800.42792515046</v>
      </c>
      <c r="B9059" s="2">
        <v>656.0</v>
      </c>
      <c r="C9059" s="2" t="s">
        <v>144</v>
      </c>
    </row>
    <row r="9060">
      <c r="A9060" s="1">
        <v>43800.42852582176</v>
      </c>
      <c r="B9060" s="2">
        <v>214.0</v>
      </c>
      <c r="C9060" s="2" t="s">
        <v>47</v>
      </c>
    </row>
    <row r="9061">
      <c r="A9061" s="1">
        <v>43800.428727569444</v>
      </c>
      <c r="B9061" s="2">
        <v>193.0</v>
      </c>
      <c r="C9061" s="2" t="s">
        <v>30</v>
      </c>
    </row>
    <row r="9062">
      <c r="A9062" s="1">
        <v>43800.43059346065</v>
      </c>
      <c r="B9062" s="2">
        <v>219.0</v>
      </c>
      <c r="C9062" s="2" t="s">
        <v>31</v>
      </c>
    </row>
    <row r="9063">
      <c r="A9063" s="1">
        <v>43800.43072443287</v>
      </c>
      <c r="B9063" s="3" t="s">
        <v>126</v>
      </c>
      <c r="C9063" s="2" t="s">
        <v>127</v>
      </c>
    </row>
    <row r="9064">
      <c r="A9064" s="1">
        <v>43800.4308241088</v>
      </c>
      <c r="B9064" s="3" t="s">
        <v>11</v>
      </c>
      <c r="C9064" s="2" t="s">
        <v>12</v>
      </c>
    </row>
    <row r="9065">
      <c r="A9065" s="1">
        <v>43800.4310741088</v>
      </c>
      <c r="B9065" s="2">
        <v>229.0</v>
      </c>
      <c r="C9065" s="2" t="s">
        <v>86</v>
      </c>
    </row>
    <row r="9066">
      <c r="A9066" s="1">
        <v>43800.43160314814</v>
      </c>
      <c r="B9066" s="2">
        <v>653.0</v>
      </c>
      <c r="C9066" s="2" t="s">
        <v>77</v>
      </c>
    </row>
    <row r="9067">
      <c r="A9067" s="1">
        <v>43800.4321665625</v>
      </c>
      <c r="B9067" s="2">
        <v>716.0</v>
      </c>
      <c r="C9067" s="2" t="s">
        <v>123</v>
      </c>
      <c r="D9067" s="2" t="s">
        <v>5</v>
      </c>
    </row>
    <row r="9068">
      <c r="A9068" s="1">
        <v>43800.43280076389</v>
      </c>
      <c r="B9068" s="2">
        <v>158.0</v>
      </c>
      <c r="C9068" s="2" t="s">
        <v>62</v>
      </c>
    </row>
    <row r="9069">
      <c r="A9069" s="1">
        <v>43800.43289631944</v>
      </c>
      <c r="B9069" s="3" t="s">
        <v>111</v>
      </c>
      <c r="C9069" s="2" t="s">
        <v>112</v>
      </c>
    </row>
    <row r="9070">
      <c r="A9070" s="1">
        <v>43800.43301230324</v>
      </c>
      <c r="B9070" s="2">
        <v>201.0</v>
      </c>
      <c r="C9070" s="2" t="s">
        <v>70</v>
      </c>
    </row>
    <row r="9071">
      <c r="A9071" s="1">
        <v>43800.43474972222</v>
      </c>
      <c r="B9071" s="3" t="s">
        <v>159</v>
      </c>
      <c r="C9071" s="2" t="s">
        <v>160</v>
      </c>
    </row>
    <row r="9072">
      <c r="A9072" s="1">
        <v>43800.434875983796</v>
      </c>
      <c r="B9072" s="3" t="s">
        <v>150</v>
      </c>
      <c r="C9072" s="2" t="s">
        <v>151</v>
      </c>
    </row>
    <row r="9073">
      <c r="A9073" s="1">
        <v>43800.43495792824</v>
      </c>
      <c r="B9073" s="2">
        <v>706.0</v>
      </c>
      <c r="C9073" s="2" t="s">
        <v>149</v>
      </c>
      <c r="D9073" s="2" t="s">
        <v>5</v>
      </c>
    </row>
    <row r="9074">
      <c r="A9074" s="1">
        <v>43800.43524704861</v>
      </c>
      <c r="B9074" s="2">
        <v>679.0</v>
      </c>
      <c r="C9074" s="2" t="s">
        <v>229</v>
      </c>
    </row>
    <row r="9075">
      <c r="A9075" s="1">
        <v>43800.43547429398</v>
      </c>
      <c r="B9075" s="3" t="s">
        <v>88</v>
      </c>
      <c r="C9075" s="2" t="s">
        <v>89</v>
      </c>
    </row>
    <row r="9076">
      <c r="A9076" s="1">
        <v>43800.435734189814</v>
      </c>
      <c r="B9076" s="2">
        <v>126.0</v>
      </c>
      <c r="C9076" s="2" t="s">
        <v>87</v>
      </c>
    </row>
    <row r="9077">
      <c r="A9077" s="1">
        <v>43800.435879895835</v>
      </c>
      <c r="B9077" s="2">
        <v>268.0</v>
      </c>
      <c r="C9077" s="2" t="s">
        <v>205</v>
      </c>
    </row>
    <row r="9078">
      <c r="A9078" s="1">
        <v>43800.436006539356</v>
      </c>
      <c r="B9078" s="2">
        <v>663.0</v>
      </c>
      <c r="C9078" s="2" t="s">
        <v>109</v>
      </c>
    </row>
    <row r="9079">
      <c r="A9079" s="1">
        <v>43800.43612247685</v>
      </c>
      <c r="B9079" s="2">
        <v>733.0</v>
      </c>
      <c r="C9079" s="2" t="s">
        <v>110</v>
      </c>
      <c r="D9079" s="2" t="s">
        <v>5</v>
      </c>
    </row>
    <row r="9080">
      <c r="A9080" s="1">
        <v>43800.436233506945</v>
      </c>
      <c r="B9080" s="2">
        <v>614.0</v>
      </c>
      <c r="C9080" s="2" t="s">
        <v>76</v>
      </c>
    </row>
    <row r="9081">
      <c r="A9081" s="1">
        <v>43800.43667347222</v>
      </c>
      <c r="B9081" s="2">
        <v>214.0</v>
      </c>
      <c r="C9081" s="2" t="s">
        <v>47</v>
      </c>
    </row>
    <row r="9082">
      <c r="A9082" s="1">
        <v>43800.43716936343</v>
      </c>
      <c r="B9082" s="2">
        <v>677.0</v>
      </c>
      <c r="C9082" s="2" t="s">
        <v>224</v>
      </c>
    </row>
    <row r="9083">
      <c r="A9083" s="1">
        <v>43800.437406655095</v>
      </c>
      <c r="B9083" s="2">
        <v>611.0</v>
      </c>
      <c r="C9083" s="2" t="s">
        <v>143</v>
      </c>
    </row>
    <row r="9084">
      <c r="A9084" s="1">
        <v>43800.43747304398</v>
      </c>
      <c r="B9084" s="3" t="s">
        <v>44</v>
      </c>
      <c r="C9084" s="2" t="s">
        <v>45</v>
      </c>
    </row>
    <row r="9085">
      <c r="A9085" s="1">
        <v>43800.43919667824</v>
      </c>
      <c r="B9085" s="2">
        <v>257.0</v>
      </c>
      <c r="C9085" s="2" t="s">
        <v>27</v>
      </c>
    </row>
    <row r="9086">
      <c r="A9086" s="1">
        <v>43800.43979231481</v>
      </c>
      <c r="B9086" s="2">
        <v>611.0</v>
      </c>
      <c r="C9086" s="2" t="s">
        <v>143</v>
      </c>
    </row>
    <row r="9087">
      <c r="A9087" s="1">
        <v>43800.4399868287</v>
      </c>
      <c r="B9087" s="2">
        <v>725.0</v>
      </c>
      <c r="C9087" s="2" t="s">
        <v>92</v>
      </c>
      <c r="D9087" s="2" t="s">
        <v>5</v>
      </c>
    </row>
    <row r="9088">
      <c r="A9088" s="1">
        <v>43800.44025201389</v>
      </c>
      <c r="B9088" s="2">
        <v>624.0</v>
      </c>
      <c r="C9088" s="2" t="s">
        <v>90</v>
      </c>
    </row>
    <row r="9089">
      <c r="A9089" s="1">
        <v>43800.441003125</v>
      </c>
      <c r="B9089" s="2">
        <v>175.0</v>
      </c>
      <c r="C9089" s="2" t="s">
        <v>69</v>
      </c>
    </row>
    <row r="9090">
      <c r="A9090" s="1">
        <v>43800.44137930556</v>
      </c>
      <c r="B9090" s="3" t="s">
        <v>74</v>
      </c>
      <c r="C9090" s="2" t="s">
        <v>75</v>
      </c>
    </row>
    <row r="9091">
      <c r="A9091" s="1">
        <v>43800.44522450231</v>
      </c>
      <c r="B9091" s="3" t="s">
        <v>98</v>
      </c>
      <c r="C9091" s="2" t="s">
        <v>99</v>
      </c>
    </row>
    <row r="9092">
      <c r="A9092" s="1">
        <v>43800.445350243055</v>
      </c>
      <c r="B9092" s="2">
        <v>147.0</v>
      </c>
      <c r="C9092" s="2" t="s">
        <v>100</v>
      </c>
    </row>
    <row r="9093">
      <c r="A9093" s="1">
        <v>43800.4455259838</v>
      </c>
      <c r="B9093" s="2">
        <v>726.0</v>
      </c>
      <c r="C9093" s="2" t="s">
        <v>101</v>
      </c>
      <c r="D9093" s="2" t="s">
        <v>5</v>
      </c>
    </row>
    <row r="9094">
      <c r="A9094" s="1">
        <v>43800.44565055556</v>
      </c>
      <c r="B9094" s="2">
        <v>732.0</v>
      </c>
      <c r="C9094" s="2" t="s">
        <v>102</v>
      </c>
      <c r="D9094" s="2" t="s">
        <v>5</v>
      </c>
    </row>
    <row r="9095">
      <c r="A9095" s="1">
        <v>43800.44579637732</v>
      </c>
      <c r="B9095" s="2">
        <v>740.0</v>
      </c>
      <c r="C9095" s="2" t="s">
        <v>221</v>
      </c>
      <c r="D9095" s="2" t="s">
        <v>5</v>
      </c>
    </row>
    <row r="9096">
      <c r="A9096" s="1">
        <v>43800.44702633102</v>
      </c>
      <c r="B9096" s="2">
        <v>267.0</v>
      </c>
      <c r="C9096" s="2" t="s">
        <v>115</v>
      </c>
    </row>
    <row r="9097">
      <c r="A9097" s="1">
        <v>43800.44746664352</v>
      </c>
      <c r="B9097" s="2">
        <v>655.0</v>
      </c>
      <c r="C9097" s="2" t="s">
        <v>17</v>
      </c>
    </row>
    <row r="9098">
      <c r="A9098" s="1">
        <v>43800.4542100463</v>
      </c>
      <c r="B9098" s="3" t="s">
        <v>9</v>
      </c>
      <c r="C9098" s="2" t="s">
        <v>10</v>
      </c>
    </row>
    <row r="9099">
      <c r="A9099" s="1">
        <v>43800.454309548615</v>
      </c>
      <c r="B9099" s="3" t="s">
        <v>119</v>
      </c>
      <c r="C9099" s="2" t="s">
        <v>120</v>
      </c>
    </row>
    <row r="9100">
      <c r="A9100" s="1">
        <v>43800.454500300926</v>
      </c>
      <c r="B9100" s="2">
        <v>253.0</v>
      </c>
      <c r="C9100" s="2" t="s">
        <v>138</v>
      </c>
    </row>
    <row r="9101">
      <c r="A9101" s="1">
        <v>43800.454625046295</v>
      </c>
      <c r="B9101" s="3" t="s">
        <v>103</v>
      </c>
      <c r="C9101" s="2" t="s">
        <v>104</v>
      </c>
    </row>
    <row r="9102">
      <c r="A9102" s="1">
        <v>43800.4548704051</v>
      </c>
      <c r="B9102" s="2">
        <v>708.0</v>
      </c>
      <c r="C9102" s="2" t="s">
        <v>4</v>
      </c>
      <c r="D9102" s="2" t="s">
        <v>5</v>
      </c>
    </row>
    <row r="9103">
      <c r="A9103" s="1">
        <v>43800.45497835648</v>
      </c>
      <c r="B9103" s="2">
        <v>709.0</v>
      </c>
      <c r="C9103" s="2" t="s">
        <v>20</v>
      </c>
      <c r="D9103" s="2" t="s">
        <v>5</v>
      </c>
    </row>
    <row r="9104">
      <c r="A9104" s="1">
        <v>43800.45506565973</v>
      </c>
      <c r="B9104" s="2">
        <v>710.0</v>
      </c>
      <c r="C9104" s="2" t="s">
        <v>21</v>
      </c>
      <c r="D9104" s="2" t="s">
        <v>5</v>
      </c>
    </row>
    <row r="9105">
      <c r="A9105" s="1">
        <v>43800.45516193287</v>
      </c>
      <c r="B9105" s="2">
        <v>713.0</v>
      </c>
      <c r="C9105" s="2" t="s">
        <v>121</v>
      </c>
      <c r="D9105" s="2" t="s">
        <v>5</v>
      </c>
    </row>
    <row r="9106">
      <c r="A9106" s="1">
        <v>43800.455260057875</v>
      </c>
      <c r="B9106" s="2">
        <v>714.0</v>
      </c>
      <c r="C9106" s="2" t="s">
        <v>122</v>
      </c>
      <c r="D9106" s="2" t="s">
        <v>5</v>
      </c>
    </row>
    <row r="9107">
      <c r="A9107" s="1">
        <v>43800.455635046295</v>
      </c>
      <c r="B9107" s="2">
        <v>114.0</v>
      </c>
      <c r="C9107" s="2" t="s">
        <v>15</v>
      </c>
    </row>
    <row r="9108">
      <c r="A9108" s="1">
        <v>43800.462738692135</v>
      </c>
      <c r="B9108" s="2">
        <v>209.0</v>
      </c>
      <c r="C9108" s="2" t="s">
        <v>219</v>
      </c>
    </row>
    <row r="9109">
      <c r="A9109" s="1">
        <v>43800.463131875</v>
      </c>
      <c r="B9109" s="2">
        <v>631.0</v>
      </c>
      <c r="C9109" s="2" t="s">
        <v>178</v>
      </c>
    </row>
    <row r="9110">
      <c r="A9110" s="1">
        <v>43802.44277462963</v>
      </c>
      <c r="B9110" s="2">
        <v>208.0</v>
      </c>
      <c r="C9110" s="2" t="s">
        <v>182</v>
      </c>
    </row>
    <row r="9111">
      <c r="A9111" s="1">
        <v>43802.443300011575</v>
      </c>
      <c r="B9111" s="3" t="s">
        <v>22</v>
      </c>
      <c r="C9111" s="2" t="s">
        <v>23</v>
      </c>
    </row>
    <row r="9112">
      <c r="A9112" s="1">
        <v>43802.44354699074</v>
      </c>
      <c r="B9112" s="3" t="s">
        <v>51</v>
      </c>
      <c r="C9112" s="2" t="s">
        <v>52</v>
      </c>
    </row>
    <row r="9113">
      <c r="A9113" s="1">
        <v>43802.44367255787</v>
      </c>
      <c r="B9113" s="3" t="s">
        <v>82</v>
      </c>
      <c r="C9113" s="2" t="s">
        <v>83</v>
      </c>
    </row>
    <row r="9114">
      <c r="A9114" s="1">
        <v>43802.44385336805</v>
      </c>
      <c r="B9114" s="3" t="s">
        <v>42</v>
      </c>
      <c r="C9114" s="2" t="s">
        <v>43</v>
      </c>
    </row>
    <row r="9115">
      <c r="A9115" s="1">
        <v>43802.445022326385</v>
      </c>
      <c r="B9115" s="2">
        <v>667.0</v>
      </c>
      <c r="C9115" s="2" t="s">
        <v>73</v>
      </c>
    </row>
    <row r="9116">
      <c r="A9116" s="1">
        <v>43802.94555979167</v>
      </c>
      <c r="B9116" s="2">
        <v>214.0</v>
      </c>
      <c r="C9116" s="2" t="s">
        <v>47</v>
      </c>
    </row>
    <row r="9117">
      <c r="A9117" s="1">
        <v>43803.59434214121</v>
      </c>
      <c r="B9117" s="2">
        <v>673.0</v>
      </c>
      <c r="C9117" s="2" t="s">
        <v>189</v>
      </c>
    </row>
    <row r="9118">
      <c r="A9118" s="1">
        <v>43803.594576284726</v>
      </c>
      <c r="B9118" s="2">
        <v>673.0</v>
      </c>
      <c r="C9118" s="2" t="s">
        <v>189</v>
      </c>
    </row>
    <row r="9119">
      <c r="A9119" s="1">
        <v>43803.59501171296</v>
      </c>
      <c r="B9119" s="2">
        <v>673.0</v>
      </c>
      <c r="C9119" s="2" t="s">
        <v>189</v>
      </c>
    </row>
    <row r="9120">
      <c r="A9120" s="1">
        <v>43803.59585013889</v>
      </c>
      <c r="B9120" s="2">
        <v>673.0</v>
      </c>
      <c r="C9120" s="2" t="s">
        <v>189</v>
      </c>
    </row>
    <row r="9121">
      <c r="A9121" s="1">
        <v>43803.59602833333</v>
      </c>
      <c r="B9121" s="2">
        <v>673.0</v>
      </c>
      <c r="C9121" s="2" t="s">
        <v>189</v>
      </c>
    </row>
    <row r="9122">
      <c r="A9122" s="1">
        <v>43803.5963022338</v>
      </c>
      <c r="B9122" s="2">
        <v>673.0</v>
      </c>
      <c r="C9122" s="2" t="s">
        <v>189</v>
      </c>
    </row>
    <row r="9123">
      <c r="A9123" s="1">
        <v>43803.59680601852</v>
      </c>
      <c r="B9123" s="2">
        <v>673.0</v>
      </c>
      <c r="C9123" s="2" t="s">
        <v>189</v>
      </c>
    </row>
    <row r="9124">
      <c r="A9124" s="1">
        <v>43803.59755630787</v>
      </c>
      <c r="B9124" s="2">
        <v>153.0</v>
      </c>
      <c r="C9124" s="2" t="s">
        <v>148</v>
      </c>
    </row>
    <row r="9125">
      <c r="A9125" s="1">
        <v>43803.59780072917</v>
      </c>
      <c r="B9125" s="2">
        <v>718.0</v>
      </c>
      <c r="C9125" s="2" t="s">
        <v>105</v>
      </c>
      <c r="D9125" s="2" t="s">
        <v>5</v>
      </c>
    </row>
    <row r="9126">
      <c r="A9126" s="1">
        <v>43803.59812381944</v>
      </c>
      <c r="B9126" s="2">
        <v>718.0</v>
      </c>
      <c r="C9126" s="2" t="s">
        <v>105</v>
      </c>
      <c r="D9126" s="2" t="s">
        <v>5</v>
      </c>
    </row>
    <row r="9127">
      <c r="A9127" s="1">
        <v>43803.59873103009</v>
      </c>
      <c r="B9127" s="2">
        <v>718.0</v>
      </c>
      <c r="C9127" s="2" t="s">
        <v>105</v>
      </c>
      <c r="D9127" s="2" t="s">
        <v>5</v>
      </c>
    </row>
    <row r="9128">
      <c r="A9128" s="1">
        <v>43803.59950349537</v>
      </c>
      <c r="B9128" s="2">
        <v>718.0</v>
      </c>
      <c r="C9128" s="2" t="s">
        <v>105</v>
      </c>
      <c r="D9128" s="2" t="s">
        <v>5</v>
      </c>
    </row>
    <row r="9129">
      <c r="A9129" s="1">
        <v>43803.60237015046</v>
      </c>
      <c r="B9129" s="2">
        <v>646.0</v>
      </c>
      <c r="C9129" s="2" t="s">
        <v>209</v>
      </c>
    </row>
    <row r="9130">
      <c r="A9130" s="1">
        <v>43803.6025493287</v>
      </c>
      <c r="B9130" s="2">
        <v>153.0</v>
      </c>
      <c r="C9130" s="2" t="s">
        <v>148</v>
      </c>
    </row>
    <row r="9131">
      <c r="A9131" s="1">
        <v>43803.60344125</v>
      </c>
      <c r="B9131" s="2">
        <v>153.0</v>
      </c>
      <c r="C9131" s="2" t="s">
        <v>148</v>
      </c>
    </row>
    <row r="9132">
      <c r="A9132" s="1">
        <v>43803.60373449074</v>
      </c>
      <c r="B9132" s="2">
        <v>673.0</v>
      </c>
      <c r="C9132" s="2" t="s">
        <v>189</v>
      </c>
    </row>
    <row r="9133">
      <c r="A9133" s="1">
        <v>43803.604086203704</v>
      </c>
      <c r="B9133" s="2">
        <v>673.0</v>
      </c>
      <c r="C9133" s="2" t="s">
        <v>189</v>
      </c>
    </row>
    <row r="9134">
      <c r="A9134" s="1">
        <v>43803.60437519676</v>
      </c>
      <c r="B9134" s="2">
        <v>673.0</v>
      </c>
      <c r="C9134" s="2" t="s">
        <v>189</v>
      </c>
    </row>
    <row r="9135">
      <c r="A9135" s="1">
        <v>43803.60474081019</v>
      </c>
      <c r="B9135" s="2">
        <v>153.0</v>
      </c>
      <c r="C9135" s="2" t="s">
        <v>148</v>
      </c>
    </row>
    <row r="9136">
      <c r="A9136" s="1">
        <v>43803.60498428241</v>
      </c>
      <c r="B9136" s="2">
        <v>153.0</v>
      </c>
      <c r="C9136" s="2" t="s">
        <v>148</v>
      </c>
    </row>
    <row r="9137">
      <c r="A9137" s="1">
        <v>43803.60517310185</v>
      </c>
      <c r="B9137" s="2">
        <v>202.0</v>
      </c>
      <c r="C9137" s="2" t="s">
        <v>130</v>
      </c>
    </row>
    <row r="9138">
      <c r="A9138" s="1">
        <v>43803.605422939814</v>
      </c>
      <c r="B9138" s="2">
        <v>202.0</v>
      </c>
      <c r="C9138" s="2" t="s">
        <v>130</v>
      </c>
    </row>
    <row r="9139">
      <c r="A9139" s="1">
        <v>43803.60575877315</v>
      </c>
      <c r="B9139" s="2">
        <v>202.0</v>
      </c>
      <c r="C9139" s="2" t="s">
        <v>130</v>
      </c>
    </row>
    <row r="9140">
      <c r="A9140" s="1">
        <v>43803.60636723379</v>
      </c>
      <c r="B9140" s="2">
        <v>202.0</v>
      </c>
      <c r="C9140" s="2" t="s">
        <v>130</v>
      </c>
    </row>
    <row r="9141">
      <c r="A9141" s="1">
        <v>43803.606841712965</v>
      </c>
      <c r="B9141" s="2">
        <v>202.0</v>
      </c>
      <c r="C9141" s="2" t="s">
        <v>130</v>
      </c>
    </row>
    <row r="9142">
      <c r="A9142" s="1">
        <v>43803.60838159722</v>
      </c>
      <c r="B9142" s="2">
        <v>202.0</v>
      </c>
      <c r="C9142" s="2" t="s">
        <v>130</v>
      </c>
    </row>
    <row r="9143">
      <c r="A9143" s="1">
        <v>43803.60864445602</v>
      </c>
      <c r="B9143" s="2">
        <v>228.0</v>
      </c>
      <c r="C9143" s="2" t="s">
        <v>135</v>
      </c>
    </row>
    <row r="9144">
      <c r="A9144" s="1">
        <v>43803.60913842593</v>
      </c>
      <c r="B9144" s="2">
        <v>718.0</v>
      </c>
      <c r="C9144" s="2" t="s">
        <v>105</v>
      </c>
      <c r="D9144" s="2" t="s">
        <v>5</v>
      </c>
    </row>
    <row r="9145">
      <c r="A9145" s="1">
        <v>43803.60923126157</v>
      </c>
      <c r="B9145" s="2">
        <v>719.0</v>
      </c>
      <c r="C9145" s="2" t="s">
        <v>106</v>
      </c>
      <c r="D9145" s="2" t="s">
        <v>5</v>
      </c>
    </row>
    <row r="9146">
      <c r="A9146" s="1">
        <v>43803.60929586805</v>
      </c>
      <c r="B9146" s="2">
        <v>723.0</v>
      </c>
      <c r="C9146" s="2" t="s">
        <v>84</v>
      </c>
      <c r="D9146" s="2" t="s">
        <v>5</v>
      </c>
    </row>
    <row r="9147">
      <c r="A9147" s="1">
        <v>43803.609374884254</v>
      </c>
      <c r="B9147" s="2">
        <v>734.0</v>
      </c>
      <c r="C9147" s="2" t="s">
        <v>63</v>
      </c>
      <c r="D9147" s="2" t="s">
        <v>5</v>
      </c>
    </row>
    <row r="9148">
      <c r="A9148" s="1">
        <v>43803.60945341435</v>
      </c>
      <c r="B9148" s="2">
        <v>268.0</v>
      </c>
      <c r="C9148" s="2" t="s">
        <v>205</v>
      </c>
    </row>
    <row r="9149">
      <c r="A9149" s="1">
        <v>43803.60997975695</v>
      </c>
      <c r="B9149" s="2">
        <v>228.0</v>
      </c>
      <c r="C9149" s="2" t="s">
        <v>135</v>
      </c>
    </row>
    <row r="9150">
      <c r="A9150" s="1">
        <v>43803.61017113426</v>
      </c>
      <c r="B9150" s="2">
        <v>202.0</v>
      </c>
      <c r="C9150" s="2" t="s">
        <v>130</v>
      </c>
    </row>
    <row r="9151">
      <c r="A9151" s="1">
        <v>43803.61072537037</v>
      </c>
      <c r="B9151" s="2">
        <v>153.0</v>
      </c>
      <c r="C9151" s="2" t="s">
        <v>148</v>
      </c>
    </row>
    <row r="9152">
      <c r="A9152" s="1">
        <v>43803.61086670139</v>
      </c>
      <c r="B9152" s="2">
        <v>646.0</v>
      </c>
      <c r="C9152" s="2" t="s">
        <v>209</v>
      </c>
    </row>
    <row r="9153">
      <c r="A9153" s="1">
        <v>43803.61272965278</v>
      </c>
      <c r="B9153" s="2">
        <v>673.0</v>
      </c>
      <c r="C9153" s="2" t="s">
        <v>189</v>
      </c>
    </row>
    <row r="9154">
      <c r="A9154" s="1">
        <v>43803.61301262732</v>
      </c>
      <c r="B9154" s="2">
        <v>673.0</v>
      </c>
      <c r="C9154" s="2" t="s">
        <v>189</v>
      </c>
    </row>
    <row r="9155">
      <c r="A9155" s="1">
        <v>43803.613798935185</v>
      </c>
      <c r="B9155" s="2">
        <v>673.0</v>
      </c>
      <c r="C9155" s="2" t="s">
        <v>189</v>
      </c>
    </row>
    <row r="9156">
      <c r="A9156" s="1">
        <v>43803.61422204861</v>
      </c>
      <c r="B9156" s="2">
        <v>673.0</v>
      </c>
      <c r="C9156" s="2" t="s">
        <v>189</v>
      </c>
    </row>
    <row r="9157">
      <c r="A9157" s="1">
        <v>43803.61431767361</v>
      </c>
      <c r="B9157" s="2">
        <v>675.0</v>
      </c>
      <c r="C9157" s="2" t="s">
        <v>222</v>
      </c>
    </row>
    <row r="9158">
      <c r="A9158" s="1">
        <v>43803.614819236114</v>
      </c>
      <c r="B9158" s="2">
        <v>673.0</v>
      </c>
      <c r="C9158" s="2" t="s">
        <v>189</v>
      </c>
    </row>
    <row r="9159">
      <c r="A9159" s="1">
        <v>43803.615033449074</v>
      </c>
      <c r="B9159" s="2">
        <v>673.0</v>
      </c>
      <c r="C9159" s="2" t="s">
        <v>189</v>
      </c>
    </row>
    <row r="9160">
      <c r="A9160" s="1">
        <v>43803.6152375463</v>
      </c>
      <c r="B9160" s="2">
        <v>673.0</v>
      </c>
      <c r="C9160" s="2" t="s">
        <v>189</v>
      </c>
    </row>
    <row r="9161">
      <c r="A9161" s="1">
        <v>43803.61678851851</v>
      </c>
      <c r="B9161" s="2">
        <v>662.0</v>
      </c>
      <c r="C9161" s="2" t="s">
        <v>18</v>
      </c>
    </row>
    <row r="9162">
      <c r="A9162" s="1">
        <v>43803.61728519676</v>
      </c>
      <c r="B9162" s="2">
        <v>672.0</v>
      </c>
      <c r="C9162" s="2" t="s">
        <v>6</v>
      </c>
    </row>
    <row r="9163">
      <c r="A9163" s="1">
        <v>43803.620642361115</v>
      </c>
      <c r="B9163" s="2">
        <v>673.0</v>
      </c>
      <c r="C9163" s="2" t="s">
        <v>189</v>
      </c>
    </row>
    <row r="9164">
      <c r="A9164" s="1">
        <v>43803.62069667824</v>
      </c>
      <c r="B9164" s="2">
        <v>674.0</v>
      </c>
      <c r="C9164" s="2" t="s">
        <v>193</v>
      </c>
    </row>
    <row r="9165">
      <c r="A9165" s="1">
        <v>43803.62111165509</v>
      </c>
      <c r="B9165" s="2">
        <v>656.0</v>
      </c>
      <c r="C9165" s="2" t="s">
        <v>144</v>
      </c>
    </row>
    <row r="9166">
      <c r="A9166" s="1">
        <v>43803.890876481484</v>
      </c>
      <c r="B9166" s="2">
        <v>722.0</v>
      </c>
      <c r="C9166" s="2" t="s">
        <v>25</v>
      </c>
      <c r="D9166" s="2" t="s">
        <v>5</v>
      </c>
    </row>
    <row r="9167">
      <c r="A9167" s="1">
        <v>43805.40032376157</v>
      </c>
      <c r="B9167" s="2">
        <v>611.0</v>
      </c>
      <c r="C9167" s="2" t="s">
        <v>143</v>
      </c>
    </row>
    <row r="9168">
      <c r="A9168" s="1">
        <v>43807.42078493055</v>
      </c>
      <c r="B9168" s="2">
        <v>611.0</v>
      </c>
      <c r="C9168" s="2" t="s">
        <v>143</v>
      </c>
    </row>
    <row r="9169">
      <c r="A9169" s="1">
        <v>43807.42240836806</v>
      </c>
      <c r="B9169" s="2">
        <v>257.0</v>
      </c>
      <c r="C9169" s="2" t="s">
        <v>27</v>
      </c>
    </row>
    <row r="9170">
      <c r="A9170" s="1">
        <v>43807.422409120365</v>
      </c>
      <c r="B9170" s="2">
        <v>244.0</v>
      </c>
      <c r="C9170" s="2" t="s">
        <v>38</v>
      </c>
    </row>
    <row r="9171">
      <c r="A9171" s="1">
        <v>43807.422534826386</v>
      </c>
      <c r="B9171" s="2">
        <v>244.0</v>
      </c>
      <c r="C9171" s="2" t="s">
        <v>38</v>
      </c>
    </row>
    <row r="9172">
      <c r="A9172" s="1">
        <v>43807.42502548611</v>
      </c>
      <c r="B9172" s="2">
        <v>231.0</v>
      </c>
      <c r="C9172" s="2" t="s">
        <v>61</v>
      </c>
    </row>
    <row r="9173">
      <c r="A9173" s="1">
        <v>43807.42587114584</v>
      </c>
      <c r="B9173" s="2">
        <v>173.0</v>
      </c>
      <c r="C9173" s="2" t="s">
        <v>24</v>
      </c>
    </row>
    <row r="9174">
      <c r="A9174" s="1">
        <v>43807.42588003472</v>
      </c>
      <c r="B9174" s="2">
        <v>244.0</v>
      </c>
      <c r="C9174" s="2" t="s">
        <v>38</v>
      </c>
    </row>
    <row r="9175">
      <c r="A9175" s="1">
        <v>43807.42609533565</v>
      </c>
      <c r="B9175" s="2">
        <v>246.0</v>
      </c>
      <c r="C9175" s="2" t="s">
        <v>26</v>
      </c>
    </row>
    <row r="9176">
      <c r="A9176" s="1">
        <v>43807.4261859375</v>
      </c>
      <c r="B9176" s="3" t="s">
        <v>22</v>
      </c>
      <c r="C9176" s="2" t="s">
        <v>23</v>
      </c>
    </row>
    <row r="9177">
      <c r="A9177" s="1">
        <v>43807.42629081018</v>
      </c>
      <c r="B9177" s="2">
        <v>722.0</v>
      </c>
      <c r="C9177" s="2" t="s">
        <v>25</v>
      </c>
      <c r="D9177" s="2" t="s">
        <v>5</v>
      </c>
    </row>
    <row r="9178">
      <c r="A9178" s="1">
        <v>43807.42640278935</v>
      </c>
      <c r="B9178" s="2">
        <v>52.0</v>
      </c>
      <c r="C9178" s="2" t="s">
        <v>41</v>
      </c>
    </row>
    <row r="9179">
      <c r="A9179" s="1">
        <v>43807.42641105324</v>
      </c>
      <c r="B9179" s="2">
        <v>738.0</v>
      </c>
      <c r="C9179" s="2" t="s">
        <v>161</v>
      </c>
      <c r="D9179" s="2" t="s">
        <v>5</v>
      </c>
    </row>
    <row r="9180">
      <c r="A9180" s="1">
        <v>43807.42675407407</v>
      </c>
      <c r="B9180" s="2">
        <v>114.0</v>
      </c>
      <c r="C9180" s="2" t="s">
        <v>15</v>
      </c>
    </row>
    <row r="9181">
      <c r="A9181" s="1">
        <v>43807.42681260417</v>
      </c>
      <c r="B9181" s="2">
        <v>209.0</v>
      </c>
      <c r="C9181" s="2" t="s">
        <v>219</v>
      </c>
    </row>
    <row r="9182">
      <c r="A9182" s="1">
        <v>43807.42681914352</v>
      </c>
      <c r="B9182" s="3" t="s">
        <v>32</v>
      </c>
      <c r="C9182" s="2" t="s">
        <v>33</v>
      </c>
    </row>
    <row r="9183">
      <c r="A9183" s="1">
        <v>43807.42693559028</v>
      </c>
      <c r="B9183" s="2">
        <v>208.0</v>
      </c>
      <c r="C9183" s="2" t="s">
        <v>182</v>
      </c>
    </row>
    <row r="9184">
      <c r="A9184" s="1">
        <v>43807.427035092594</v>
      </c>
      <c r="B9184" s="2">
        <v>210.0</v>
      </c>
      <c r="C9184" s="2" t="s">
        <v>64</v>
      </c>
    </row>
    <row r="9185">
      <c r="A9185" s="1">
        <v>43807.427218275465</v>
      </c>
      <c r="B9185" s="2">
        <v>262.0</v>
      </c>
      <c r="C9185" s="2" t="s">
        <v>28</v>
      </c>
    </row>
    <row r="9186">
      <c r="A9186" s="1">
        <v>43807.42730806713</v>
      </c>
      <c r="B9186" s="2">
        <v>607.0</v>
      </c>
      <c r="C9186" s="2" t="s">
        <v>68</v>
      </c>
    </row>
    <row r="9187">
      <c r="A9187" s="1">
        <v>43807.42769469907</v>
      </c>
      <c r="B9187" s="2">
        <v>209.0</v>
      </c>
      <c r="C9187" s="2" t="s">
        <v>219</v>
      </c>
    </row>
    <row r="9188">
      <c r="A9188" s="1">
        <v>43807.427862303244</v>
      </c>
      <c r="B9188" s="2">
        <v>244.0</v>
      </c>
      <c r="C9188" s="2" t="s">
        <v>38</v>
      </c>
    </row>
    <row r="9189">
      <c r="A9189" s="1">
        <v>43807.42793564815</v>
      </c>
      <c r="B9189" s="2">
        <v>193.0</v>
      </c>
      <c r="C9189" s="2" t="s">
        <v>30</v>
      </c>
    </row>
    <row r="9190">
      <c r="A9190" s="1">
        <v>43807.42854842593</v>
      </c>
      <c r="B9190" s="2">
        <v>641.0</v>
      </c>
      <c r="C9190" s="2" t="s">
        <v>210</v>
      </c>
    </row>
    <row r="9191">
      <c r="A9191" s="1">
        <v>43807.4288175463</v>
      </c>
      <c r="B9191" s="2">
        <v>167.0</v>
      </c>
      <c r="C9191" s="2" t="s">
        <v>39</v>
      </c>
    </row>
    <row r="9192">
      <c r="A9192" s="1">
        <v>43807.428880023144</v>
      </c>
      <c r="B9192" s="2">
        <v>656.0</v>
      </c>
      <c r="C9192" s="2" t="s">
        <v>144</v>
      </c>
    </row>
    <row r="9193">
      <c r="A9193" s="1">
        <v>43807.42960293981</v>
      </c>
      <c r="B9193" s="2">
        <v>175.0</v>
      </c>
      <c r="C9193" s="2" t="s">
        <v>69</v>
      </c>
    </row>
    <row r="9194">
      <c r="A9194" s="1">
        <v>43807.429723124995</v>
      </c>
      <c r="B9194" s="2">
        <v>708.0</v>
      </c>
      <c r="C9194" s="2" t="s">
        <v>4</v>
      </c>
      <c r="D9194" s="2" t="s">
        <v>5</v>
      </c>
    </row>
    <row r="9195">
      <c r="A9195" s="1">
        <v>43807.42978751157</v>
      </c>
      <c r="B9195" s="2">
        <v>709.0</v>
      </c>
      <c r="C9195" s="2" t="s">
        <v>20</v>
      </c>
      <c r="D9195" s="2" t="s">
        <v>5</v>
      </c>
    </row>
    <row r="9196">
      <c r="A9196" s="1">
        <v>43807.429834282404</v>
      </c>
      <c r="B9196" s="2">
        <v>710.0</v>
      </c>
      <c r="C9196" s="2" t="s">
        <v>21</v>
      </c>
      <c r="D9196" s="2" t="s">
        <v>5</v>
      </c>
    </row>
    <row r="9197">
      <c r="A9197" s="1">
        <v>43807.43029549769</v>
      </c>
      <c r="B9197" s="2">
        <v>201.0</v>
      </c>
      <c r="C9197" s="2" t="s">
        <v>70</v>
      </c>
    </row>
    <row r="9198">
      <c r="A9198" s="1">
        <v>43807.43061976852</v>
      </c>
      <c r="B9198" s="2">
        <v>165.0</v>
      </c>
      <c r="C9198" s="2" t="s">
        <v>50</v>
      </c>
    </row>
    <row r="9199">
      <c r="A9199" s="1">
        <v>43807.43065417824</v>
      </c>
      <c r="B9199" s="3" t="s">
        <v>80</v>
      </c>
      <c r="C9199" s="2" t="s">
        <v>81</v>
      </c>
    </row>
    <row r="9200">
      <c r="A9200" s="1">
        <v>43807.43104527778</v>
      </c>
      <c r="B9200" s="2">
        <v>126.0</v>
      </c>
      <c r="C9200" s="2" t="s">
        <v>87</v>
      </c>
    </row>
    <row r="9201">
      <c r="A9201" s="1">
        <v>43807.43115853009</v>
      </c>
      <c r="B9201" s="3" t="s">
        <v>88</v>
      </c>
      <c r="C9201" s="2" t="s">
        <v>89</v>
      </c>
    </row>
    <row r="9202">
      <c r="A9202" s="1">
        <v>43807.43129851852</v>
      </c>
      <c r="B9202" s="2">
        <v>268.0</v>
      </c>
      <c r="C9202" s="2" t="s">
        <v>205</v>
      </c>
    </row>
    <row r="9203">
      <c r="A9203" s="1">
        <v>43807.43227116898</v>
      </c>
      <c r="B9203" s="2">
        <v>740.0</v>
      </c>
      <c r="C9203" s="2" t="s">
        <v>221</v>
      </c>
      <c r="D9203" s="2" t="s">
        <v>5</v>
      </c>
    </row>
    <row r="9204">
      <c r="A9204" s="1">
        <v>43807.43247023148</v>
      </c>
      <c r="B9204" s="2">
        <v>259.0</v>
      </c>
      <c r="C9204" s="2" t="s">
        <v>66</v>
      </c>
    </row>
    <row r="9205">
      <c r="A9205" s="1">
        <v>43807.43251539352</v>
      </c>
      <c r="B9205" s="2">
        <v>260.0</v>
      </c>
      <c r="C9205" s="2" t="s">
        <v>67</v>
      </c>
    </row>
    <row r="9206">
      <c r="A9206" s="1">
        <v>43807.43261591435</v>
      </c>
      <c r="B9206" s="2">
        <v>734.0</v>
      </c>
      <c r="C9206" s="2" t="s">
        <v>63</v>
      </c>
      <c r="D9206" s="2" t="s">
        <v>5</v>
      </c>
    </row>
    <row r="9207">
      <c r="A9207" s="1">
        <v>43807.43302003472</v>
      </c>
      <c r="B9207" s="3" t="s">
        <v>159</v>
      </c>
      <c r="C9207" s="2" t="s">
        <v>160</v>
      </c>
    </row>
    <row r="9208">
      <c r="A9208" s="1">
        <v>43807.43321980324</v>
      </c>
      <c r="B9208" s="2">
        <v>262.0</v>
      </c>
      <c r="C9208" s="2" t="s">
        <v>28</v>
      </c>
    </row>
    <row r="9209">
      <c r="A9209" s="1">
        <v>43807.43327725695</v>
      </c>
      <c r="B9209" s="2">
        <v>172.0</v>
      </c>
      <c r="C9209" s="2" t="s">
        <v>65</v>
      </c>
    </row>
    <row r="9210">
      <c r="A9210" s="1">
        <v>43807.43497454861</v>
      </c>
      <c r="B9210" s="2">
        <v>653.0</v>
      </c>
      <c r="C9210" s="2" t="s">
        <v>77</v>
      </c>
    </row>
    <row r="9211">
      <c r="A9211" s="1">
        <v>43807.43507224537</v>
      </c>
      <c r="B9211" s="2">
        <v>124.0</v>
      </c>
      <c r="C9211" s="2" t="s">
        <v>107</v>
      </c>
    </row>
    <row r="9212">
      <c r="A9212" s="1">
        <v>43807.43541907407</v>
      </c>
      <c r="B9212" s="2">
        <v>160.0</v>
      </c>
      <c r="C9212" s="2" t="s">
        <v>154</v>
      </c>
    </row>
    <row r="9213">
      <c r="A9213" s="1">
        <v>43807.436383761575</v>
      </c>
      <c r="B9213" s="2">
        <v>214.0</v>
      </c>
      <c r="C9213" s="2" t="s">
        <v>47</v>
      </c>
    </row>
    <row r="9214">
      <c r="A9214" s="1">
        <v>43807.436448541666</v>
      </c>
      <c r="B9214" s="2">
        <v>219.0</v>
      </c>
      <c r="C9214" s="2" t="s">
        <v>31</v>
      </c>
    </row>
    <row r="9215">
      <c r="A9215" s="1">
        <v>43807.43658978009</v>
      </c>
      <c r="B9215" s="3" t="s">
        <v>103</v>
      </c>
      <c r="C9215" s="2" t="s">
        <v>104</v>
      </c>
    </row>
    <row r="9216">
      <c r="A9216" s="1">
        <v>43807.4366778125</v>
      </c>
      <c r="B9216" s="2">
        <v>604.0</v>
      </c>
      <c r="C9216" s="2" t="s">
        <v>36</v>
      </c>
    </row>
    <row r="9217">
      <c r="A9217" s="1">
        <v>43807.43677716435</v>
      </c>
      <c r="B9217" s="2">
        <v>677.0</v>
      </c>
      <c r="C9217" s="2" t="s">
        <v>224</v>
      </c>
    </row>
    <row r="9218">
      <c r="A9218" s="1">
        <v>43807.43692443287</v>
      </c>
      <c r="B9218" s="3" t="s">
        <v>11</v>
      </c>
      <c r="C9218" s="2" t="s">
        <v>12</v>
      </c>
    </row>
    <row r="9219">
      <c r="A9219" s="1">
        <v>43807.43700420139</v>
      </c>
      <c r="B9219" s="3" t="s">
        <v>126</v>
      </c>
      <c r="C9219" s="2" t="s">
        <v>127</v>
      </c>
    </row>
    <row r="9220">
      <c r="A9220" s="1">
        <v>43807.43714653935</v>
      </c>
      <c r="B9220" s="2">
        <v>716.0</v>
      </c>
      <c r="C9220" s="2" t="s">
        <v>123</v>
      </c>
      <c r="D9220" s="2" t="s">
        <v>5</v>
      </c>
    </row>
    <row r="9221">
      <c r="A9221" s="1">
        <v>43807.43732878473</v>
      </c>
      <c r="B9221" s="2">
        <v>229.0</v>
      </c>
      <c r="C9221" s="2" t="s">
        <v>86</v>
      </c>
    </row>
    <row r="9222">
      <c r="A9222" s="1">
        <v>43807.437729074074</v>
      </c>
      <c r="B9222" s="2">
        <v>723.0</v>
      </c>
      <c r="C9222" s="2" t="s">
        <v>84</v>
      </c>
      <c r="D9222" s="2" t="s">
        <v>5</v>
      </c>
    </row>
    <row r="9223">
      <c r="A9223" s="1">
        <v>43807.43780576389</v>
      </c>
      <c r="B9223" s="3" t="s">
        <v>51</v>
      </c>
      <c r="C9223" s="2" t="s">
        <v>52</v>
      </c>
    </row>
    <row r="9224">
      <c r="A9224" s="1">
        <v>43807.43788789352</v>
      </c>
      <c r="B9224" s="3" t="s">
        <v>111</v>
      </c>
      <c r="C9224" s="2" t="s">
        <v>112</v>
      </c>
    </row>
    <row r="9225">
      <c r="A9225" s="1">
        <v>43807.437947025464</v>
      </c>
      <c r="B9225" s="3" t="s">
        <v>82</v>
      </c>
      <c r="C9225" s="2" t="s">
        <v>83</v>
      </c>
    </row>
    <row r="9226">
      <c r="A9226" s="1">
        <v>43807.4379712963</v>
      </c>
      <c r="B9226" s="3" t="s">
        <v>78</v>
      </c>
      <c r="C9226" s="2" t="s">
        <v>79</v>
      </c>
    </row>
    <row r="9227">
      <c r="A9227" s="1">
        <v>43807.43868799768</v>
      </c>
      <c r="B9227" s="3" t="s">
        <v>150</v>
      </c>
      <c r="C9227" s="2" t="s">
        <v>151</v>
      </c>
    </row>
    <row r="9228">
      <c r="A9228" s="1">
        <v>43807.4387708912</v>
      </c>
      <c r="B9228" s="2">
        <v>706.0</v>
      </c>
      <c r="C9228" s="2" t="s">
        <v>149</v>
      </c>
      <c r="D9228" s="2" t="s">
        <v>5</v>
      </c>
    </row>
    <row r="9229">
      <c r="A9229" s="1">
        <v>43807.43892799769</v>
      </c>
      <c r="B9229" s="2">
        <v>667.0</v>
      </c>
      <c r="C9229" s="2" t="s">
        <v>73</v>
      </c>
    </row>
    <row r="9230">
      <c r="A9230" s="1">
        <v>43807.439213749996</v>
      </c>
      <c r="B9230" s="2">
        <v>624.0</v>
      </c>
      <c r="C9230" s="2" t="s">
        <v>90</v>
      </c>
    </row>
    <row r="9231">
      <c r="A9231" s="1">
        <v>43807.43950115741</v>
      </c>
      <c r="B9231" s="2">
        <v>724.0</v>
      </c>
      <c r="C9231" s="2" t="s">
        <v>91</v>
      </c>
      <c r="D9231" s="2" t="s">
        <v>5</v>
      </c>
    </row>
    <row r="9232">
      <c r="A9232" s="1">
        <v>43807.44143168982</v>
      </c>
      <c r="B9232" s="2">
        <v>736.0</v>
      </c>
      <c r="C9232" s="2" t="s">
        <v>175</v>
      </c>
      <c r="D9232" s="2" t="s">
        <v>5</v>
      </c>
    </row>
    <row r="9233">
      <c r="A9233" s="1">
        <v>43807.44147636574</v>
      </c>
      <c r="B9233" s="2">
        <v>735.0</v>
      </c>
      <c r="C9233" s="2" t="s">
        <v>37</v>
      </c>
      <c r="D9233" s="2" t="s">
        <v>5</v>
      </c>
    </row>
    <row r="9234">
      <c r="A9234" s="1">
        <v>43807.44152877315</v>
      </c>
      <c r="B9234" s="2">
        <v>737.0</v>
      </c>
      <c r="C9234" s="2" t="s">
        <v>176</v>
      </c>
      <c r="D9234" s="2" t="s">
        <v>5</v>
      </c>
    </row>
    <row r="9235">
      <c r="A9235" s="1">
        <v>43807.44160763889</v>
      </c>
      <c r="B9235" s="2">
        <v>603.0</v>
      </c>
      <c r="C9235" s="2" t="s">
        <v>40</v>
      </c>
    </row>
    <row r="9236">
      <c r="A9236" s="1">
        <v>43807.44245336806</v>
      </c>
      <c r="B9236" s="2">
        <v>649.0</v>
      </c>
      <c r="C9236" s="2" t="s">
        <v>177</v>
      </c>
    </row>
    <row r="9237">
      <c r="A9237" s="1">
        <v>43807.44372465278</v>
      </c>
      <c r="B9237" s="2">
        <v>675.0</v>
      </c>
      <c r="C9237" s="2" t="s">
        <v>222</v>
      </c>
    </row>
    <row r="9238">
      <c r="A9238" s="1">
        <v>43807.44411694445</v>
      </c>
      <c r="B9238" s="2">
        <v>614.0</v>
      </c>
      <c r="C9238" s="2" t="s">
        <v>76</v>
      </c>
    </row>
    <row r="9239">
      <c r="A9239" s="1">
        <v>43807.44460805556</v>
      </c>
      <c r="B9239" s="3" t="s">
        <v>74</v>
      </c>
      <c r="C9239" s="2" t="s">
        <v>75</v>
      </c>
    </row>
    <row r="9240">
      <c r="A9240" s="1">
        <v>43807.444741018524</v>
      </c>
      <c r="B9240" s="3" t="s">
        <v>98</v>
      </c>
      <c r="C9240" s="2" t="s">
        <v>99</v>
      </c>
    </row>
    <row r="9241">
      <c r="A9241" s="1">
        <v>43807.444792395836</v>
      </c>
      <c r="B9241" s="2">
        <v>147.0</v>
      </c>
      <c r="C9241" s="2" t="s">
        <v>100</v>
      </c>
    </row>
    <row r="9242">
      <c r="A9242" s="1">
        <v>43807.44487502315</v>
      </c>
      <c r="B9242" s="2">
        <v>726.0</v>
      </c>
      <c r="C9242" s="2" t="s">
        <v>101</v>
      </c>
      <c r="D9242" s="2" t="s">
        <v>5</v>
      </c>
    </row>
    <row r="9243">
      <c r="A9243" s="1">
        <v>43807.444955439816</v>
      </c>
      <c r="B9243" s="2">
        <v>732.0</v>
      </c>
      <c r="C9243" s="2" t="s">
        <v>102</v>
      </c>
      <c r="D9243" s="2" t="s">
        <v>5</v>
      </c>
    </row>
    <row r="9244">
      <c r="A9244" s="1">
        <v>43807.448877523144</v>
      </c>
      <c r="B9244" s="2">
        <v>254.0</v>
      </c>
      <c r="C9244" s="2" t="s">
        <v>132</v>
      </c>
    </row>
    <row r="9245">
      <c r="A9245" s="1">
        <v>43807.44928114583</v>
      </c>
      <c r="B9245" s="2">
        <v>625.0</v>
      </c>
      <c r="C9245" s="2" t="s">
        <v>136</v>
      </c>
    </row>
    <row r="9246">
      <c r="A9246" s="1">
        <v>43807.449828067125</v>
      </c>
      <c r="B9246" s="2">
        <v>602.0</v>
      </c>
      <c r="C9246" s="2" t="s">
        <v>131</v>
      </c>
    </row>
    <row r="9247">
      <c r="A9247" s="1">
        <v>43807.451167499996</v>
      </c>
      <c r="B9247" s="3" t="s">
        <v>13</v>
      </c>
      <c r="C9247" s="2" t="s">
        <v>14</v>
      </c>
    </row>
    <row r="9248">
      <c r="A9248" s="1">
        <v>43807.460406909726</v>
      </c>
      <c r="B9248" s="2">
        <v>253.0</v>
      </c>
      <c r="C9248" s="2" t="s">
        <v>138</v>
      </c>
    </row>
    <row r="9249">
      <c r="A9249" s="1">
        <v>43807.464779155096</v>
      </c>
      <c r="B9249" s="2">
        <v>611.0</v>
      </c>
      <c r="C9249" s="2" t="s">
        <v>143</v>
      </c>
    </row>
    <row r="9250">
      <c r="A9250" s="1">
        <v>43807.552942939816</v>
      </c>
      <c r="B9250" s="2" t="s">
        <v>68</v>
      </c>
      <c r="C9250" s="2">
        <v>271.0</v>
      </c>
    </row>
    <row r="9251">
      <c r="A9251" s="1">
        <v>43807.62841716435</v>
      </c>
      <c r="B9251" s="2">
        <v>271.0</v>
      </c>
      <c r="C9251" s="2" t="s">
        <v>68</v>
      </c>
    </row>
    <row r="9252">
      <c r="A9252" s="1">
        <v>43807.63020695602</v>
      </c>
      <c r="B9252" s="2">
        <v>271.0</v>
      </c>
      <c r="C9252" s="2" t="s">
        <v>68</v>
      </c>
    </row>
    <row r="9253">
      <c r="A9253" s="1">
        <v>43807.63178585648</v>
      </c>
      <c r="B9253" s="2" t="s">
        <v>68</v>
      </c>
      <c r="C9253" s="2">
        <v>271.0</v>
      </c>
    </row>
    <row r="9254">
      <c r="A9254" s="1">
        <v>43807.636985868055</v>
      </c>
      <c r="B9254" s="2">
        <v>271.0</v>
      </c>
      <c r="C9254" s="2" t="s">
        <v>68</v>
      </c>
    </row>
    <row r="9255">
      <c r="A9255" s="1">
        <v>43808.48744344908</v>
      </c>
      <c r="B9255" s="2">
        <v>619.0</v>
      </c>
      <c r="C9255" s="2" t="s">
        <v>46</v>
      </c>
    </row>
    <row r="9256">
      <c r="A9256" s="1">
        <v>43808.48968377315</v>
      </c>
      <c r="B9256" s="3" t="s">
        <v>42</v>
      </c>
      <c r="C9256" s="2" t="s">
        <v>43</v>
      </c>
    </row>
    <row r="9257">
      <c r="A9257" s="1">
        <v>43808.49012958333</v>
      </c>
      <c r="B9257" s="2">
        <v>158.0</v>
      </c>
      <c r="C9257" s="2" t="s">
        <v>62</v>
      </c>
    </row>
    <row r="9258">
      <c r="A9258" s="1">
        <v>43808.490387638885</v>
      </c>
      <c r="B9258" s="3" t="s">
        <v>9</v>
      </c>
      <c r="C9258" s="2" t="s">
        <v>10</v>
      </c>
    </row>
    <row r="9259">
      <c r="A9259" s="1">
        <v>43808.49977556713</v>
      </c>
      <c r="B9259" s="2">
        <v>609.0</v>
      </c>
      <c r="C9259" s="2" t="s">
        <v>179</v>
      </c>
    </row>
    <row r="9260">
      <c r="A9260" s="1">
        <v>43808.49990888889</v>
      </c>
      <c r="B9260" s="2">
        <v>656.0</v>
      </c>
      <c r="C9260" s="2" t="s">
        <v>144</v>
      </c>
    </row>
    <row r="9261">
      <c r="A9261" s="1">
        <v>43808.50020180555</v>
      </c>
      <c r="B9261" s="2">
        <v>609.0</v>
      </c>
      <c r="C9261" s="2" t="s">
        <v>179</v>
      </c>
    </row>
    <row r="9262">
      <c r="A9262" s="1">
        <v>43808.573755509264</v>
      </c>
      <c r="B9262" s="2">
        <v>703.0</v>
      </c>
      <c r="C9262" s="2" t="s">
        <v>157</v>
      </c>
      <c r="D9262" s="2" t="s">
        <v>5</v>
      </c>
    </row>
    <row r="9263">
      <c r="A9263" s="1">
        <v>43808.57519761574</v>
      </c>
      <c r="B9263" s="2">
        <v>656.0</v>
      </c>
      <c r="C9263" s="2" t="s">
        <v>144</v>
      </c>
    </row>
    <row r="9264">
      <c r="A9264" s="1">
        <v>43814.417981527775</v>
      </c>
      <c r="B9264" s="3" t="s">
        <v>74</v>
      </c>
      <c r="C9264" s="2" t="s">
        <v>75</v>
      </c>
    </row>
    <row r="9265">
      <c r="A9265" s="1">
        <v>43814.42733694444</v>
      </c>
      <c r="B9265" s="2">
        <v>167.0</v>
      </c>
      <c r="C9265" s="2" t="s">
        <v>39</v>
      </c>
    </row>
    <row r="9266">
      <c r="A9266" s="1">
        <v>43814.42791650463</v>
      </c>
      <c r="B9266" s="2">
        <v>735.0</v>
      </c>
      <c r="C9266" s="2" t="s">
        <v>37</v>
      </c>
      <c r="D9266" s="2" t="s">
        <v>5</v>
      </c>
    </row>
    <row r="9267">
      <c r="A9267" s="1">
        <v>43814.42816019676</v>
      </c>
      <c r="B9267" s="2">
        <v>252.0</v>
      </c>
      <c r="C9267" s="2" t="s">
        <v>34</v>
      </c>
    </row>
    <row r="9268">
      <c r="A9268" s="1">
        <v>43814.42829631944</v>
      </c>
      <c r="B9268" s="2">
        <v>252.0</v>
      </c>
      <c r="C9268" s="2" t="s">
        <v>34</v>
      </c>
    </row>
    <row r="9269">
      <c r="A9269" s="1">
        <v>43814.42837520833</v>
      </c>
      <c r="B9269" s="2">
        <v>173.0</v>
      </c>
      <c r="C9269" s="2" t="s">
        <v>24</v>
      </c>
    </row>
    <row r="9270">
      <c r="A9270" s="1">
        <v>43814.42843626157</v>
      </c>
      <c r="B9270" s="2">
        <v>165.0</v>
      </c>
      <c r="C9270" s="2" t="s">
        <v>50</v>
      </c>
    </row>
    <row r="9271">
      <c r="A9271" s="1">
        <v>43814.42856153935</v>
      </c>
      <c r="B9271" s="2">
        <v>193.0</v>
      </c>
      <c r="C9271" s="2" t="s">
        <v>30</v>
      </c>
    </row>
    <row r="9272">
      <c r="A9272" s="1">
        <v>43814.42881640047</v>
      </c>
      <c r="B9272" s="3" t="s">
        <v>159</v>
      </c>
      <c r="C9272" s="2" t="s">
        <v>160</v>
      </c>
    </row>
    <row r="9273">
      <c r="A9273" s="1">
        <v>43814.42895716435</v>
      </c>
      <c r="B9273" s="3" t="s">
        <v>32</v>
      </c>
      <c r="C9273" s="2" t="s">
        <v>33</v>
      </c>
    </row>
    <row r="9274">
      <c r="A9274" s="1">
        <v>43814.42919282407</v>
      </c>
      <c r="B9274" s="3" t="s">
        <v>32</v>
      </c>
      <c r="C9274" s="2" t="s">
        <v>33</v>
      </c>
    </row>
    <row r="9275">
      <c r="A9275" s="1">
        <v>43814.42935554398</v>
      </c>
      <c r="B9275" s="2">
        <v>231.0</v>
      </c>
      <c r="C9275" s="2" t="s">
        <v>61</v>
      </c>
    </row>
    <row r="9276">
      <c r="A9276" s="1">
        <v>43814.42944020833</v>
      </c>
      <c r="B9276" s="2">
        <v>244.0</v>
      </c>
      <c r="C9276" s="2" t="s">
        <v>38</v>
      </c>
    </row>
    <row r="9277">
      <c r="A9277" s="1">
        <v>43814.42953547454</v>
      </c>
      <c r="B9277" s="2">
        <v>737.0</v>
      </c>
      <c r="C9277" s="2" t="s">
        <v>176</v>
      </c>
      <c r="D9277" s="2" t="s">
        <v>5</v>
      </c>
    </row>
    <row r="9278">
      <c r="A9278" s="1">
        <v>43814.429557407406</v>
      </c>
      <c r="B9278" s="2">
        <v>270.0</v>
      </c>
      <c r="C9278" s="2" t="s">
        <v>153</v>
      </c>
    </row>
    <row r="9279">
      <c r="A9279" s="1">
        <v>43814.429686655094</v>
      </c>
      <c r="B9279" s="3" t="s">
        <v>22</v>
      </c>
      <c r="C9279" s="2" t="s">
        <v>23</v>
      </c>
    </row>
    <row r="9280">
      <c r="A9280" s="1">
        <v>43814.429912685184</v>
      </c>
      <c r="B9280" s="2">
        <v>253.0</v>
      </c>
      <c r="C9280" s="2" t="s">
        <v>138</v>
      </c>
    </row>
    <row r="9281">
      <c r="A9281" s="1">
        <v>43814.430338715276</v>
      </c>
      <c r="B9281" s="3" t="s">
        <v>117</v>
      </c>
      <c r="C9281" s="2" t="s">
        <v>118</v>
      </c>
    </row>
    <row r="9282">
      <c r="A9282" s="1">
        <v>43814.43045560185</v>
      </c>
      <c r="B9282" s="3" t="s">
        <v>119</v>
      </c>
      <c r="C9282" s="2" t="s">
        <v>120</v>
      </c>
    </row>
    <row r="9283">
      <c r="A9283" s="1">
        <v>43814.430698738426</v>
      </c>
      <c r="B9283" s="3" t="s">
        <v>51</v>
      </c>
      <c r="C9283" s="2" t="s">
        <v>52</v>
      </c>
    </row>
    <row r="9284">
      <c r="A9284" s="1">
        <v>43814.43081549769</v>
      </c>
      <c r="B9284" s="2">
        <v>713.0</v>
      </c>
      <c r="C9284" s="2" t="s">
        <v>121</v>
      </c>
      <c r="D9284" s="2" t="s">
        <v>5</v>
      </c>
    </row>
    <row r="9285">
      <c r="A9285" s="1">
        <v>43814.43088377315</v>
      </c>
      <c r="B9285" s="2">
        <v>714.0</v>
      </c>
      <c r="C9285" s="2" t="s">
        <v>122</v>
      </c>
      <c r="D9285" s="2" t="s">
        <v>5</v>
      </c>
    </row>
    <row r="9286">
      <c r="A9286" s="1">
        <v>43814.43122009259</v>
      </c>
      <c r="B9286" s="2">
        <v>603.0</v>
      </c>
      <c r="C9286" s="2" t="s">
        <v>40</v>
      </c>
    </row>
    <row r="9287">
      <c r="A9287" s="1">
        <v>43814.43130195602</v>
      </c>
      <c r="B9287" s="2">
        <v>604.0</v>
      </c>
      <c r="C9287" s="2" t="s">
        <v>36</v>
      </c>
    </row>
    <row r="9288">
      <c r="A9288" s="1">
        <v>43814.431835428244</v>
      </c>
      <c r="B9288" s="2">
        <v>738.0</v>
      </c>
      <c r="C9288" s="2" t="s">
        <v>161</v>
      </c>
      <c r="D9288" s="2" t="s">
        <v>5</v>
      </c>
    </row>
    <row r="9289">
      <c r="A9289" s="1">
        <v>43814.43195236111</v>
      </c>
      <c r="B9289" s="2">
        <v>722.0</v>
      </c>
      <c r="C9289" s="2" t="s">
        <v>25</v>
      </c>
      <c r="D9289" s="2" t="s">
        <v>5</v>
      </c>
    </row>
    <row r="9290">
      <c r="A9290" s="1">
        <v>43814.43205613426</v>
      </c>
      <c r="B9290" s="2">
        <v>246.0</v>
      </c>
      <c r="C9290" s="2" t="s">
        <v>26</v>
      </c>
    </row>
    <row r="9291">
      <c r="A9291" s="1">
        <v>43814.432461759265</v>
      </c>
      <c r="B9291" s="2">
        <v>631.0</v>
      </c>
      <c r="C9291" s="2" t="s">
        <v>178</v>
      </c>
    </row>
    <row r="9292">
      <c r="A9292" s="1">
        <v>43814.43269267361</v>
      </c>
      <c r="B9292" s="2">
        <v>257.0</v>
      </c>
      <c r="C9292" s="2" t="s">
        <v>27</v>
      </c>
    </row>
    <row r="9293">
      <c r="A9293" s="1">
        <v>43814.43284216435</v>
      </c>
      <c r="B9293" s="2">
        <v>209.0</v>
      </c>
      <c r="C9293" s="2" t="s">
        <v>219</v>
      </c>
    </row>
    <row r="9294">
      <c r="A9294" s="1">
        <v>43814.43308858796</v>
      </c>
      <c r="B9294" s="3" t="s">
        <v>82</v>
      </c>
      <c r="C9294" s="2" t="s">
        <v>83</v>
      </c>
    </row>
    <row r="9295">
      <c r="A9295" s="1">
        <v>43814.43313675926</v>
      </c>
      <c r="B9295" s="2">
        <v>724.0</v>
      </c>
      <c r="C9295" s="2" t="s">
        <v>91</v>
      </c>
      <c r="D9295" s="2" t="s">
        <v>5</v>
      </c>
    </row>
    <row r="9296">
      <c r="A9296" s="1">
        <v>43814.4331880324</v>
      </c>
      <c r="B9296" s="3" t="s">
        <v>78</v>
      </c>
      <c r="C9296" s="2" t="s">
        <v>79</v>
      </c>
    </row>
    <row r="9297">
      <c r="A9297" s="1">
        <v>43814.433472233795</v>
      </c>
      <c r="B9297" s="2">
        <v>101.0</v>
      </c>
      <c r="C9297" s="2" t="s">
        <v>108</v>
      </c>
    </row>
    <row r="9298">
      <c r="A9298" s="1">
        <v>43814.434055879625</v>
      </c>
      <c r="B9298" s="2">
        <v>201.0</v>
      </c>
      <c r="C9298" s="2" t="s">
        <v>70</v>
      </c>
    </row>
    <row r="9299">
      <c r="A9299" s="1">
        <v>43814.43460267361</v>
      </c>
      <c r="B9299" s="2">
        <v>611.0</v>
      </c>
      <c r="C9299" s="2" t="s">
        <v>143</v>
      </c>
    </row>
    <row r="9300">
      <c r="A9300" s="1">
        <v>43814.434644270834</v>
      </c>
      <c r="B9300" s="2">
        <v>208.0</v>
      </c>
      <c r="C9300" s="2" t="s">
        <v>182</v>
      </c>
    </row>
    <row r="9301">
      <c r="A9301" s="1">
        <v>43814.434838125</v>
      </c>
      <c r="B9301" s="2">
        <v>663.0</v>
      </c>
      <c r="C9301" s="2" t="s">
        <v>109</v>
      </c>
    </row>
    <row r="9302">
      <c r="A9302" s="1">
        <v>43814.43489679398</v>
      </c>
      <c r="B9302" s="3" t="s">
        <v>88</v>
      </c>
      <c r="C9302" s="2" t="s">
        <v>89</v>
      </c>
    </row>
    <row r="9303">
      <c r="A9303" s="1">
        <v>43814.43493185185</v>
      </c>
      <c r="B9303" s="2">
        <v>673.0</v>
      </c>
      <c r="C9303" s="2" t="s">
        <v>189</v>
      </c>
    </row>
    <row r="9304">
      <c r="A9304" s="1">
        <v>43814.43505267361</v>
      </c>
      <c r="B9304" s="2">
        <v>643.0</v>
      </c>
      <c r="C9304" s="2" t="s">
        <v>166</v>
      </c>
    </row>
    <row r="9305">
      <c r="A9305" s="1">
        <v>43814.43521585648</v>
      </c>
      <c r="B9305" s="2">
        <v>158.0</v>
      </c>
      <c r="C9305" s="2" t="s">
        <v>62</v>
      </c>
    </row>
    <row r="9306">
      <c r="A9306" s="1">
        <v>43814.4355231713</v>
      </c>
      <c r="B9306" s="3" t="s">
        <v>42</v>
      </c>
      <c r="C9306" s="2" t="s">
        <v>43</v>
      </c>
    </row>
    <row r="9307">
      <c r="A9307" s="1">
        <v>43814.43592148148</v>
      </c>
      <c r="B9307" s="2">
        <v>717.0</v>
      </c>
      <c r="C9307" s="2" t="s">
        <v>152</v>
      </c>
      <c r="D9307" s="2" t="s">
        <v>5</v>
      </c>
    </row>
    <row r="9308">
      <c r="A9308" s="1">
        <v>43814.43605253472</v>
      </c>
      <c r="B9308" s="2">
        <v>716.0</v>
      </c>
      <c r="C9308" s="2" t="s">
        <v>123</v>
      </c>
      <c r="D9308" s="2" t="s">
        <v>5</v>
      </c>
    </row>
    <row r="9309">
      <c r="A9309" s="1">
        <v>43814.436236319445</v>
      </c>
      <c r="B9309" s="2">
        <v>173.0</v>
      </c>
      <c r="C9309" s="2" t="s">
        <v>24</v>
      </c>
    </row>
    <row r="9310">
      <c r="A9310" s="1">
        <v>43814.436287951394</v>
      </c>
      <c r="B9310" s="2">
        <v>271.0</v>
      </c>
      <c r="C9310" s="2" t="s">
        <v>68</v>
      </c>
    </row>
    <row r="9311">
      <c r="A9311" s="1">
        <v>43814.43636173611</v>
      </c>
      <c r="B9311" s="2">
        <v>262.0</v>
      </c>
      <c r="C9311" s="2" t="s">
        <v>28</v>
      </c>
    </row>
    <row r="9312">
      <c r="A9312" s="1">
        <v>43814.43644954861</v>
      </c>
      <c r="B9312" s="2">
        <v>172.0</v>
      </c>
      <c r="C9312" s="2" t="s">
        <v>65</v>
      </c>
    </row>
    <row r="9313">
      <c r="A9313" s="1">
        <v>43814.43647438657</v>
      </c>
      <c r="B9313" s="3" t="s">
        <v>11</v>
      </c>
      <c r="C9313" s="2" t="s">
        <v>12</v>
      </c>
    </row>
    <row r="9314">
      <c r="A9314" s="1">
        <v>43814.436531851854</v>
      </c>
      <c r="B9314" s="3" t="s">
        <v>126</v>
      </c>
      <c r="C9314" s="2" t="s">
        <v>127</v>
      </c>
    </row>
    <row r="9315">
      <c r="A9315" s="1">
        <v>43814.43686336806</v>
      </c>
      <c r="B9315" s="2">
        <v>716.0</v>
      </c>
      <c r="C9315" s="2" t="s">
        <v>123</v>
      </c>
      <c r="D9315" s="2" t="s">
        <v>5</v>
      </c>
    </row>
    <row r="9316">
      <c r="A9316" s="1">
        <v>43814.43692740741</v>
      </c>
      <c r="B9316" s="2">
        <v>214.0</v>
      </c>
      <c r="C9316" s="2" t="s">
        <v>47</v>
      </c>
    </row>
    <row r="9317">
      <c r="A9317" s="1">
        <v>43814.4390971875</v>
      </c>
      <c r="B9317" s="2">
        <v>254.0</v>
      </c>
      <c r="C9317" s="2" t="s">
        <v>132</v>
      </c>
    </row>
    <row r="9318">
      <c r="A9318" s="1">
        <v>43814.43944746528</v>
      </c>
      <c r="B9318" s="3" t="s">
        <v>13</v>
      </c>
      <c r="C9318" s="2" t="s">
        <v>14</v>
      </c>
    </row>
    <row r="9319">
      <c r="A9319" s="1">
        <v>43814.44154505787</v>
      </c>
      <c r="B9319" s="2">
        <v>175.0</v>
      </c>
      <c r="C9319" s="2" t="s">
        <v>69</v>
      </c>
    </row>
    <row r="9320">
      <c r="A9320" s="1">
        <v>43814.44172229167</v>
      </c>
      <c r="B9320" s="2">
        <v>259.0</v>
      </c>
      <c r="C9320" s="2" t="s">
        <v>66</v>
      </c>
    </row>
    <row r="9321">
      <c r="A9321" s="1">
        <v>43814.441731053244</v>
      </c>
      <c r="B9321" s="2">
        <v>734.0</v>
      </c>
      <c r="C9321" s="2" t="s">
        <v>63</v>
      </c>
      <c r="D9321" s="2" t="s">
        <v>5</v>
      </c>
    </row>
    <row r="9322">
      <c r="A9322" s="1">
        <v>43814.441809930555</v>
      </c>
      <c r="B9322" s="2">
        <v>260.0</v>
      </c>
      <c r="C9322" s="2" t="s">
        <v>67</v>
      </c>
    </row>
    <row r="9323">
      <c r="A9323" s="1">
        <v>43814.44330009259</v>
      </c>
      <c r="B9323" s="2">
        <v>52.0</v>
      </c>
      <c r="C9323" s="2" t="s">
        <v>41</v>
      </c>
    </row>
    <row r="9324">
      <c r="A9324" s="1">
        <v>43814.44345032408</v>
      </c>
      <c r="B9324" s="2">
        <v>602.0</v>
      </c>
      <c r="C9324" s="2" t="s">
        <v>131</v>
      </c>
    </row>
    <row r="9325">
      <c r="A9325" s="1">
        <v>43814.443626990746</v>
      </c>
      <c r="B9325" s="2">
        <v>667.0</v>
      </c>
      <c r="C9325" s="2" t="s">
        <v>73</v>
      </c>
    </row>
    <row r="9326">
      <c r="A9326" s="1">
        <v>43814.443860416664</v>
      </c>
      <c r="B9326" s="2">
        <v>632.0</v>
      </c>
      <c r="C9326" s="2" t="s">
        <v>146</v>
      </c>
    </row>
    <row r="9327">
      <c r="A9327" s="1">
        <v>43814.444103483795</v>
      </c>
      <c r="B9327" s="2">
        <v>124.0</v>
      </c>
      <c r="C9327" s="2" t="s">
        <v>107</v>
      </c>
    </row>
    <row r="9328">
      <c r="A9328" s="1">
        <v>43814.44416728009</v>
      </c>
      <c r="B9328" s="3" t="s">
        <v>113</v>
      </c>
      <c r="C9328" s="2" t="s">
        <v>114</v>
      </c>
    </row>
    <row r="9329">
      <c r="A9329" s="1">
        <v>43814.44437327546</v>
      </c>
      <c r="B9329" s="2">
        <v>718.0</v>
      </c>
      <c r="C9329" s="2" t="s">
        <v>105</v>
      </c>
      <c r="D9329" s="2" t="s">
        <v>5</v>
      </c>
    </row>
    <row r="9330">
      <c r="A9330" s="1">
        <v>43814.44443538194</v>
      </c>
      <c r="B9330" s="2">
        <v>719.0</v>
      </c>
      <c r="C9330" s="2" t="s">
        <v>106</v>
      </c>
      <c r="D9330" s="2" t="s">
        <v>5</v>
      </c>
    </row>
    <row r="9331">
      <c r="A9331" s="1">
        <v>43814.44568234954</v>
      </c>
      <c r="B9331" s="2">
        <v>707.0</v>
      </c>
      <c r="C9331" s="2" t="s">
        <v>57</v>
      </c>
      <c r="D9331" s="2" t="s">
        <v>5</v>
      </c>
    </row>
    <row r="9332">
      <c r="A9332" s="1">
        <v>43814.44575454861</v>
      </c>
      <c r="B9332" s="2">
        <v>198.0</v>
      </c>
      <c r="C9332" s="2" t="s">
        <v>97</v>
      </c>
    </row>
    <row r="9333">
      <c r="A9333" s="1">
        <v>43814.445864629626</v>
      </c>
      <c r="B9333" s="3" t="s">
        <v>55</v>
      </c>
      <c r="C9333" s="2" t="s">
        <v>56</v>
      </c>
    </row>
    <row r="9334">
      <c r="A9334" s="1">
        <v>43814.44593938657</v>
      </c>
      <c r="B9334" s="3" t="s">
        <v>94</v>
      </c>
      <c r="C9334" s="2" t="s">
        <v>95</v>
      </c>
    </row>
    <row r="9335">
      <c r="A9335" s="1">
        <v>43814.44607481481</v>
      </c>
      <c r="B9335" s="2">
        <v>141.0</v>
      </c>
      <c r="C9335" s="2" t="s">
        <v>53</v>
      </c>
    </row>
    <row r="9336">
      <c r="A9336" s="1">
        <v>43814.44620706019</v>
      </c>
      <c r="B9336" s="2">
        <v>702.0</v>
      </c>
      <c r="C9336" s="2" t="s">
        <v>96</v>
      </c>
      <c r="D9336" s="2" t="s">
        <v>5</v>
      </c>
    </row>
    <row r="9337">
      <c r="A9337" s="1">
        <v>43814.44629258102</v>
      </c>
      <c r="B9337" s="2">
        <v>729.0</v>
      </c>
      <c r="C9337" s="2" t="s">
        <v>54</v>
      </c>
      <c r="D9337" s="2" t="s">
        <v>5</v>
      </c>
    </row>
    <row r="9338">
      <c r="A9338" s="1">
        <v>43814.46295752315</v>
      </c>
      <c r="B9338" s="2">
        <v>729.0</v>
      </c>
      <c r="C9338" s="2" t="s">
        <v>54</v>
      </c>
      <c r="D9338" s="2" t="s">
        <v>5</v>
      </c>
    </row>
    <row r="9339">
      <c r="A9339" s="1">
        <v>43814.46295861111</v>
      </c>
      <c r="B9339" s="2">
        <v>641.0</v>
      </c>
      <c r="C9339" s="2" t="s">
        <v>210</v>
      </c>
    </row>
    <row r="9340">
      <c r="A9340" s="1">
        <v>43814.46305280093</v>
      </c>
      <c r="B9340" s="2">
        <v>114.0</v>
      </c>
      <c r="C9340" s="2" t="s">
        <v>15</v>
      </c>
    </row>
    <row r="9341">
      <c r="A9341" s="1">
        <v>43814.463127627314</v>
      </c>
      <c r="B9341" s="2">
        <v>729.0</v>
      </c>
      <c r="C9341" s="2" t="s">
        <v>54</v>
      </c>
      <c r="D9341" s="2" t="s">
        <v>5</v>
      </c>
    </row>
    <row r="9342">
      <c r="A9342" s="1">
        <v>43814.463252013884</v>
      </c>
      <c r="B9342" s="3" t="s">
        <v>9</v>
      </c>
      <c r="C9342" s="2" t="s">
        <v>10</v>
      </c>
    </row>
    <row r="9343">
      <c r="A9343" s="1">
        <v>43814.463376562504</v>
      </c>
      <c r="B9343" s="2">
        <v>655.0</v>
      </c>
      <c r="C9343" s="2" t="s">
        <v>17</v>
      </c>
    </row>
    <row r="9344">
      <c r="A9344" s="1">
        <v>43814.46359241898</v>
      </c>
      <c r="B9344" s="2">
        <v>708.0</v>
      </c>
      <c r="C9344" s="2" t="s">
        <v>4</v>
      </c>
      <c r="D9344" s="2" t="s">
        <v>5</v>
      </c>
    </row>
    <row r="9345">
      <c r="A9345" s="1">
        <v>43814.46365451389</v>
      </c>
      <c r="B9345" s="2">
        <v>709.0</v>
      </c>
      <c r="C9345" s="2" t="s">
        <v>20</v>
      </c>
      <c r="D9345" s="2" t="s">
        <v>5</v>
      </c>
    </row>
    <row r="9346">
      <c r="A9346" s="1">
        <v>43814.463716886574</v>
      </c>
      <c r="B9346" s="2">
        <v>710.0</v>
      </c>
      <c r="C9346" s="2" t="s">
        <v>21</v>
      </c>
      <c r="D9346" s="2" t="s">
        <v>5</v>
      </c>
    </row>
    <row r="9347">
      <c r="A9347" s="1">
        <v>43814.46933929398</v>
      </c>
      <c r="B9347" s="3" t="s">
        <v>103</v>
      </c>
      <c r="C9347" s="2" t="s">
        <v>104</v>
      </c>
    </row>
    <row r="9348">
      <c r="A9348" s="1">
        <v>43814.47590747685</v>
      </c>
      <c r="B9348" s="2">
        <v>252.0</v>
      </c>
      <c r="C9348" s="2" t="s">
        <v>34</v>
      </c>
    </row>
    <row r="9349">
      <c r="A9349" s="1">
        <v>43814.47649674768</v>
      </c>
      <c r="B9349" s="2">
        <v>735.0</v>
      </c>
      <c r="C9349" s="2" t="s">
        <v>37</v>
      </c>
      <c r="D9349" s="2" t="s">
        <v>5</v>
      </c>
    </row>
    <row r="9350">
      <c r="A9350" s="1">
        <v>43814.49881755787</v>
      </c>
      <c r="B9350" s="2">
        <v>160.0</v>
      </c>
      <c r="C9350" s="2" t="s">
        <v>154</v>
      </c>
    </row>
    <row r="9351">
      <c r="A9351" s="1">
        <v>43815.502340335646</v>
      </c>
      <c r="B9351" s="3" t="s">
        <v>32</v>
      </c>
      <c r="C9351" s="2" t="s">
        <v>33</v>
      </c>
    </row>
    <row r="9352">
      <c r="A9352" s="1">
        <v>43815.502580775465</v>
      </c>
      <c r="B9352" s="2">
        <v>675.0</v>
      </c>
      <c r="C9352" s="2" t="s">
        <v>222</v>
      </c>
    </row>
    <row r="9353">
      <c r="A9353" s="1">
        <v>43815.50265652778</v>
      </c>
      <c r="B9353" s="2">
        <v>677.0</v>
      </c>
      <c r="C9353" s="2" t="s">
        <v>224</v>
      </c>
    </row>
    <row r="9354">
      <c r="A9354" s="1">
        <v>43815.50285592592</v>
      </c>
      <c r="B9354" s="2">
        <v>238.0</v>
      </c>
      <c r="C9354" s="2" t="s">
        <v>35</v>
      </c>
    </row>
    <row r="9355">
      <c r="A9355" s="1">
        <v>43815.5029975</v>
      </c>
      <c r="B9355" s="2">
        <v>729.0</v>
      </c>
      <c r="C9355" s="2" t="s">
        <v>54</v>
      </c>
      <c r="D9355" s="2" t="s">
        <v>5</v>
      </c>
    </row>
    <row r="9356">
      <c r="A9356" s="1">
        <v>43815.5032208912</v>
      </c>
      <c r="B9356" s="2">
        <v>648.0</v>
      </c>
      <c r="C9356" s="2" t="s">
        <v>207</v>
      </c>
    </row>
    <row r="9357">
      <c r="A9357" s="1">
        <v>43815.50325328704</v>
      </c>
      <c r="B9357" s="2">
        <v>649.0</v>
      </c>
      <c r="C9357" s="2" t="s">
        <v>177</v>
      </c>
    </row>
    <row r="9358">
      <c r="A9358" s="1">
        <v>43815.504047361115</v>
      </c>
      <c r="B9358" s="2">
        <v>707.0</v>
      </c>
      <c r="C9358" s="2" t="s">
        <v>57</v>
      </c>
      <c r="D9358" s="2" t="s">
        <v>5</v>
      </c>
    </row>
    <row r="9359">
      <c r="A9359" s="1">
        <v>43815.508078865736</v>
      </c>
      <c r="B9359" s="2">
        <v>728.0</v>
      </c>
      <c r="C9359" s="2" t="s">
        <v>173</v>
      </c>
      <c r="D9359" s="2" t="s">
        <v>5</v>
      </c>
    </row>
    <row r="9360">
      <c r="A9360" s="1">
        <v>43815.50842809028</v>
      </c>
      <c r="B9360" s="2">
        <v>729.0</v>
      </c>
      <c r="C9360" s="2" t="s">
        <v>54</v>
      </c>
      <c r="D9360" s="2" t="s">
        <v>5</v>
      </c>
    </row>
    <row r="9361">
      <c r="A9361" s="1">
        <v>43815.54131847223</v>
      </c>
      <c r="B9361" s="2">
        <v>729.0</v>
      </c>
      <c r="C9361" s="2" t="s">
        <v>54</v>
      </c>
      <c r="D9361" s="2" t="s">
        <v>5</v>
      </c>
    </row>
    <row r="9362">
      <c r="A9362" s="1">
        <v>43815.54567497685</v>
      </c>
      <c r="B9362" s="2">
        <v>729.0</v>
      </c>
      <c r="C9362" s="2" t="s">
        <v>54</v>
      </c>
      <c r="D9362" s="2" t="s">
        <v>5</v>
      </c>
    </row>
    <row r="9363">
      <c r="A9363" s="1">
        <v>43815.54646707176</v>
      </c>
      <c r="B9363" s="2">
        <v>729.0</v>
      </c>
      <c r="C9363" s="2" t="s">
        <v>54</v>
      </c>
      <c r="D9363" s="2" t="s">
        <v>5</v>
      </c>
    </row>
    <row r="9364">
      <c r="A9364" s="1">
        <v>43815.55044665509</v>
      </c>
      <c r="B9364" s="2">
        <v>729.0</v>
      </c>
      <c r="C9364" s="2" t="s">
        <v>54</v>
      </c>
      <c r="D9364" s="2" t="s">
        <v>5</v>
      </c>
    </row>
    <row r="9365">
      <c r="A9365" s="1">
        <v>43815.62469104167</v>
      </c>
      <c r="B9365" s="2">
        <v>729.0</v>
      </c>
      <c r="C9365" s="2" t="s">
        <v>54</v>
      </c>
      <c r="D9365" s="2" t="s">
        <v>5</v>
      </c>
    </row>
    <row r="9366">
      <c r="A9366" s="1">
        <v>43815.627562974536</v>
      </c>
      <c r="B9366" s="2">
        <v>611.0</v>
      </c>
      <c r="C9366" s="2" t="s">
        <v>143</v>
      </c>
    </row>
    <row r="9367">
      <c r="A9367" s="1">
        <v>43815.627741979166</v>
      </c>
      <c r="B9367" s="2">
        <v>611.0</v>
      </c>
      <c r="C9367" s="2" t="s">
        <v>143</v>
      </c>
    </row>
    <row r="9368">
      <c r="A9368" s="1">
        <v>43816.71693350695</v>
      </c>
      <c r="B9368" s="2">
        <v>611.0</v>
      </c>
      <c r="C9368" s="2" t="s">
        <v>143</v>
      </c>
    </row>
    <row r="9369">
      <c r="A9369" s="1">
        <v>43821.41401483797</v>
      </c>
      <c r="B9369" s="2">
        <v>246.0</v>
      </c>
      <c r="C9369" s="2" t="s">
        <v>26</v>
      </c>
    </row>
    <row r="9370">
      <c r="A9370" s="1">
        <v>43821.41412509259</v>
      </c>
      <c r="B9370" s="2">
        <v>722.0</v>
      </c>
      <c r="C9370" s="2" t="s">
        <v>25</v>
      </c>
      <c r="D9370" s="2" t="s">
        <v>5</v>
      </c>
    </row>
    <row r="9371">
      <c r="A9371" s="1">
        <v>43821.414286597224</v>
      </c>
      <c r="B9371" s="2">
        <v>167.0</v>
      </c>
      <c r="C9371" s="2" t="s">
        <v>39</v>
      </c>
    </row>
    <row r="9372">
      <c r="A9372" s="1">
        <v>43821.41438998842</v>
      </c>
      <c r="B9372" s="2">
        <v>173.0</v>
      </c>
      <c r="C9372" s="2" t="s">
        <v>24</v>
      </c>
    </row>
    <row r="9373">
      <c r="A9373" s="1">
        <v>43821.41584607639</v>
      </c>
      <c r="B9373" s="2">
        <v>635.0</v>
      </c>
      <c r="C9373" s="2" t="s">
        <v>165</v>
      </c>
    </row>
    <row r="9374">
      <c r="A9374" s="1">
        <v>43821.41600465278</v>
      </c>
      <c r="B9374" s="2">
        <v>704.0</v>
      </c>
      <c r="C9374" s="2" t="s">
        <v>167</v>
      </c>
      <c r="D9374" s="2" t="s">
        <v>5</v>
      </c>
    </row>
    <row r="9375">
      <c r="A9375" s="1">
        <v>43821.4169878588</v>
      </c>
      <c r="B9375" s="3" t="s">
        <v>32</v>
      </c>
      <c r="C9375" s="2" t="s">
        <v>33</v>
      </c>
    </row>
    <row r="9376">
      <c r="A9376" s="1">
        <v>43821.41711362269</v>
      </c>
      <c r="B9376" s="2">
        <v>219.0</v>
      </c>
      <c r="C9376" s="2" t="s">
        <v>31</v>
      </c>
    </row>
    <row r="9377">
      <c r="A9377" s="1">
        <v>43821.42156307871</v>
      </c>
      <c r="B9377" s="2">
        <v>231.0</v>
      </c>
      <c r="C9377" s="2" t="s">
        <v>61</v>
      </c>
    </row>
    <row r="9378">
      <c r="A9378" s="1">
        <v>43821.424508055556</v>
      </c>
      <c r="B9378" s="3" t="s">
        <v>159</v>
      </c>
      <c r="C9378" s="2" t="s">
        <v>160</v>
      </c>
    </row>
    <row r="9379">
      <c r="A9379" s="1">
        <v>43821.425204872685</v>
      </c>
      <c r="B9379" s="3" t="s">
        <v>42</v>
      </c>
      <c r="C9379" s="2" t="s">
        <v>43</v>
      </c>
    </row>
    <row r="9380">
      <c r="A9380" s="1">
        <v>43821.42535538194</v>
      </c>
      <c r="B9380" s="3" t="s">
        <v>51</v>
      </c>
      <c r="C9380" s="2" t="s">
        <v>52</v>
      </c>
    </row>
    <row r="9381">
      <c r="A9381" s="1">
        <v>43821.426452245374</v>
      </c>
      <c r="B9381" s="3" t="s">
        <v>103</v>
      </c>
      <c r="C9381" s="2" t="s">
        <v>104</v>
      </c>
    </row>
    <row r="9382">
      <c r="A9382" s="1">
        <v>43821.42739671296</v>
      </c>
      <c r="B9382" s="2">
        <v>648.0</v>
      </c>
      <c r="C9382" s="2" t="s">
        <v>207</v>
      </c>
    </row>
    <row r="9383">
      <c r="A9383" s="1">
        <v>43821.42761987269</v>
      </c>
      <c r="B9383" s="2">
        <v>736.0</v>
      </c>
      <c r="C9383" s="2" t="s">
        <v>175</v>
      </c>
      <c r="D9383" s="2" t="s">
        <v>5</v>
      </c>
    </row>
    <row r="9384">
      <c r="A9384" s="1">
        <v>43821.42768233796</v>
      </c>
      <c r="B9384" s="2">
        <v>736.0</v>
      </c>
      <c r="C9384" s="2" t="s">
        <v>175</v>
      </c>
      <c r="D9384" s="2" t="s">
        <v>5</v>
      </c>
    </row>
    <row r="9385">
      <c r="A9385" s="1">
        <v>43821.42768620371</v>
      </c>
      <c r="B9385" s="2">
        <v>737.0</v>
      </c>
      <c r="C9385" s="2" t="s">
        <v>176</v>
      </c>
      <c r="D9385" s="2" t="s">
        <v>5</v>
      </c>
    </row>
    <row r="9386">
      <c r="A9386" s="1">
        <v>43821.43102337963</v>
      </c>
      <c r="B9386" s="2">
        <v>736.0</v>
      </c>
      <c r="C9386" s="2" t="s">
        <v>175</v>
      </c>
      <c r="D9386" s="2" t="s">
        <v>5</v>
      </c>
    </row>
    <row r="9387">
      <c r="A9387" s="1">
        <v>43821.43159886574</v>
      </c>
      <c r="B9387" s="2">
        <v>611.0</v>
      </c>
      <c r="C9387" s="2" t="s">
        <v>143</v>
      </c>
    </row>
    <row r="9388">
      <c r="A9388" s="1">
        <v>43821.4324430787</v>
      </c>
      <c r="B9388" s="2">
        <v>271.0</v>
      </c>
      <c r="C9388" s="2" t="s">
        <v>68</v>
      </c>
    </row>
    <row r="9389">
      <c r="A9389" s="1">
        <v>43821.43269582176</v>
      </c>
      <c r="B9389" s="3" t="s">
        <v>82</v>
      </c>
      <c r="C9389" s="2" t="s">
        <v>83</v>
      </c>
    </row>
    <row r="9390">
      <c r="A9390" s="1">
        <v>43821.4331978125</v>
      </c>
      <c r="B9390" s="3" t="s">
        <v>78</v>
      </c>
      <c r="C9390" s="2" t="s">
        <v>79</v>
      </c>
    </row>
    <row r="9391">
      <c r="A9391" s="1">
        <v>43821.433882627316</v>
      </c>
      <c r="B9391" s="2">
        <v>270.0</v>
      </c>
      <c r="C9391" s="2" t="s">
        <v>153</v>
      </c>
    </row>
    <row r="9392">
      <c r="A9392" s="1">
        <v>43821.43438572917</v>
      </c>
      <c r="B9392" s="2">
        <v>723.0</v>
      </c>
      <c r="C9392" s="2" t="s">
        <v>84</v>
      </c>
      <c r="D9392" s="2" t="s">
        <v>5</v>
      </c>
    </row>
    <row r="9393">
      <c r="A9393" s="1">
        <v>43821.434558587964</v>
      </c>
      <c r="B9393" s="2">
        <v>244.0</v>
      </c>
      <c r="C9393" s="2" t="s">
        <v>38</v>
      </c>
    </row>
    <row r="9394">
      <c r="A9394" s="1">
        <v>43821.43477317129</v>
      </c>
      <c r="B9394" s="2">
        <v>220.0</v>
      </c>
      <c r="C9394" s="2" t="s">
        <v>231</v>
      </c>
    </row>
    <row r="9395">
      <c r="A9395" s="1">
        <v>43821.435020868055</v>
      </c>
      <c r="B9395" s="3" t="s">
        <v>59</v>
      </c>
      <c r="C9395" s="2" t="s">
        <v>60</v>
      </c>
    </row>
    <row r="9396">
      <c r="A9396" s="1">
        <v>43821.43625068287</v>
      </c>
      <c r="B9396" s="2">
        <v>214.0</v>
      </c>
      <c r="C9396" s="2" t="s">
        <v>47</v>
      </c>
    </row>
    <row r="9397">
      <c r="A9397" s="1">
        <v>43821.43636021991</v>
      </c>
      <c r="B9397" s="2">
        <v>201.0</v>
      </c>
      <c r="C9397" s="2" t="s">
        <v>70</v>
      </c>
    </row>
    <row r="9398">
      <c r="A9398" s="1">
        <v>43821.43702734954</v>
      </c>
      <c r="B9398" s="2">
        <v>229.0</v>
      </c>
      <c r="C9398" s="2" t="s">
        <v>86</v>
      </c>
    </row>
    <row r="9399">
      <c r="A9399" s="1">
        <v>43821.43718355324</v>
      </c>
      <c r="B9399" s="2">
        <v>158.0</v>
      </c>
      <c r="C9399" s="2" t="s">
        <v>62</v>
      </c>
    </row>
    <row r="9400">
      <c r="A9400" s="1">
        <v>43821.437369837964</v>
      </c>
      <c r="B9400" s="2">
        <v>716.0</v>
      </c>
      <c r="C9400" s="2" t="s">
        <v>123</v>
      </c>
      <c r="D9400" s="2" t="s">
        <v>5</v>
      </c>
    </row>
    <row r="9401">
      <c r="A9401" s="1">
        <v>43821.4379055787</v>
      </c>
      <c r="B9401" s="2">
        <v>632.0</v>
      </c>
      <c r="C9401" s="2" t="s">
        <v>146</v>
      </c>
    </row>
    <row r="9402">
      <c r="A9402" s="1">
        <v>43821.438686064816</v>
      </c>
      <c r="B9402" s="2">
        <v>717.0</v>
      </c>
      <c r="C9402" s="2" t="s">
        <v>152</v>
      </c>
      <c r="D9402" s="2" t="s">
        <v>5</v>
      </c>
    </row>
    <row r="9403">
      <c r="A9403" s="1">
        <v>43821.439153125</v>
      </c>
      <c r="B9403" s="2">
        <v>614.0</v>
      </c>
      <c r="C9403" s="2" t="s">
        <v>76</v>
      </c>
    </row>
    <row r="9404">
      <c r="A9404" s="1">
        <v>43821.439681840275</v>
      </c>
      <c r="B9404" s="2">
        <v>667.0</v>
      </c>
      <c r="C9404" s="2" t="s">
        <v>73</v>
      </c>
    </row>
    <row r="9405">
      <c r="A9405" s="1">
        <v>43821.43968964121</v>
      </c>
      <c r="B9405" s="2">
        <v>667.0</v>
      </c>
      <c r="C9405" s="2" t="s">
        <v>73</v>
      </c>
    </row>
    <row r="9406">
      <c r="A9406" s="1">
        <v>43821.44023694444</v>
      </c>
      <c r="B9406" s="2">
        <v>113.0</v>
      </c>
      <c r="C9406" s="2" t="s">
        <v>29</v>
      </c>
    </row>
    <row r="9407">
      <c r="A9407" s="1">
        <v>43821.44050619213</v>
      </c>
      <c r="B9407" s="2">
        <v>52.0</v>
      </c>
      <c r="C9407" s="2" t="s">
        <v>41</v>
      </c>
    </row>
    <row r="9408">
      <c r="A9408" s="1">
        <v>43821.440873125</v>
      </c>
      <c r="B9408" s="3" t="s">
        <v>74</v>
      </c>
      <c r="C9408" s="2" t="s">
        <v>75</v>
      </c>
    </row>
    <row r="9409">
      <c r="A9409" s="1">
        <v>43821.441137754635</v>
      </c>
      <c r="B9409" s="2">
        <v>602.0</v>
      </c>
      <c r="C9409" s="2" t="s">
        <v>131</v>
      </c>
    </row>
    <row r="9410">
      <c r="A9410" s="1">
        <v>43821.44127465278</v>
      </c>
      <c r="B9410" s="2">
        <v>262.0</v>
      </c>
      <c r="C9410" s="2" t="s">
        <v>28</v>
      </c>
    </row>
    <row r="9411">
      <c r="A9411" s="1">
        <v>43821.441395138885</v>
      </c>
      <c r="B9411" s="2">
        <v>193.0</v>
      </c>
      <c r="C9411" s="2" t="s">
        <v>30</v>
      </c>
    </row>
    <row r="9412">
      <c r="A9412" s="1">
        <v>43821.44400938657</v>
      </c>
      <c r="B9412" s="2">
        <v>165.0</v>
      </c>
      <c r="C9412" s="2" t="s">
        <v>50</v>
      </c>
    </row>
    <row r="9413">
      <c r="A9413" s="1">
        <v>43821.4443944213</v>
      </c>
      <c r="B9413" s="2">
        <v>160.0</v>
      </c>
      <c r="C9413" s="2" t="s">
        <v>154</v>
      </c>
    </row>
    <row r="9414">
      <c r="A9414" s="1">
        <v>43821.44469576389</v>
      </c>
      <c r="B9414" s="2">
        <v>172.0</v>
      </c>
      <c r="C9414" s="2" t="s">
        <v>65</v>
      </c>
    </row>
    <row r="9415">
      <c r="A9415" s="1">
        <v>43821.44574756944</v>
      </c>
      <c r="B9415" s="2">
        <v>210.0</v>
      </c>
      <c r="C9415" s="2" t="s">
        <v>64</v>
      </c>
    </row>
    <row r="9416">
      <c r="A9416" s="1">
        <v>43821.44598443287</v>
      </c>
      <c r="B9416" s="2">
        <v>625.0</v>
      </c>
      <c r="C9416" s="2" t="s">
        <v>136</v>
      </c>
    </row>
    <row r="9417">
      <c r="A9417" s="1">
        <v>43821.447269490745</v>
      </c>
      <c r="B9417" s="2">
        <v>604.0</v>
      </c>
      <c r="C9417" s="2" t="s">
        <v>36</v>
      </c>
    </row>
    <row r="9418">
      <c r="A9418" s="1">
        <v>43821.448556979165</v>
      </c>
      <c r="B9418" s="2">
        <v>608.0</v>
      </c>
      <c r="C9418" s="2" t="s">
        <v>7</v>
      </c>
    </row>
    <row r="9419">
      <c r="A9419" s="1">
        <v>43821.449684444444</v>
      </c>
      <c r="B9419" s="2">
        <v>733.0</v>
      </c>
      <c r="C9419" s="2" t="s">
        <v>110</v>
      </c>
      <c r="D9419" s="2" t="s">
        <v>5</v>
      </c>
    </row>
    <row r="9420">
      <c r="A9420" s="1">
        <v>43821.4501518287</v>
      </c>
      <c r="B9420" s="2">
        <v>618.0</v>
      </c>
      <c r="C9420" s="2" t="s">
        <v>147</v>
      </c>
    </row>
    <row r="9421">
      <c r="A9421" s="1">
        <v>43821.45033821759</v>
      </c>
      <c r="B9421" s="2">
        <v>705.0</v>
      </c>
      <c r="C9421" s="2" t="s">
        <v>168</v>
      </c>
      <c r="D9421" s="2" t="s">
        <v>5</v>
      </c>
    </row>
    <row r="9422">
      <c r="A9422" s="1">
        <v>43821.45063131944</v>
      </c>
      <c r="B9422" s="2">
        <v>237.0</v>
      </c>
      <c r="C9422" s="2" t="s">
        <v>140</v>
      </c>
    </row>
    <row r="9423">
      <c r="A9423" s="1">
        <v>43821.45082738426</v>
      </c>
      <c r="B9423" s="2">
        <v>157.0</v>
      </c>
      <c r="C9423" s="2" t="s">
        <v>141</v>
      </c>
    </row>
    <row r="9424">
      <c r="A9424" s="1">
        <v>43821.45095828704</v>
      </c>
      <c r="B9424" s="3" t="s">
        <v>88</v>
      </c>
      <c r="C9424" s="2" t="s">
        <v>89</v>
      </c>
    </row>
    <row r="9425">
      <c r="A9425" s="1">
        <v>43821.45207097223</v>
      </c>
      <c r="B9425" s="3" t="s">
        <v>22</v>
      </c>
      <c r="C9425" s="2" t="s">
        <v>23</v>
      </c>
    </row>
    <row r="9426">
      <c r="A9426" s="1">
        <v>43821.45315799769</v>
      </c>
      <c r="B9426" s="2">
        <v>734.0</v>
      </c>
      <c r="C9426" s="2" t="s">
        <v>63</v>
      </c>
      <c r="D9426" s="2" t="s">
        <v>5</v>
      </c>
    </row>
    <row r="9427">
      <c r="A9427" s="1">
        <v>43821.453392766205</v>
      </c>
      <c r="B9427" s="2">
        <v>260.0</v>
      </c>
      <c r="C9427" s="2" t="s">
        <v>67</v>
      </c>
    </row>
    <row r="9428">
      <c r="A9428" s="1">
        <v>43821.45364365741</v>
      </c>
      <c r="B9428" s="2">
        <v>664.0</v>
      </c>
      <c r="C9428" s="2" t="s">
        <v>191</v>
      </c>
    </row>
    <row r="9429">
      <c r="A9429" s="1">
        <v>43821.45402179398</v>
      </c>
      <c r="B9429" s="2">
        <v>719.0</v>
      </c>
      <c r="C9429" s="2" t="s">
        <v>106</v>
      </c>
      <c r="D9429" s="2" t="s">
        <v>5</v>
      </c>
    </row>
    <row r="9430">
      <c r="A9430" s="1">
        <v>43821.45413391203</v>
      </c>
      <c r="B9430" s="2">
        <v>718.0</v>
      </c>
      <c r="C9430" s="2" t="s">
        <v>105</v>
      </c>
      <c r="D9430" s="2" t="s">
        <v>5</v>
      </c>
    </row>
    <row r="9431">
      <c r="A9431" s="1">
        <v>43821.45437607639</v>
      </c>
      <c r="B9431" s="2">
        <v>101.0</v>
      </c>
      <c r="C9431" s="2" t="s">
        <v>108</v>
      </c>
    </row>
    <row r="9432">
      <c r="A9432" s="1">
        <v>43821.45449670139</v>
      </c>
      <c r="B9432" s="3" t="s">
        <v>113</v>
      </c>
      <c r="C9432" s="2" t="s">
        <v>114</v>
      </c>
    </row>
    <row r="9433">
      <c r="A9433" s="1">
        <v>43821.46223996527</v>
      </c>
      <c r="B9433" s="2">
        <v>254.0</v>
      </c>
      <c r="C9433" s="2" t="s">
        <v>132</v>
      </c>
    </row>
    <row r="9434">
      <c r="A9434" s="1">
        <v>43821.474224652775</v>
      </c>
      <c r="B9434" s="2">
        <v>623.0</v>
      </c>
      <c r="C9434" s="2" t="s">
        <v>133</v>
      </c>
    </row>
    <row r="9435">
      <c r="A9435" s="1">
        <v>43821.51713715278</v>
      </c>
      <c r="B9435" s="2">
        <v>623.0</v>
      </c>
      <c r="C9435" s="2" t="s">
        <v>133</v>
      </c>
    </row>
    <row r="9436">
      <c r="A9436" s="1">
        <v>43822.38178510417</v>
      </c>
      <c r="B9436" s="2">
        <v>663.0</v>
      </c>
      <c r="C9436" s="2" t="s">
        <v>109</v>
      </c>
    </row>
    <row r="9437">
      <c r="A9437" s="1">
        <v>43822.38419385417</v>
      </c>
      <c r="B9437" s="2">
        <v>737.0</v>
      </c>
      <c r="C9437" s="2" t="s">
        <v>176</v>
      </c>
      <c r="D9437" s="2" t="s">
        <v>5</v>
      </c>
    </row>
    <row r="9438">
      <c r="A9438" s="1">
        <v>43822.391833263886</v>
      </c>
      <c r="B9438" s="3" t="s">
        <v>11</v>
      </c>
      <c r="C9438" s="2" t="s">
        <v>12</v>
      </c>
    </row>
    <row r="9439">
      <c r="A9439" s="1">
        <v>43822.39199373843</v>
      </c>
      <c r="B9439" s="2">
        <v>643.0</v>
      </c>
      <c r="C9439" s="2" t="s">
        <v>166</v>
      </c>
    </row>
    <row r="9440">
      <c r="A9440" s="1">
        <v>43822.393123842594</v>
      </c>
      <c r="B9440" s="2">
        <v>124.0</v>
      </c>
      <c r="C9440" s="2" t="s">
        <v>107</v>
      </c>
    </row>
    <row r="9441">
      <c r="A9441" s="1">
        <v>43822.39334189815</v>
      </c>
      <c r="B9441" s="2">
        <v>257.0</v>
      </c>
      <c r="C9441" s="2" t="s">
        <v>27</v>
      </c>
    </row>
    <row r="9442">
      <c r="A9442" s="1">
        <v>43822.39360461806</v>
      </c>
      <c r="B9442" s="2">
        <v>655.0</v>
      </c>
      <c r="C9442" s="2" t="s">
        <v>17</v>
      </c>
    </row>
    <row r="9443">
      <c r="A9443" s="1">
        <v>43822.39429956018</v>
      </c>
      <c r="B9443" s="2">
        <v>208.0</v>
      </c>
      <c r="C9443" s="2" t="s">
        <v>182</v>
      </c>
    </row>
    <row r="9444">
      <c r="A9444" s="1">
        <v>43822.395256724536</v>
      </c>
      <c r="B9444" s="2">
        <v>627.0</v>
      </c>
      <c r="C9444" s="2" t="s">
        <v>134</v>
      </c>
    </row>
    <row r="9445">
      <c r="A9445" s="1">
        <v>43822.39696471065</v>
      </c>
      <c r="B9445" s="2">
        <v>603.0</v>
      </c>
      <c r="C9445" s="2" t="s">
        <v>40</v>
      </c>
    </row>
    <row r="9446">
      <c r="A9446" s="1">
        <v>43822.3978880787</v>
      </c>
      <c r="B9446" s="2">
        <v>735.0</v>
      </c>
      <c r="C9446" s="2" t="s">
        <v>37</v>
      </c>
      <c r="D9446" s="2" t="s">
        <v>5</v>
      </c>
    </row>
    <row r="9447">
      <c r="A9447" s="1">
        <v>43822.39842641204</v>
      </c>
      <c r="B9447" s="2">
        <v>677.0</v>
      </c>
      <c r="C9447" s="2" t="s">
        <v>224</v>
      </c>
    </row>
    <row r="9448">
      <c r="A9448" s="1">
        <v>43822.399665335644</v>
      </c>
      <c r="B9448" s="2">
        <v>267.0</v>
      </c>
      <c r="C9448" s="2" t="s">
        <v>115</v>
      </c>
    </row>
    <row r="9449">
      <c r="A9449" s="1">
        <v>43822.399902881945</v>
      </c>
      <c r="B9449" s="2">
        <v>238.0</v>
      </c>
      <c r="C9449" s="2" t="s">
        <v>35</v>
      </c>
    </row>
    <row r="9450">
      <c r="A9450" s="1">
        <v>43822.40015601851</v>
      </c>
      <c r="B9450" s="3" t="s">
        <v>126</v>
      </c>
      <c r="C9450" s="2" t="s">
        <v>127</v>
      </c>
    </row>
    <row r="9451">
      <c r="A9451" s="1">
        <v>43822.40059671296</v>
      </c>
      <c r="B9451" s="2">
        <v>253.0</v>
      </c>
      <c r="C9451" s="2" t="s">
        <v>138</v>
      </c>
    </row>
    <row r="9452">
      <c r="A9452" s="1">
        <v>43822.401989351856</v>
      </c>
      <c r="B9452" s="2">
        <v>114.0</v>
      </c>
      <c r="C9452" s="2" t="s">
        <v>15</v>
      </c>
    </row>
    <row r="9453">
      <c r="A9453" s="1">
        <v>43822.40223032408</v>
      </c>
      <c r="B9453" s="2">
        <v>147.0</v>
      </c>
      <c r="C9453" s="2" t="s">
        <v>100</v>
      </c>
    </row>
    <row r="9454">
      <c r="A9454" s="1">
        <v>43822.40239430555</v>
      </c>
      <c r="B9454" s="3" t="s">
        <v>9</v>
      </c>
      <c r="C9454" s="2" t="s">
        <v>10</v>
      </c>
    </row>
    <row r="9455">
      <c r="A9455" s="1">
        <v>43822.402761087964</v>
      </c>
      <c r="B9455" s="2">
        <v>708.0</v>
      </c>
      <c r="C9455" s="2" t="s">
        <v>4</v>
      </c>
      <c r="D9455" s="2" t="s">
        <v>5</v>
      </c>
    </row>
    <row r="9456">
      <c r="A9456" s="1">
        <v>43822.40279635417</v>
      </c>
      <c r="B9456" s="2">
        <v>709.0</v>
      </c>
      <c r="C9456" s="2" t="s">
        <v>20</v>
      </c>
      <c r="D9456" s="2" t="s">
        <v>5</v>
      </c>
    </row>
    <row r="9457">
      <c r="A9457" s="1">
        <v>43822.40282751157</v>
      </c>
      <c r="B9457" s="2">
        <v>710.0</v>
      </c>
      <c r="C9457" s="2" t="s">
        <v>21</v>
      </c>
      <c r="D9457" s="2" t="s">
        <v>5</v>
      </c>
    </row>
    <row r="9458">
      <c r="A9458" s="1">
        <v>43822.40307299768</v>
      </c>
      <c r="B9458" s="2">
        <v>726.0</v>
      </c>
      <c r="C9458" s="2" t="s">
        <v>101</v>
      </c>
      <c r="D9458" s="2" t="s">
        <v>5</v>
      </c>
    </row>
    <row r="9459">
      <c r="A9459" s="1">
        <v>43822.40339556713</v>
      </c>
      <c r="B9459" s="2">
        <v>721.0</v>
      </c>
      <c r="C9459" s="2" t="s">
        <v>156</v>
      </c>
      <c r="D9459" s="2" t="s">
        <v>5</v>
      </c>
    </row>
    <row r="9460">
      <c r="A9460" s="1">
        <v>43823.3816224537</v>
      </c>
      <c r="B9460" s="2">
        <v>609.0</v>
      </c>
      <c r="C9460" s="2" t="s">
        <v>179</v>
      </c>
    </row>
    <row r="9461">
      <c r="A9461" s="1">
        <v>43823.44724440972</v>
      </c>
      <c r="B9461" s="2">
        <v>175.0</v>
      </c>
      <c r="C9461" s="2" t="s">
        <v>69</v>
      </c>
    </row>
    <row r="9462">
      <c r="A9462" s="1">
        <v>43823.46350758102</v>
      </c>
      <c r="B9462" s="2">
        <v>280.0</v>
      </c>
      <c r="C9462" s="2" t="s">
        <v>239</v>
      </c>
    </row>
    <row r="9463">
      <c r="A9463" s="1">
        <v>43823.46443017361</v>
      </c>
      <c r="B9463" s="2">
        <v>280.0</v>
      </c>
      <c r="C9463" s="2" t="s">
        <v>239</v>
      </c>
    </row>
    <row r="9464">
      <c r="A9464" s="1">
        <v>43823.473436608794</v>
      </c>
      <c r="B9464" s="2">
        <v>680.0</v>
      </c>
      <c r="C9464" s="2" t="s">
        <v>239</v>
      </c>
    </row>
    <row r="9465">
      <c r="A9465" s="1">
        <v>43823.47481238426</v>
      </c>
      <c r="B9465" s="2">
        <v>680.0</v>
      </c>
      <c r="C9465" s="2" t="s">
        <v>239</v>
      </c>
    </row>
    <row r="9466">
      <c r="A9466" s="1">
        <v>43823.475406921294</v>
      </c>
      <c r="B9466" s="2">
        <v>701.0</v>
      </c>
      <c r="C9466" s="2" t="s">
        <v>93</v>
      </c>
      <c r="D9466" s="2" t="s">
        <v>5</v>
      </c>
    </row>
    <row r="9467">
      <c r="A9467" s="1">
        <v>43823.47653912037</v>
      </c>
      <c r="B9467" s="2">
        <v>271.0</v>
      </c>
      <c r="C9467" s="2" t="s">
        <v>68</v>
      </c>
    </row>
    <row r="9468">
      <c r="A9468" s="1">
        <v>43823.47729859954</v>
      </c>
      <c r="B9468" s="2">
        <v>734.0</v>
      </c>
      <c r="C9468" s="2" t="s">
        <v>63</v>
      </c>
      <c r="D9468" s="2" t="s">
        <v>5</v>
      </c>
    </row>
    <row r="9469">
      <c r="A9469" s="1">
        <v>43826.53768761574</v>
      </c>
      <c r="B9469" s="2">
        <v>623.0</v>
      </c>
      <c r="C9469" s="2" t="s">
        <v>133</v>
      </c>
    </row>
    <row r="9470">
      <c r="A9470" s="1">
        <v>43828.41702826389</v>
      </c>
      <c r="B9470" s="2">
        <v>167.0</v>
      </c>
      <c r="C9470" s="2" t="s">
        <v>39</v>
      </c>
    </row>
    <row r="9471">
      <c r="A9471" s="1">
        <v>43828.42309627315</v>
      </c>
      <c r="B9471" s="2">
        <v>165.0</v>
      </c>
      <c r="C9471" s="2" t="s">
        <v>50</v>
      </c>
    </row>
    <row r="9472">
      <c r="A9472" s="1">
        <v>43828.42907179398</v>
      </c>
      <c r="B9472" s="2">
        <v>207.0</v>
      </c>
      <c r="C9472" s="2" t="s">
        <v>85</v>
      </c>
    </row>
    <row r="9473">
      <c r="A9473" s="1">
        <v>43828.42973292824</v>
      </c>
      <c r="B9473" s="2">
        <v>604.0</v>
      </c>
      <c r="C9473" s="2" t="s">
        <v>36</v>
      </c>
    </row>
    <row r="9474">
      <c r="A9474" s="1">
        <v>43828.42995263889</v>
      </c>
      <c r="B9474" s="2">
        <v>253.0</v>
      </c>
      <c r="C9474" s="2" t="s">
        <v>138</v>
      </c>
    </row>
    <row r="9475">
      <c r="A9475" s="1">
        <v>43828.43016239583</v>
      </c>
      <c r="B9475" s="2">
        <v>735.0</v>
      </c>
      <c r="C9475" s="2" t="s">
        <v>37</v>
      </c>
      <c r="D9475" s="2" t="s">
        <v>5</v>
      </c>
    </row>
    <row r="9476">
      <c r="A9476" s="1">
        <v>43828.43034332176</v>
      </c>
      <c r="B9476" s="2">
        <v>231.0</v>
      </c>
      <c r="C9476" s="2" t="s">
        <v>61</v>
      </c>
    </row>
    <row r="9477">
      <c r="A9477" s="1">
        <v>43828.430553240745</v>
      </c>
      <c r="B9477" s="3" t="s">
        <v>88</v>
      </c>
      <c r="C9477" s="2" t="s">
        <v>89</v>
      </c>
    </row>
    <row r="9478">
      <c r="A9478" s="1">
        <v>43828.43070247685</v>
      </c>
      <c r="B9478" s="2">
        <v>611.0</v>
      </c>
      <c r="C9478" s="2" t="s">
        <v>143</v>
      </c>
    </row>
    <row r="9479">
      <c r="A9479" s="1">
        <v>43828.43086530092</v>
      </c>
      <c r="B9479" s="2">
        <v>271.0</v>
      </c>
      <c r="C9479" s="2" t="s">
        <v>68</v>
      </c>
    </row>
    <row r="9480">
      <c r="A9480" s="1">
        <v>43828.431054456014</v>
      </c>
      <c r="B9480" s="2">
        <v>173.0</v>
      </c>
      <c r="C9480" s="2" t="s">
        <v>24</v>
      </c>
    </row>
    <row r="9481">
      <c r="A9481" s="1">
        <v>43828.43123219907</v>
      </c>
      <c r="B9481" s="3" t="s">
        <v>32</v>
      </c>
      <c r="C9481" s="2" t="s">
        <v>33</v>
      </c>
    </row>
    <row r="9482">
      <c r="A9482" s="1">
        <v>43828.43144587963</v>
      </c>
      <c r="B9482" s="2">
        <v>262.0</v>
      </c>
      <c r="C9482" s="2" t="s">
        <v>28</v>
      </c>
    </row>
    <row r="9483">
      <c r="A9483" s="1">
        <v>43828.43167287037</v>
      </c>
      <c r="B9483" s="3" t="s">
        <v>159</v>
      </c>
      <c r="C9483" s="2" t="s">
        <v>160</v>
      </c>
    </row>
    <row r="9484">
      <c r="A9484" s="1">
        <v>43828.43181363426</v>
      </c>
      <c r="B9484" s="3" t="s">
        <v>22</v>
      </c>
      <c r="C9484" s="2" t="s">
        <v>23</v>
      </c>
    </row>
    <row r="9485">
      <c r="A9485" s="1">
        <v>43828.43202353009</v>
      </c>
      <c r="B9485" s="2">
        <v>193.0</v>
      </c>
      <c r="C9485" s="2" t="s">
        <v>30</v>
      </c>
    </row>
    <row r="9486">
      <c r="A9486" s="1">
        <v>43828.43262358796</v>
      </c>
      <c r="B9486" s="2">
        <v>219.0</v>
      </c>
      <c r="C9486" s="2" t="s">
        <v>31</v>
      </c>
    </row>
    <row r="9487">
      <c r="A9487" s="1">
        <v>43828.432800636576</v>
      </c>
      <c r="B9487" s="3" t="s">
        <v>51</v>
      </c>
      <c r="C9487" s="2" t="s">
        <v>52</v>
      </c>
    </row>
    <row r="9488">
      <c r="A9488" s="1">
        <v>43828.43294622685</v>
      </c>
      <c r="B9488" s="2">
        <v>208.0</v>
      </c>
      <c r="C9488" s="2" t="s">
        <v>182</v>
      </c>
    </row>
    <row r="9489">
      <c r="A9489" s="1">
        <v>43828.43313774306</v>
      </c>
      <c r="B9489" s="2">
        <v>257.0</v>
      </c>
      <c r="C9489" s="2" t="s">
        <v>27</v>
      </c>
    </row>
    <row r="9490">
      <c r="A9490" s="1">
        <v>43828.43334033564</v>
      </c>
      <c r="B9490" s="3" t="s">
        <v>82</v>
      </c>
      <c r="C9490" s="2" t="s">
        <v>83</v>
      </c>
    </row>
    <row r="9491">
      <c r="A9491" s="1">
        <v>43828.43345082176</v>
      </c>
      <c r="B9491" s="3" t="s">
        <v>78</v>
      </c>
      <c r="C9491" s="2" t="s">
        <v>79</v>
      </c>
    </row>
    <row r="9492">
      <c r="A9492" s="1">
        <v>43828.433690185186</v>
      </c>
      <c r="B9492" s="2">
        <v>723.0</v>
      </c>
      <c r="C9492" s="2" t="s">
        <v>84</v>
      </c>
      <c r="D9492" s="2" t="s">
        <v>5</v>
      </c>
    </row>
    <row r="9493">
      <c r="A9493" s="1">
        <v>43828.43388523148</v>
      </c>
      <c r="B9493" s="2">
        <v>625.0</v>
      </c>
      <c r="C9493" s="2" t="s">
        <v>136</v>
      </c>
    </row>
    <row r="9494">
      <c r="A9494" s="1">
        <v>43828.43408386574</v>
      </c>
      <c r="B9494" s="2">
        <v>270.0</v>
      </c>
      <c r="C9494" s="2" t="s">
        <v>153</v>
      </c>
    </row>
    <row r="9495">
      <c r="A9495" s="1">
        <v>43828.4342831713</v>
      </c>
      <c r="B9495" s="2">
        <v>717.0</v>
      </c>
      <c r="C9495" s="2" t="s">
        <v>152</v>
      </c>
      <c r="D9495" s="2" t="s">
        <v>5</v>
      </c>
    </row>
    <row r="9496">
      <c r="A9496" s="1">
        <v>43828.43448246528</v>
      </c>
      <c r="B9496" s="2">
        <v>252.0</v>
      </c>
      <c r="C9496" s="2" t="s">
        <v>34</v>
      </c>
    </row>
    <row r="9497">
      <c r="A9497" s="1">
        <v>43828.43511472222</v>
      </c>
      <c r="B9497" s="2">
        <v>648.0</v>
      </c>
      <c r="C9497" s="2" t="s">
        <v>207</v>
      </c>
    </row>
    <row r="9498">
      <c r="A9498" s="1">
        <v>43828.435281909726</v>
      </c>
      <c r="B9498" s="2">
        <v>175.0</v>
      </c>
      <c r="C9498" s="2" t="s">
        <v>69</v>
      </c>
    </row>
    <row r="9499">
      <c r="A9499" s="1">
        <v>43828.435495196754</v>
      </c>
      <c r="B9499" s="2">
        <v>613.0</v>
      </c>
      <c r="C9499" s="2" t="s">
        <v>124</v>
      </c>
    </row>
    <row r="9500">
      <c r="A9500" s="1">
        <v>43828.43568371527</v>
      </c>
      <c r="B9500" s="2">
        <v>201.0</v>
      </c>
      <c r="C9500" s="2" t="s">
        <v>70</v>
      </c>
    </row>
    <row r="9501">
      <c r="A9501" s="1">
        <v>43828.43587707176</v>
      </c>
      <c r="B9501" s="3" t="s">
        <v>150</v>
      </c>
      <c r="C9501" s="2" t="s">
        <v>151</v>
      </c>
    </row>
    <row r="9502">
      <c r="A9502" s="1">
        <v>43828.436049791664</v>
      </c>
      <c r="B9502" s="2">
        <v>706.0</v>
      </c>
      <c r="C9502" s="2" t="s">
        <v>149</v>
      </c>
      <c r="D9502" s="2" t="s">
        <v>5</v>
      </c>
    </row>
    <row r="9503">
      <c r="A9503" s="1">
        <v>43828.436280775466</v>
      </c>
      <c r="B9503" s="2">
        <v>667.0</v>
      </c>
      <c r="C9503" s="2" t="s">
        <v>73</v>
      </c>
    </row>
    <row r="9504">
      <c r="A9504" s="1">
        <v>43828.436555532404</v>
      </c>
      <c r="B9504" s="2">
        <v>605.0</v>
      </c>
      <c r="C9504" s="2" t="s">
        <v>206</v>
      </c>
    </row>
    <row r="9505">
      <c r="A9505" s="1">
        <v>43828.437060069446</v>
      </c>
      <c r="B9505" s="2">
        <v>246.0</v>
      </c>
      <c r="C9505" s="2" t="s">
        <v>26</v>
      </c>
    </row>
    <row r="9506">
      <c r="A9506" s="1">
        <v>43828.43716935185</v>
      </c>
      <c r="B9506" s="2">
        <v>722.0</v>
      </c>
      <c r="C9506" s="2" t="s">
        <v>25</v>
      </c>
      <c r="D9506" s="2" t="s">
        <v>5</v>
      </c>
    </row>
    <row r="9507">
      <c r="A9507" s="1">
        <v>43828.437299745376</v>
      </c>
      <c r="B9507" s="2">
        <v>738.0</v>
      </c>
      <c r="C9507" s="2" t="s">
        <v>161</v>
      </c>
      <c r="D9507" s="2" t="s">
        <v>5</v>
      </c>
    </row>
    <row r="9508">
      <c r="A9508" s="1">
        <v>43828.43748641203</v>
      </c>
      <c r="B9508" s="3" t="s">
        <v>111</v>
      </c>
      <c r="C9508" s="2" t="s">
        <v>112</v>
      </c>
    </row>
    <row r="9509">
      <c r="A9509" s="1">
        <v>43828.43762693287</v>
      </c>
      <c r="B9509" s="3" t="s">
        <v>11</v>
      </c>
      <c r="C9509" s="2" t="s">
        <v>12</v>
      </c>
    </row>
    <row r="9510">
      <c r="A9510" s="1">
        <v>43828.437750173616</v>
      </c>
      <c r="B9510" s="3" t="s">
        <v>55</v>
      </c>
      <c r="C9510" s="2" t="s">
        <v>56</v>
      </c>
    </row>
    <row r="9511">
      <c r="A9511" s="1">
        <v>43828.437913807866</v>
      </c>
      <c r="B9511" s="2">
        <v>141.0</v>
      </c>
      <c r="C9511" s="2" t="s">
        <v>53</v>
      </c>
    </row>
    <row r="9512">
      <c r="A9512" s="1">
        <v>43828.43812643518</v>
      </c>
      <c r="B9512" s="2">
        <v>707.0</v>
      </c>
      <c r="C9512" s="2" t="s">
        <v>57</v>
      </c>
      <c r="D9512" s="2" t="s">
        <v>5</v>
      </c>
    </row>
    <row r="9513">
      <c r="A9513" s="1">
        <v>43828.43824311343</v>
      </c>
      <c r="B9513" s="2">
        <v>729.0</v>
      </c>
      <c r="C9513" s="2" t="s">
        <v>54</v>
      </c>
      <c r="D9513" s="2" t="s">
        <v>5</v>
      </c>
    </row>
    <row r="9514">
      <c r="A9514" s="1">
        <v>43828.43839357639</v>
      </c>
      <c r="B9514" s="3" t="s">
        <v>94</v>
      </c>
      <c r="C9514" s="2" t="s">
        <v>95</v>
      </c>
    </row>
    <row r="9515">
      <c r="A9515" s="1">
        <v>43828.438520868054</v>
      </c>
      <c r="B9515" s="2">
        <v>124.0</v>
      </c>
      <c r="C9515" s="2" t="s">
        <v>107</v>
      </c>
    </row>
    <row r="9516">
      <c r="A9516" s="1">
        <v>43828.43883478009</v>
      </c>
      <c r="B9516" s="2">
        <v>736.0</v>
      </c>
      <c r="C9516" s="2" t="s">
        <v>175</v>
      </c>
      <c r="D9516" s="2" t="s">
        <v>5</v>
      </c>
    </row>
    <row r="9517">
      <c r="A9517" s="1">
        <v>43828.43894381945</v>
      </c>
      <c r="B9517" s="2">
        <v>737.0</v>
      </c>
      <c r="C9517" s="2" t="s">
        <v>176</v>
      </c>
      <c r="D9517" s="2" t="s">
        <v>5</v>
      </c>
    </row>
    <row r="9518">
      <c r="A9518" s="1">
        <v>43828.4391219213</v>
      </c>
      <c r="B9518" s="2">
        <v>677.0</v>
      </c>
      <c r="C9518" s="2" t="s">
        <v>224</v>
      </c>
    </row>
    <row r="9519">
      <c r="A9519" s="1">
        <v>43828.43939947917</v>
      </c>
      <c r="B9519" s="2">
        <v>198.0</v>
      </c>
      <c r="C9519" s="2" t="s">
        <v>97</v>
      </c>
    </row>
    <row r="9520">
      <c r="A9520" s="1">
        <v>43828.43950743055</v>
      </c>
      <c r="B9520" s="2">
        <v>701.0</v>
      </c>
      <c r="C9520" s="2" t="s">
        <v>93</v>
      </c>
      <c r="D9520" s="2" t="s">
        <v>5</v>
      </c>
    </row>
    <row r="9521">
      <c r="A9521" s="1">
        <v>43828.43960619213</v>
      </c>
      <c r="B9521" s="2">
        <v>702.0</v>
      </c>
      <c r="C9521" s="2" t="s">
        <v>96</v>
      </c>
      <c r="D9521" s="2" t="s">
        <v>5</v>
      </c>
    </row>
    <row r="9522">
      <c r="A9522" s="1">
        <v>43828.439754861116</v>
      </c>
      <c r="B9522" s="2">
        <v>126.0</v>
      </c>
      <c r="C9522" s="2" t="s">
        <v>87</v>
      </c>
    </row>
    <row r="9523">
      <c r="A9523" s="1">
        <v>43828.439926770836</v>
      </c>
      <c r="B9523" s="3" t="s">
        <v>74</v>
      </c>
      <c r="C9523" s="2" t="s">
        <v>75</v>
      </c>
    </row>
    <row r="9524">
      <c r="A9524" s="1">
        <v>43828.440800729164</v>
      </c>
      <c r="B9524" s="2">
        <v>680.0</v>
      </c>
      <c r="C9524" s="2" t="s">
        <v>239</v>
      </c>
    </row>
    <row r="9525">
      <c r="A9525" s="1">
        <v>43828.441130879626</v>
      </c>
      <c r="B9525" s="2">
        <v>677.0</v>
      </c>
      <c r="C9525" s="2" t="s">
        <v>224</v>
      </c>
    </row>
    <row r="9526">
      <c r="A9526" s="1">
        <v>43828.44135405093</v>
      </c>
      <c r="B9526" s="2">
        <v>733.0</v>
      </c>
      <c r="C9526" s="2" t="s">
        <v>110</v>
      </c>
      <c r="D9526" s="2" t="s">
        <v>5</v>
      </c>
    </row>
    <row r="9527">
      <c r="A9527" s="1">
        <v>43828.44157681713</v>
      </c>
      <c r="B9527" s="2">
        <v>734.0</v>
      </c>
      <c r="C9527" s="2" t="s">
        <v>63</v>
      </c>
      <c r="D9527" s="2" t="s">
        <v>5</v>
      </c>
    </row>
    <row r="9528">
      <c r="A9528" s="1">
        <v>43828.44170681713</v>
      </c>
      <c r="B9528" s="2">
        <v>260.0</v>
      </c>
      <c r="C9528" s="2" t="s">
        <v>67</v>
      </c>
    </row>
    <row r="9529">
      <c r="A9529" s="1">
        <v>43828.44190568287</v>
      </c>
      <c r="B9529" s="2">
        <v>259.0</v>
      </c>
      <c r="C9529" s="2" t="s">
        <v>66</v>
      </c>
    </row>
    <row r="9530">
      <c r="A9530" s="1">
        <v>43828.44201284723</v>
      </c>
      <c r="B9530" s="2">
        <v>229.0</v>
      </c>
      <c r="C9530" s="2" t="s">
        <v>86</v>
      </c>
    </row>
    <row r="9531">
      <c r="A9531" s="1">
        <v>43828.444886122685</v>
      </c>
      <c r="B9531" s="2">
        <v>238.0</v>
      </c>
      <c r="C9531" s="2" t="s">
        <v>35</v>
      </c>
    </row>
    <row r="9532">
      <c r="A9532" s="1">
        <v>43828.44503152778</v>
      </c>
      <c r="B9532" s="2">
        <v>268.0</v>
      </c>
      <c r="C9532" s="2" t="s">
        <v>205</v>
      </c>
    </row>
    <row r="9533">
      <c r="A9533" s="1">
        <v>43828.445617233796</v>
      </c>
      <c r="B9533" s="2">
        <v>643.0</v>
      </c>
      <c r="C9533" s="2" t="s">
        <v>166</v>
      </c>
    </row>
    <row r="9534">
      <c r="A9534" s="1">
        <v>43828.4501303588</v>
      </c>
      <c r="B9534" s="3" t="s">
        <v>98</v>
      </c>
      <c r="C9534" s="2" t="s">
        <v>99</v>
      </c>
    </row>
    <row r="9535">
      <c r="A9535" s="1">
        <v>43828.45026542824</v>
      </c>
      <c r="B9535" s="2">
        <v>147.0</v>
      </c>
      <c r="C9535" s="2" t="s">
        <v>100</v>
      </c>
    </row>
    <row r="9536">
      <c r="A9536" s="1">
        <v>43828.4504450463</v>
      </c>
      <c r="B9536" s="2">
        <v>726.0</v>
      </c>
      <c r="C9536" s="2" t="s">
        <v>101</v>
      </c>
      <c r="D9536" s="2" t="s">
        <v>5</v>
      </c>
    </row>
    <row r="9537">
      <c r="A9537" s="1">
        <v>43828.45057434028</v>
      </c>
      <c r="B9537" s="2">
        <v>732.0</v>
      </c>
      <c r="C9537" s="2" t="s">
        <v>102</v>
      </c>
      <c r="D9537" s="2" t="s">
        <v>5</v>
      </c>
    </row>
    <row r="9538">
      <c r="A9538" s="1">
        <v>43828.4574491088</v>
      </c>
      <c r="B9538" s="2">
        <v>673.0</v>
      </c>
      <c r="C9538" s="2" t="s">
        <v>189</v>
      </c>
    </row>
    <row r="9539">
      <c r="A9539" s="1">
        <v>43828.45877246528</v>
      </c>
      <c r="B9539" s="2">
        <v>655.0</v>
      </c>
      <c r="C9539" s="2" t="s">
        <v>17</v>
      </c>
    </row>
    <row r="9540">
      <c r="A9540" s="1">
        <v>43828.459483969906</v>
      </c>
      <c r="B9540" s="2">
        <v>680.0</v>
      </c>
      <c r="C9540" s="2" t="s">
        <v>239</v>
      </c>
    </row>
    <row r="9541">
      <c r="A9541" s="1">
        <v>43828.46238611111</v>
      </c>
      <c r="B9541" s="2">
        <v>52.0</v>
      </c>
      <c r="C9541" s="2" t="s">
        <v>41</v>
      </c>
    </row>
    <row r="9542">
      <c r="A9542" s="1">
        <v>43828.462621631945</v>
      </c>
      <c r="B9542" s="2">
        <v>602.0</v>
      </c>
      <c r="C9542" s="2" t="s">
        <v>131</v>
      </c>
    </row>
    <row r="9543">
      <c r="A9543" s="1">
        <v>43828.462886608795</v>
      </c>
      <c r="B9543" s="2">
        <v>209.0</v>
      </c>
      <c r="C9543" s="2" t="s">
        <v>219</v>
      </c>
    </row>
    <row r="9544">
      <c r="A9544" s="1">
        <v>43828.46388083333</v>
      </c>
      <c r="B9544" s="2">
        <v>631.0</v>
      </c>
      <c r="C9544" s="2" t="s">
        <v>178</v>
      </c>
    </row>
    <row r="9545">
      <c r="A9545" s="1">
        <v>43828.46615832176</v>
      </c>
      <c r="B9545" s="3" t="s">
        <v>119</v>
      </c>
      <c r="C9545" s="2" t="s">
        <v>120</v>
      </c>
    </row>
    <row r="9546">
      <c r="A9546" s="1">
        <v>43828.46638835648</v>
      </c>
      <c r="B9546" s="2">
        <v>713.0</v>
      </c>
      <c r="C9546" s="2" t="s">
        <v>121</v>
      </c>
      <c r="D9546" s="2" t="s">
        <v>5</v>
      </c>
    </row>
    <row r="9547">
      <c r="A9547" s="1">
        <v>43828.46651298611</v>
      </c>
      <c r="B9547" s="2">
        <v>714.0</v>
      </c>
      <c r="C9547" s="2" t="s">
        <v>122</v>
      </c>
      <c r="D9547" s="2" t="s">
        <v>5</v>
      </c>
    </row>
    <row r="9548">
      <c r="A9548" s="1">
        <v>43828.47229938657</v>
      </c>
      <c r="B9548" s="2">
        <v>680.0</v>
      </c>
      <c r="C9548" s="2" t="s">
        <v>239</v>
      </c>
    </row>
    <row r="9549">
      <c r="A9549" s="1">
        <v>43828.4732009375</v>
      </c>
      <c r="B9549" s="2">
        <v>253.0</v>
      </c>
      <c r="C9549" s="2" t="s">
        <v>138</v>
      </c>
    </row>
    <row r="9550">
      <c r="A9550" s="1">
        <v>43828.47998290509</v>
      </c>
      <c r="B9550" s="3" t="s">
        <v>117</v>
      </c>
      <c r="C9550" s="2" t="s">
        <v>118</v>
      </c>
    </row>
    <row r="9551">
      <c r="A9551" s="1">
        <v>43828.48680600694</v>
      </c>
      <c r="B9551" s="3" t="s">
        <v>9</v>
      </c>
      <c r="C9551" s="2" t="s">
        <v>10</v>
      </c>
    </row>
    <row r="9552">
      <c r="A9552" s="1">
        <v>43828.48701777778</v>
      </c>
      <c r="B9552" s="2">
        <v>114.0</v>
      </c>
      <c r="C9552" s="2" t="s">
        <v>15</v>
      </c>
    </row>
    <row r="9553">
      <c r="A9553" s="1">
        <v>43828.48719270833</v>
      </c>
      <c r="B9553" s="2">
        <v>708.0</v>
      </c>
      <c r="C9553" s="2" t="s">
        <v>4</v>
      </c>
      <c r="D9553" s="2" t="s">
        <v>5</v>
      </c>
    </row>
    <row r="9554">
      <c r="A9554" s="1">
        <v>43828.4872953125</v>
      </c>
      <c r="B9554" s="2">
        <v>709.0</v>
      </c>
      <c r="C9554" s="2" t="s">
        <v>20</v>
      </c>
      <c r="D9554" s="2" t="s">
        <v>5</v>
      </c>
    </row>
    <row r="9555">
      <c r="A9555" s="1">
        <v>43828.48744225694</v>
      </c>
      <c r="B9555" s="2">
        <v>710.0</v>
      </c>
      <c r="C9555" s="2" t="s">
        <v>21</v>
      </c>
      <c r="D9555" s="2" t="s">
        <v>5</v>
      </c>
    </row>
    <row r="9556">
      <c r="A9556" s="1">
        <v>43828.49251200231</v>
      </c>
      <c r="B9556" s="3" t="s">
        <v>42</v>
      </c>
      <c r="C9556" s="2" t="s">
        <v>43</v>
      </c>
    </row>
    <row r="9557">
      <c r="A9557" s="1">
        <v>43828.87007107639</v>
      </c>
      <c r="B9557" s="2">
        <v>680.0</v>
      </c>
      <c r="C9557" s="2" t="s">
        <v>239</v>
      </c>
    </row>
    <row r="9558">
      <c r="A9558" s="1">
        <v>43829.55291039352</v>
      </c>
      <c r="B9558" s="2">
        <v>270.0</v>
      </c>
      <c r="C9558" s="2" t="s">
        <v>153</v>
      </c>
    </row>
    <row r="9559">
      <c r="A9559" s="1">
        <v>43829.56452510417</v>
      </c>
      <c r="B9559" s="2">
        <v>157.0</v>
      </c>
      <c r="C9559" s="2" t="s">
        <v>141</v>
      </c>
    </row>
    <row r="9560">
      <c r="A9560" s="1">
        <v>43829.56463195602</v>
      </c>
      <c r="B9560" s="2">
        <v>675.0</v>
      </c>
      <c r="C9560" s="2" t="s">
        <v>222</v>
      </c>
    </row>
    <row r="9561">
      <c r="A9561" s="1">
        <v>43829.56490675926</v>
      </c>
      <c r="B9561" s="3" t="s">
        <v>94</v>
      </c>
      <c r="C9561" s="2" t="s">
        <v>95</v>
      </c>
    </row>
    <row r="9562">
      <c r="A9562" s="1">
        <v>43829.56630148148</v>
      </c>
      <c r="B9562" s="3" t="s">
        <v>44</v>
      </c>
      <c r="C9562" s="2" t="s">
        <v>45</v>
      </c>
    </row>
    <row r="9563">
      <c r="A9563" s="1">
        <v>43829.56650115741</v>
      </c>
      <c r="B9563" s="2">
        <v>232.0</v>
      </c>
      <c r="C9563" s="2" t="s">
        <v>216</v>
      </c>
    </row>
    <row r="9564">
      <c r="A9564" s="1">
        <v>43829.56664712963</v>
      </c>
      <c r="B9564" s="2">
        <v>618.0</v>
      </c>
      <c r="C9564" s="2" t="s">
        <v>147</v>
      </c>
    </row>
    <row r="9565">
      <c r="A9565" s="1">
        <v>43829.56703939815</v>
      </c>
      <c r="B9565" s="2">
        <v>244.0</v>
      </c>
      <c r="C9565" s="2" t="s">
        <v>38</v>
      </c>
    </row>
    <row r="9566">
      <c r="A9566" s="1">
        <v>43829.56719746528</v>
      </c>
      <c r="B9566" s="3" t="s">
        <v>126</v>
      </c>
      <c r="C9566" s="2" t="s">
        <v>127</v>
      </c>
    </row>
    <row r="9567">
      <c r="A9567" s="1">
        <v>43829.567426828704</v>
      </c>
      <c r="B9567" s="2">
        <v>667.0</v>
      </c>
      <c r="C9567" s="2" t="s">
        <v>73</v>
      </c>
    </row>
    <row r="9568">
      <c r="A9568" s="1">
        <v>43829.56768634259</v>
      </c>
      <c r="B9568" s="2">
        <v>603.0</v>
      </c>
      <c r="C9568" s="2" t="s">
        <v>40</v>
      </c>
    </row>
    <row r="9569">
      <c r="A9569" s="1">
        <v>43829.568141145835</v>
      </c>
      <c r="B9569" s="2">
        <v>254.0</v>
      </c>
      <c r="C9569" s="2" t="s">
        <v>132</v>
      </c>
    </row>
    <row r="9570">
      <c r="A9570" s="1">
        <v>43829.58945115741</v>
      </c>
      <c r="B9570" s="2">
        <v>219.0</v>
      </c>
      <c r="C9570" s="2" t="s">
        <v>31</v>
      </c>
    </row>
    <row r="9571">
      <c r="A9571" s="1">
        <v>43829.5895274537</v>
      </c>
      <c r="B9571" s="2">
        <v>734.0</v>
      </c>
      <c r="C9571" s="2" t="s">
        <v>63</v>
      </c>
      <c r="D9571" s="2" t="s">
        <v>5</v>
      </c>
    </row>
    <row r="9572">
      <c r="A9572" s="1">
        <v>43835.41771686343</v>
      </c>
      <c r="B9572" s="2">
        <v>623.0</v>
      </c>
      <c r="C9572" s="2" t="s">
        <v>133</v>
      </c>
    </row>
    <row r="9573">
      <c r="A9573" s="1">
        <v>43835.41771729167</v>
      </c>
      <c r="B9573" s="2">
        <v>126.0</v>
      </c>
      <c r="C9573" s="2" t="s">
        <v>87</v>
      </c>
    </row>
    <row r="9574">
      <c r="A9574" s="1">
        <v>43835.41796199074</v>
      </c>
      <c r="B9574" s="2">
        <v>126.0</v>
      </c>
      <c r="C9574" s="2" t="s">
        <v>87</v>
      </c>
    </row>
    <row r="9575">
      <c r="A9575" s="1">
        <v>43835.41797969908</v>
      </c>
      <c r="B9575" s="2">
        <v>623.0</v>
      </c>
      <c r="C9575" s="2" t="s">
        <v>133</v>
      </c>
    </row>
    <row r="9576">
      <c r="A9576" s="1">
        <v>43835.41828077546</v>
      </c>
      <c r="B9576" s="2">
        <v>623.0</v>
      </c>
      <c r="C9576" s="2" t="s">
        <v>133</v>
      </c>
    </row>
    <row r="9577">
      <c r="A9577" s="1">
        <v>43835.418283252315</v>
      </c>
      <c r="B9577" s="3" t="s">
        <v>80</v>
      </c>
      <c r="C9577" s="2" t="s">
        <v>81</v>
      </c>
    </row>
    <row r="9578">
      <c r="A9578" s="1">
        <v>43835.418408067126</v>
      </c>
      <c r="B9578" s="3" t="s">
        <v>80</v>
      </c>
      <c r="C9578" s="2" t="s">
        <v>81</v>
      </c>
    </row>
    <row r="9579">
      <c r="A9579" s="1">
        <v>43835.418483125</v>
      </c>
      <c r="B9579" s="2">
        <v>623.0</v>
      </c>
      <c r="C9579" s="2" t="s">
        <v>133</v>
      </c>
    </row>
    <row r="9580">
      <c r="A9580" s="1">
        <v>43835.419082962966</v>
      </c>
      <c r="B9580" s="2">
        <v>193.0</v>
      </c>
      <c r="C9580" s="2" t="s">
        <v>30</v>
      </c>
    </row>
    <row r="9581">
      <c r="A9581" s="1">
        <v>43835.419271192135</v>
      </c>
      <c r="B9581" s="3" t="s">
        <v>159</v>
      </c>
      <c r="C9581" s="2" t="s">
        <v>160</v>
      </c>
    </row>
    <row r="9582">
      <c r="A9582" s="1">
        <v>43835.41947769676</v>
      </c>
      <c r="B9582" s="3" t="s">
        <v>184</v>
      </c>
      <c r="C9582" s="2" t="s">
        <v>185</v>
      </c>
    </row>
    <row r="9583">
      <c r="A9583" s="1">
        <v>43835.419544143515</v>
      </c>
      <c r="B9583" s="3" t="s">
        <v>186</v>
      </c>
      <c r="C9583" s="2" t="s">
        <v>187</v>
      </c>
    </row>
    <row r="9584">
      <c r="A9584" s="1">
        <v>43835.41963201389</v>
      </c>
      <c r="B9584" s="3" t="s">
        <v>22</v>
      </c>
      <c r="C9584" s="2" t="s">
        <v>23</v>
      </c>
    </row>
    <row r="9585">
      <c r="A9585" s="1">
        <v>43835.41970613426</v>
      </c>
      <c r="B9585" s="3" t="s">
        <v>88</v>
      </c>
      <c r="C9585" s="2" t="s">
        <v>89</v>
      </c>
    </row>
    <row r="9586">
      <c r="A9586" s="1">
        <v>43835.41987925926</v>
      </c>
      <c r="B9586" s="2">
        <v>210.0</v>
      </c>
      <c r="C9586" s="2" t="s">
        <v>64</v>
      </c>
    </row>
    <row r="9587">
      <c r="A9587" s="1">
        <v>43835.420213715275</v>
      </c>
      <c r="B9587" s="2">
        <v>643.0</v>
      </c>
      <c r="C9587" s="2" t="s">
        <v>166</v>
      </c>
    </row>
    <row r="9588">
      <c r="A9588" s="1">
        <v>43835.42076878472</v>
      </c>
      <c r="B9588" s="2">
        <v>735.0</v>
      </c>
      <c r="C9588" s="2" t="s">
        <v>37</v>
      </c>
      <c r="D9588" s="2" t="s">
        <v>5</v>
      </c>
    </row>
    <row r="9589">
      <c r="A9589" s="1">
        <v>43835.42098810185</v>
      </c>
      <c r="B9589" s="2">
        <v>238.0</v>
      </c>
      <c r="C9589" s="2" t="s">
        <v>35</v>
      </c>
    </row>
    <row r="9590">
      <c r="A9590" s="1">
        <v>43835.42109065972</v>
      </c>
      <c r="B9590" s="2">
        <v>244.0</v>
      </c>
      <c r="C9590" s="2" t="s">
        <v>38</v>
      </c>
    </row>
    <row r="9591">
      <c r="A9591" s="1">
        <v>43835.42146855324</v>
      </c>
      <c r="B9591" s="2">
        <v>611.0</v>
      </c>
      <c r="C9591" s="2" t="s">
        <v>143</v>
      </c>
    </row>
    <row r="9592">
      <c r="A9592" s="1">
        <v>43835.424018645834</v>
      </c>
      <c r="B9592" s="3" t="s">
        <v>51</v>
      </c>
      <c r="C9592" s="2" t="s">
        <v>52</v>
      </c>
    </row>
    <row r="9593">
      <c r="A9593" s="1">
        <v>43835.42442490741</v>
      </c>
      <c r="B9593" s="3" t="s">
        <v>32</v>
      </c>
      <c r="C9593" s="2" t="s">
        <v>33</v>
      </c>
    </row>
    <row r="9594">
      <c r="A9594" s="1">
        <v>43835.424572777774</v>
      </c>
      <c r="B9594" s="2">
        <v>173.0</v>
      </c>
      <c r="C9594" s="2" t="s">
        <v>24</v>
      </c>
    </row>
    <row r="9595">
      <c r="A9595" s="1">
        <v>43835.42472664352</v>
      </c>
      <c r="B9595" s="2">
        <v>231.0</v>
      </c>
      <c r="C9595" s="2" t="s">
        <v>61</v>
      </c>
    </row>
    <row r="9596">
      <c r="A9596" s="1">
        <v>43835.42484340278</v>
      </c>
      <c r="B9596" s="2">
        <v>656.0</v>
      </c>
      <c r="C9596" s="2" t="s">
        <v>144</v>
      </c>
    </row>
    <row r="9597">
      <c r="A9597" s="1">
        <v>43835.42548466435</v>
      </c>
      <c r="B9597" s="3" t="s">
        <v>111</v>
      </c>
      <c r="C9597" s="2" t="s">
        <v>112</v>
      </c>
    </row>
    <row r="9598">
      <c r="A9598" s="1">
        <v>43835.425742638894</v>
      </c>
      <c r="B9598" s="2">
        <v>604.0</v>
      </c>
      <c r="C9598" s="2" t="s">
        <v>36</v>
      </c>
    </row>
    <row r="9599">
      <c r="A9599" s="1">
        <v>43835.42775578704</v>
      </c>
      <c r="B9599" s="2">
        <v>229.0</v>
      </c>
      <c r="C9599" s="2" t="s">
        <v>86</v>
      </c>
    </row>
    <row r="9600">
      <c r="A9600" s="1">
        <v>43835.42850173611</v>
      </c>
      <c r="B9600" s="2">
        <v>158.0</v>
      </c>
      <c r="C9600" s="2" t="s">
        <v>62</v>
      </c>
    </row>
    <row r="9601">
      <c r="A9601" s="1">
        <v>43835.42861224537</v>
      </c>
      <c r="B9601" s="3" t="s">
        <v>11</v>
      </c>
      <c r="C9601" s="2" t="s">
        <v>12</v>
      </c>
    </row>
    <row r="9602">
      <c r="A9602" s="1">
        <v>43835.4286771412</v>
      </c>
      <c r="B9602" s="3" t="s">
        <v>126</v>
      </c>
      <c r="C9602" s="2" t="s">
        <v>127</v>
      </c>
    </row>
    <row r="9603">
      <c r="A9603" s="1">
        <v>43835.42933002315</v>
      </c>
      <c r="B9603" s="2">
        <v>619.0</v>
      </c>
      <c r="C9603" s="2" t="s">
        <v>46</v>
      </c>
    </row>
    <row r="9604">
      <c r="A9604" s="1">
        <v>43835.42951685185</v>
      </c>
      <c r="B9604" s="2">
        <v>165.0</v>
      </c>
      <c r="C9604" s="2" t="s">
        <v>50</v>
      </c>
    </row>
    <row r="9605">
      <c r="A9605" s="1">
        <v>43835.429649502315</v>
      </c>
      <c r="B9605" s="2">
        <v>167.0</v>
      </c>
      <c r="C9605" s="2" t="s">
        <v>39</v>
      </c>
    </row>
    <row r="9606">
      <c r="A9606" s="1">
        <v>43835.42987024305</v>
      </c>
      <c r="B9606" s="2">
        <v>635.0</v>
      </c>
      <c r="C9606" s="2" t="s">
        <v>165</v>
      </c>
    </row>
    <row r="9607">
      <c r="A9607" s="1">
        <v>43835.42997199074</v>
      </c>
      <c r="B9607" s="2">
        <v>704.0</v>
      </c>
      <c r="C9607" s="2" t="s">
        <v>167</v>
      </c>
      <c r="D9607" s="2" t="s">
        <v>5</v>
      </c>
    </row>
    <row r="9608">
      <c r="A9608" s="1">
        <v>43835.431304247686</v>
      </c>
      <c r="B9608" s="2">
        <v>253.0</v>
      </c>
      <c r="C9608" s="2" t="s">
        <v>138</v>
      </c>
    </row>
    <row r="9609">
      <c r="A9609" s="1">
        <v>43835.431650694445</v>
      </c>
      <c r="B9609" s="2">
        <v>717.0</v>
      </c>
      <c r="C9609" s="2" t="s">
        <v>152</v>
      </c>
      <c r="D9609" s="2" t="s">
        <v>5</v>
      </c>
    </row>
    <row r="9610">
      <c r="A9610" s="1">
        <v>43835.43175614583</v>
      </c>
      <c r="B9610" s="2">
        <v>270.0</v>
      </c>
      <c r="C9610" s="2" t="s">
        <v>153</v>
      </c>
    </row>
    <row r="9611">
      <c r="A9611" s="1">
        <v>43835.43232354167</v>
      </c>
      <c r="B9611" s="2">
        <v>252.0</v>
      </c>
      <c r="C9611" s="2" t="s">
        <v>34</v>
      </c>
    </row>
    <row r="9612">
      <c r="A9612" s="1">
        <v>43835.43277138889</v>
      </c>
      <c r="B9612" s="2">
        <v>209.0</v>
      </c>
      <c r="C9612" s="2" t="s">
        <v>219</v>
      </c>
    </row>
    <row r="9613">
      <c r="A9613" s="1">
        <v>43835.43337777778</v>
      </c>
      <c r="B9613" s="2">
        <v>722.0</v>
      </c>
      <c r="C9613" s="2" t="s">
        <v>25</v>
      </c>
      <c r="D9613" s="2" t="s">
        <v>5</v>
      </c>
    </row>
    <row r="9614">
      <c r="A9614" s="1">
        <v>43835.43354347222</v>
      </c>
      <c r="B9614" s="2">
        <v>738.0</v>
      </c>
      <c r="C9614" s="2" t="s">
        <v>161</v>
      </c>
      <c r="D9614" s="2" t="s">
        <v>5</v>
      </c>
    </row>
    <row r="9615">
      <c r="A9615" s="1">
        <v>43835.43364673611</v>
      </c>
      <c r="B9615" s="2">
        <v>246.0</v>
      </c>
      <c r="C9615" s="2" t="s">
        <v>26</v>
      </c>
    </row>
    <row r="9616">
      <c r="A9616" s="1">
        <v>43835.43396202546</v>
      </c>
      <c r="B9616" s="3" t="s">
        <v>74</v>
      </c>
      <c r="C9616" s="2" t="s">
        <v>75</v>
      </c>
    </row>
    <row r="9617">
      <c r="A9617" s="1">
        <v>43835.43409313657</v>
      </c>
      <c r="B9617" s="3" t="s">
        <v>150</v>
      </c>
      <c r="C9617" s="2" t="s">
        <v>151</v>
      </c>
    </row>
    <row r="9618">
      <c r="A9618" s="1">
        <v>43835.43420268518</v>
      </c>
      <c r="B9618" s="2">
        <v>124.0</v>
      </c>
      <c r="C9618" s="2" t="s">
        <v>107</v>
      </c>
    </row>
    <row r="9619">
      <c r="A9619" s="1">
        <v>43835.43534699074</v>
      </c>
      <c r="B9619" s="2">
        <v>677.0</v>
      </c>
      <c r="C9619" s="2" t="s">
        <v>224</v>
      </c>
    </row>
    <row r="9620">
      <c r="A9620" s="1">
        <v>43835.436110069444</v>
      </c>
      <c r="B9620" s="2">
        <v>52.0</v>
      </c>
      <c r="C9620" s="2" t="s">
        <v>41</v>
      </c>
    </row>
    <row r="9621">
      <c r="A9621" s="1">
        <v>43835.4362066551</v>
      </c>
      <c r="B9621" s="3" t="s">
        <v>103</v>
      </c>
      <c r="C9621" s="2" t="s">
        <v>104</v>
      </c>
    </row>
    <row r="9622">
      <c r="A9622" s="1">
        <v>43835.436392303236</v>
      </c>
      <c r="B9622" s="2">
        <v>259.0</v>
      </c>
      <c r="C9622" s="2" t="s">
        <v>66</v>
      </c>
    </row>
    <row r="9623">
      <c r="A9623" s="1">
        <v>43835.43648682871</v>
      </c>
      <c r="B9623" s="2">
        <v>260.0</v>
      </c>
      <c r="C9623" s="2" t="s">
        <v>67</v>
      </c>
    </row>
    <row r="9624">
      <c r="A9624" s="1">
        <v>43835.436606539355</v>
      </c>
      <c r="B9624" s="2">
        <v>734.0</v>
      </c>
      <c r="C9624" s="2" t="s">
        <v>63</v>
      </c>
      <c r="D9624" s="2" t="s">
        <v>5</v>
      </c>
    </row>
    <row r="9625">
      <c r="A9625" s="1">
        <v>43835.4367203125</v>
      </c>
      <c r="B9625" s="3" t="s">
        <v>44</v>
      </c>
      <c r="C9625" s="2" t="s">
        <v>45</v>
      </c>
    </row>
    <row r="9626">
      <c r="A9626" s="1">
        <v>43835.43749681713</v>
      </c>
      <c r="B9626" s="2">
        <v>172.0</v>
      </c>
      <c r="C9626" s="2" t="s">
        <v>65</v>
      </c>
    </row>
    <row r="9627">
      <c r="A9627" s="1">
        <v>43835.43756160879</v>
      </c>
      <c r="B9627" s="2">
        <v>175.0</v>
      </c>
      <c r="C9627" s="2" t="s">
        <v>69</v>
      </c>
    </row>
    <row r="9628">
      <c r="A9628" s="1">
        <v>43835.437703206015</v>
      </c>
      <c r="B9628" s="2">
        <v>262.0</v>
      </c>
      <c r="C9628" s="2" t="s">
        <v>28</v>
      </c>
    </row>
    <row r="9629">
      <c r="A9629" s="1">
        <v>43835.442251342596</v>
      </c>
      <c r="B9629" s="2">
        <v>198.0</v>
      </c>
      <c r="C9629" s="2" t="s">
        <v>97</v>
      </c>
    </row>
    <row r="9630">
      <c r="A9630" s="1">
        <v>43835.442402615736</v>
      </c>
      <c r="B9630" s="2">
        <v>702.0</v>
      </c>
      <c r="C9630" s="2" t="s">
        <v>96</v>
      </c>
      <c r="D9630" s="2" t="s">
        <v>5</v>
      </c>
    </row>
    <row r="9631">
      <c r="A9631" s="1">
        <v>43835.442514386574</v>
      </c>
      <c r="B9631" s="2">
        <v>729.0</v>
      </c>
      <c r="C9631" s="2" t="s">
        <v>54</v>
      </c>
      <c r="D9631" s="2" t="s">
        <v>5</v>
      </c>
    </row>
    <row r="9632">
      <c r="A9632" s="1">
        <v>43835.44274583334</v>
      </c>
      <c r="B9632" s="3" t="s">
        <v>55</v>
      </c>
      <c r="C9632" s="2" t="s">
        <v>56</v>
      </c>
    </row>
    <row r="9633">
      <c r="A9633" s="1">
        <v>43835.44300047454</v>
      </c>
      <c r="B9633" s="2">
        <v>736.0</v>
      </c>
      <c r="C9633" s="2" t="s">
        <v>175</v>
      </c>
      <c r="D9633" s="2" t="s">
        <v>5</v>
      </c>
    </row>
    <row r="9634">
      <c r="A9634" s="1">
        <v>43835.44307844907</v>
      </c>
      <c r="B9634" s="2">
        <v>737.0</v>
      </c>
      <c r="C9634" s="2" t="s">
        <v>176</v>
      </c>
      <c r="D9634" s="2" t="s">
        <v>5</v>
      </c>
    </row>
    <row r="9635">
      <c r="A9635" s="1">
        <v>43835.44321837963</v>
      </c>
      <c r="B9635" s="2">
        <v>648.0</v>
      </c>
      <c r="C9635" s="2" t="s">
        <v>207</v>
      </c>
    </row>
    <row r="9636">
      <c r="A9636" s="1">
        <v>43835.44343575231</v>
      </c>
      <c r="B9636" s="2">
        <v>268.0</v>
      </c>
      <c r="C9636" s="2" t="s">
        <v>205</v>
      </c>
    </row>
    <row r="9637">
      <c r="A9637" s="1">
        <v>43835.44543059028</v>
      </c>
      <c r="B9637" s="2">
        <v>157.0</v>
      </c>
      <c r="C9637" s="2" t="s">
        <v>141</v>
      </c>
    </row>
    <row r="9638">
      <c r="A9638" s="1">
        <v>43835.44789234953</v>
      </c>
      <c r="B9638" s="3" t="s">
        <v>42</v>
      </c>
      <c r="C9638" s="2" t="s">
        <v>43</v>
      </c>
    </row>
    <row r="9639">
      <c r="A9639" s="1">
        <v>43835.448236365744</v>
      </c>
      <c r="B9639" s="2">
        <v>160.0</v>
      </c>
      <c r="C9639" s="2" t="s">
        <v>154</v>
      </c>
    </row>
    <row r="9640">
      <c r="A9640" s="1">
        <v>43835.4488583912</v>
      </c>
      <c r="B9640" s="3" t="s">
        <v>98</v>
      </c>
      <c r="C9640" s="2" t="s">
        <v>99</v>
      </c>
    </row>
    <row r="9641">
      <c r="A9641" s="1">
        <v>43835.44909594908</v>
      </c>
      <c r="B9641" s="2">
        <v>726.0</v>
      </c>
      <c r="C9641" s="2" t="s">
        <v>101</v>
      </c>
      <c r="D9641" s="2" t="s">
        <v>5</v>
      </c>
    </row>
    <row r="9642">
      <c r="A9642" s="1">
        <v>43835.44917609954</v>
      </c>
      <c r="B9642" s="2">
        <v>732.0</v>
      </c>
      <c r="C9642" s="2" t="s">
        <v>102</v>
      </c>
      <c r="D9642" s="2" t="s">
        <v>5</v>
      </c>
    </row>
    <row r="9643">
      <c r="A9643" s="1">
        <v>43835.44992559028</v>
      </c>
      <c r="B9643" s="2">
        <v>733.0</v>
      </c>
      <c r="C9643" s="2" t="s">
        <v>110</v>
      </c>
      <c r="D9643" s="2" t="s">
        <v>5</v>
      </c>
    </row>
    <row r="9644">
      <c r="A9644" s="1">
        <v>43835.45486863426</v>
      </c>
      <c r="B9644" s="2">
        <v>627.0</v>
      </c>
      <c r="C9644" s="2" t="s">
        <v>134</v>
      </c>
    </row>
    <row r="9645">
      <c r="A9645" s="1">
        <v>43835.456320405094</v>
      </c>
      <c r="B9645" s="2">
        <v>675.0</v>
      </c>
      <c r="C9645" s="2" t="s">
        <v>222</v>
      </c>
    </row>
    <row r="9646">
      <c r="A9646" s="1">
        <v>43835.46123231482</v>
      </c>
      <c r="B9646" s="2">
        <v>641.0</v>
      </c>
      <c r="C9646" s="2" t="s">
        <v>210</v>
      </c>
    </row>
    <row r="9647">
      <c r="A9647" s="1">
        <v>43835.465364421296</v>
      </c>
      <c r="B9647" s="2">
        <v>713.0</v>
      </c>
      <c r="C9647" s="2" t="s">
        <v>121</v>
      </c>
      <c r="D9647" s="2" t="s">
        <v>5</v>
      </c>
    </row>
    <row r="9648">
      <c r="A9648" s="1">
        <v>43835.46543674769</v>
      </c>
      <c r="B9648" s="2">
        <v>714.0</v>
      </c>
      <c r="C9648" s="2" t="s">
        <v>122</v>
      </c>
      <c r="D9648" s="2" t="s">
        <v>5</v>
      </c>
    </row>
    <row r="9649">
      <c r="A9649" s="1">
        <v>43835.46589269676</v>
      </c>
      <c r="B9649" s="3" t="s">
        <v>117</v>
      </c>
      <c r="C9649" s="2" t="s">
        <v>118</v>
      </c>
    </row>
    <row r="9650">
      <c r="A9650" s="1">
        <v>43835.47038204861</v>
      </c>
      <c r="B9650" s="2">
        <v>114.0</v>
      </c>
      <c r="C9650" s="2" t="s">
        <v>15</v>
      </c>
    </row>
    <row r="9651">
      <c r="A9651" s="1">
        <v>43835.471536377314</v>
      </c>
      <c r="B9651" s="3" t="s">
        <v>9</v>
      </c>
      <c r="C9651" s="2" t="s">
        <v>10</v>
      </c>
    </row>
    <row r="9652">
      <c r="A9652" s="1">
        <v>43835.47171840278</v>
      </c>
      <c r="B9652" s="2">
        <v>708.0</v>
      </c>
      <c r="C9652" s="2" t="s">
        <v>4</v>
      </c>
      <c r="D9652" s="2" t="s">
        <v>5</v>
      </c>
    </row>
    <row r="9653">
      <c r="A9653" s="1">
        <v>43835.47179923611</v>
      </c>
      <c r="B9653" s="2">
        <v>709.0</v>
      </c>
      <c r="C9653" s="2" t="s">
        <v>20</v>
      </c>
      <c r="D9653" s="2" t="s">
        <v>5</v>
      </c>
    </row>
    <row r="9654">
      <c r="A9654" s="1">
        <v>43835.47187729167</v>
      </c>
      <c r="B9654" s="2">
        <v>710.0</v>
      </c>
      <c r="C9654" s="2" t="s">
        <v>21</v>
      </c>
      <c r="D9654" s="2" t="s">
        <v>5</v>
      </c>
    </row>
    <row r="9655">
      <c r="A9655" s="1">
        <v>43836.504879155094</v>
      </c>
      <c r="B9655" s="2">
        <v>641.0</v>
      </c>
      <c r="C9655" s="2" t="s">
        <v>210</v>
      </c>
    </row>
    <row r="9656">
      <c r="A9656" s="1">
        <v>43837.45664134259</v>
      </c>
      <c r="B9656" s="2">
        <v>707.0</v>
      </c>
      <c r="C9656" s="2" t="s">
        <v>57</v>
      </c>
      <c r="D9656" s="2" t="s">
        <v>5</v>
      </c>
    </row>
    <row r="9657">
      <c r="A9657" s="1">
        <v>43837.45833515046</v>
      </c>
      <c r="B9657" s="3" t="s">
        <v>119</v>
      </c>
      <c r="C9657" s="2" t="s">
        <v>120</v>
      </c>
    </row>
    <row r="9658">
      <c r="A9658" s="1">
        <v>43837.45884024305</v>
      </c>
      <c r="B9658" s="3" t="s">
        <v>55</v>
      </c>
      <c r="C9658" s="2" t="s">
        <v>56</v>
      </c>
    </row>
    <row r="9659">
      <c r="A9659" s="1">
        <v>43837.45957196759</v>
      </c>
      <c r="B9659" s="2">
        <v>663.0</v>
      </c>
      <c r="C9659" s="2" t="s">
        <v>109</v>
      </c>
    </row>
    <row r="9660">
      <c r="A9660" s="1">
        <v>43837.465493298616</v>
      </c>
      <c r="C9660" s="2" t="s">
        <v>240</v>
      </c>
    </row>
    <row r="9661">
      <c r="A9661" s="1">
        <v>43837.47340981482</v>
      </c>
      <c r="C9661" s="2" t="s">
        <v>240</v>
      </c>
    </row>
    <row r="9662">
      <c r="A9662" s="1">
        <v>43837.474296782406</v>
      </c>
      <c r="C9662" s="2" t="s">
        <v>202</v>
      </c>
    </row>
    <row r="9663">
      <c r="A9663" s="1">
        <v>43837.4747177199</v>
      </c>
      <c r="C9663" s="2" t="s">
        <v>240</v>
      </c>
    </row>
    <row r="9664">
      <c r="A9664" s="1">
        <v>43837.47664652778</v>
      </c>
      <c r="C9664" s="2" t="s">
        <v>240</v>
      </c>
    </row>
    <row r="9665">
      <c r="A9665" s="1">
        <v>43837.47961226852</v>
      </c>
      <c r="C9665" s="2" t="s">
        <v>240</v>
      </c>
    </row>
    <row r="9666">
      <c r="A9666" s="1">
        <v>43837.48095644676</v>
      </c>
      <c r="C9666" s="2" t="s">
        <v>240</v>
      </c>
    </row>
    <row r="9667">
      <c r="A9667" s="1">
        <v>43837.48122935185</v>
      </c>
      <c r="C9667" s="2" t="s">
        <v>240</v>
      </c>
    </row>
    <row r="9668">
      <c r="A9668" s="1">
        <v>43837.48202650463</v>
      </c>
      <c r="C9668" s="2" t="s">
        <v>19</v>
      </c>
    </row>
    <row r="9669">
      <c r="A9669" s="1">
        <v>43837.483480219904</v>
      </c>
      <c r="C9669" s="2" t="s">
        <v>240</v>
      </c>
    </row>
    <row r="9670">
      <c r="A9670" s="1">
        <v>43837.485579872686</v>
      </c>
      <c r="C9670" s="2" t="s">
        <v>240</v>
      </c>
    </row>
    <row r="9671">
      <c r="A9671" s="1">
        <v>43837.48576760417</v>
      </c>
      <c r="C9671" s="2" t="s">
        <v>240</v>
      </c>
    </row>
    <row r="9672">
      <c r="A9672" s="1">
        <v>43837.4861209838</v>
      </c>
      <c r="C9672" s="2" t="s">
        <v>19</v>
      </c>
    </row>
    <row r="9673">
      <c r="A9673" s="1">
        <v>43837.48995541666</v>
      </c>
      <c r="C9673" s="2" t="s">
        <v>240</v>
      </c>
    </row>
    <row r="9674">
      <c r="A9674" s="1">
        <v>43837.49082465278</v>
      </c>
      <c r="C9674" s="2" t="s">
        <v>240</v>
      </c>
    </row>
    <row r="9675">
      <c r="A9675" s="1">
        <v>43842.40359782407</v>
      </c>
      <c r="B9675" s="2">
        <v>165.0</v>
      </c>
      <c r="C9675" s="2" t="s">
        <v>50</v>
      </c>
    </row>
    <row r="9676">
      <c r="A9676" s="1">
        <v>43842.41673423611</v>
      </c>
      <c r="B9676" s="2">
        <v>623.0</v>
      </c>
      <c r="C9676" s="2" t="s">
        <v>133</v>
      </c>
    </row>
    <row r="9677">
      <c r="A9677" s="1">
        <v>43842.416777245366</v>
      </c>
      <c r="B9677" s="3" t="s">
        <v>80</v>
      </c>
      <c r="C9677" s="2" t="s">
        <v>81</v>
      </c>
    </row>
    <row r="9678">
      <c r="A9678" s="1">
        <v>43842.4171115162</v>
      </c>
      <c r="B9678" s="2">
        <v>722.0</v>
      </c>
      <c r="C9678" s="2" t="s">
        <v>25</v>
      </c>
      <c r="D9678" s="2" t="s">
        <v>5</v>
      </c>
    </row>
    <row r="9679">
      <c r="A9679" s="1">
        <v>43842.4174629051</v>
      </c>
      <c r="B9679" s="2">
        <v>631.0</v>
      </c>
      <c r="C9679" s="2" t="s">
        <v>178</v>
      </c>
    </row>
    <row r="9680">
      <c r="A9680" s="1">
        <v>43842.41762570602</v>
      </c>
      <c r="B9680" s="2">
        <v>246.0</v>
      </c>
      <c r="C9680" s="2" t="s">
        <v>26</v>
      </c>
    </row>
    <row r="9681">
      <c r="A9681" s="1">
        <v>43842.418819722225</v>
      </c>
      <c r="B9681" s="2">
        <v>246.0</v>
      </c>
      <c r="C9681" s="2" t="s">
        <v>26</v>
      </c>
    </row>
    <row r="9682">
      <c r="A9682" s="1">
        <v>43842.4188224074</v>
      </c>
      <c r="B9682" s="2">
        <v>189.0</v>
      </c>
      <c r="C9682" s="2" t="s">
        <v>128</v>
      </c>
    </row>
    <row r="9683">
      <c r="A9683" s="1">
        <v>43842.41922091435</v>
      </c>
      <c r="B9683" s="2">
        <v>189.0</v>
      </c>
      <c r="C9683" s="2" t="s">
        <v>128</v>
      </c>
    </row>
    <row r="9684">
      <c r="A9684" s="1">
        <v>43842.41933979167</v>
      </c>
      <c r="B9684" s="2">
        <v>246.0</v>
      </c>
      <c r="C9684" s="2" t="s">
        <v>26</v>
      </c>
    </row>
    <row r="9685">
      <c r="A9685" s="1">
        <v>43842.41964641203</v>
      </c>
      <c r="B9685" s="3" t="s">
        <v>180</v>
      </c>
      <c r="C9685" s="2" t="s">
        <v>181</v>
      </c>
    </row>
    <row r="9686">
      <c r="A9686" s="1">
        <v>43842.42057341435</v>
      </c>
      <c r="B9686" s="3" t="s">
        <v>22</v>
      </c>
      <c r="C9686" s="2" t="s">
        <v>23</v>
      </c>
    </row>
    <row r="9687">
      <c r="A9687" s="1">
        <v>43842.42095270833</v>
      </c>
      <c r="B9687" s="2">
        <v>604.0</v>
      </c>
      <c r="C9687" s="2" t="s">
        <v>36</v>
      </c>
    </row>
    <row r="9688">
      <c r="A9688" s="1">
        <v>43842.42130569444</v>
      </c>
      <c r="B9688" s="2">
        <v>246.0</v>
      </c>
      <c r="C9688" s="2" t="s">
        <v>26</v>
      </c>
    </row>
    <row r="9689">
      <c r="A9689" s="1">
        <v>43842.42302721065</v>
      </c>
      <c r="B9689" s="2">
        <v>722.0</v>
      </c>
      <c r="C9689" s="2" t="s">
        <v>25</v>
      </c>
      <c r="D9689" s="2" t="s">
        <v>5</v>
      </c>
    </row>
    <row r="9690">
      <c r="A9690" s="1">
        <v>43842.42469172453</v>
      </c>
      <c r="B9690" s="2">
        <v>252.0</v>
      </c>
      <c r="C9690" s="2" t="s">
        <v>34</v>
      </c>
    </row>
    <row r="9691">
      <c r="A9691" s="1">
        <v>43842.4249825463</v>
      </c>
      <c r="B9691" s="2">
        <v>262.0</v>
      </c>
      <c r="C9691" s="2" t="s">
        <v>28</v>
      </c>
    </row>
    <row r="9692">
      <c r="A9692" s="1">
        <v>43842.4252294676</v>
      </c>
      <c r="B9692" s="2">
        <v>244.0</v>
      </c>
      <c r="C9692" s="2" t="s">
        <v>38</v>
      </c>
    </row>
    <row r="9693">
      <c r="A9693" s="1">
        <v>43842.42541443287</v>
      </c>
      <c r="B9693" s="2">
        <v>173.0</v>
      </c>
      <c r="C9693" s="2" t="s">
        <v>24</v>
      </c>
    </row>
    <row r="9694">
      <c r="A9694" s="1">
        <v>43842.425650370365</v>
      </c>
      <c r="B9694" s="2">
        <v>210.0</v>
      </c>
      <c r="C9694" s="2" t="s">
        <v>64</v>
      </c>
    </row>
    <row r="9695">
      <c r="A9695" s="1">
        <v>43842.42586120371</v>
      </c>
      <c r="B9695" s="2">
        <v>271.0</v>
      </c>
      <c r="C9695" s="2" t="s">
        <v>68</v>
      </c>
    </row>
    <row r="9696">
      <c r="A9696" s="1">
        <v>43842.426288622686</v>
      </c>
      <c r="B9696" s="2">
        <v>611.0</v>
      </c>
      <c r="C9696" s="2" t="s">
        <v>143</v>
      </c>
    </row>
    <row r="9697">
      <c r="A9697" s="1">
        <v>43842.42650753472</v>
      </c>
      <c r="B9697" s="2">
        <v>653.0</v>
      </c>
      <c r="C9697" s="2" t="s">
        <v>77</v>
      </c>
    </row>
    <row r="9698">
      <c r="A9698" s="1">
        <v>43842.42687739583</v>
      </c>
      <c r="B9698" s="2">
        <v>738.0</v>
      </c>
      <c r="C9698" s="2" t="s">
        <v>161</v>
      </c>
      <c r="D9698" s="2" t="s">
        <v>5</v>
      </c>
    </row>
    <row r="9699">
      <c r="A9699" s="1">
        <v>43842.42754625</v>
      </c>
      <c r="B9699" s="2">
        <v>631.0</v>
      </c>
      <c r="C9699" s="2" t="s">
        <v>178</v>
      </c>
    </row>
    <row r="9700">
      <c r="A9700" s="1">
        <v>43842.428035219906</v>
      </c>
      <c r="B9700" s="3" t="s">
        <v>32</v>
      </c>
      <c r="C9700" s="2" t="s">
        <v>33</v>
      </c>
    </row>
    <row r="9701">
      <c r="A9701" s="1">
        <v>43842.42877013889</v>
      </c>
      <c r="B9701" s="2">
        <v>231.0</v>
      </c>
      <c r="C9701" s="2" t="s">
        <v>61</v>
      </c>
    </row>
    <row r="9702">
      <c r="A9702" s="1">
        <v>43842.42986636574</v>
      </c>
      <c r="B9702" s="2">
        <v>175.0</v>
      </c>
      <c r="C9702" s="2" t="s">
        <v>69</v>
      </c>
    </row>
    <row r="9703">
      <c r="A9703" s="1">
        <v>43842.43046315972</v>
      </c>
      <c r="B9703" s="3" t="s">
        <v>51</v>
      </c>
      <c r="C9703" s="2" t="s">
        <v>52</v>
      </c>
    </row>
    <row r="9704">
      <c r="A9704" s="1">
        <v>43842.43069408565</v>
      </c>
      <c r="B9704" s="2">
        <v>167.0</v>
      </c>
      <c r="C9704" s="2" t="s">
        <v>39</v>
      </c>
    </row>
    <row r="9705">
      <c r="A9705" s="1">
        <v>43842.430934097225</v>
      </c>
      <c r="B9705" s="2">
        <v>167.0</v>
      </c>
      <c r="C9705" s="2" t="s">
        <v>39</v>
      </c>
    </row>
    <row r="9706">
      <c r="A9706" s="1">
        <v>43842.43094078704</v>
      </c>
      <c r="B9706" s="2">
        <v>635.0</v>
      </c>
      <c r="C9706" s="2" t="s">
        <v>165</v>
      </c>
    </row>
    <row r="9707">
      <c r="A9707" s="1">
        <v>43842.43102292824</v>
      </c>
      <c r="B9707" s="2">
        <v>167.0</v>
      </c>
      <c r="C9707" s="2" t="s">
        <v>39</v>
      </c>
    </row>
    <row r="9708">
      <c r="A9708" s="1">
        <v>43842.43111467593</v>
      </c>
      <c r="B9708" s="2">
        <v>167.0</v>
      </c>
      <c r="C9708" s="2" t="s">
        <v>39</v>
      </c>
    </row>
    <row r="9709">
      <c r="A9709" s="1">
        <v>43842.431365833334</v>
      </c>
      <c r="B9709" s="2">
        <v>613.0</v>
      </c>
      <c r="C9709" s="2" t="s">
        <v>124</v>
      </c>
    </row>
    <row r="9710">
      <c r="A9710" s="1">
        <v>43842.4322540625</v>
      </c>
      <c r="B9710" s="3" t="s">
        <v>103</v>
      </c>
      <c r="C9710" s="2" t="s">
        <v>104</v>
      </c>
    </row>
    <row r="9711">
      <c r="A9711" s="1">
        <v>43842.432574618055</v>
      </c>
      <c r="B9711" s="2">
        <v>704.0</v>
      </c>
      <c r="C9711" s="2" t="s">
        <v>167</v>
      </c>
      <c r="D9711" s="2" t="s">
        <v>5</v>
      </c>
    </row>
    <row r="9712">
      <c r="A9712" s="1">
        <v>43842.432832314815</v>
      </c>
      <c r="B9712" s="3" t="s">
        <v>88</v>
      </c>
      <c r="C9712" s="2" t="s">
        <v>89</v>
      </c>
    </row>
    <row r="9713">
      <c r="A9713" s="1">
        <v>43842.43338503472</v>
      </c>
      <c r="B9713" s="2">
        <v>193.0</v>
      </c>
      <c r="C9713" s="2" t="s">
        <v>30</v>
      </c>
    </row>
    <row r="9714">
      <c r="A9714" s="1">
        <v>43842.43375846065</v>
      </c>
      <c r="B9714" s="2">
        <v>208.0</v>
      </c>
      <c r="C9714" s="2" t="s">
        <v>182</v>
      </c>
    </row>
    <row r="9715">
      <c r="A9715" s="1">
        <v>43842.434824375</v>
      </c>
      <c r="B9715" s="2">
        <v>165.0</v>
      </c>
      <c r="C9715" s="2" t="s">
        <v>50</v>
      </c>
    </row>
    <row r="9716">
      <c r="A9716" s="1">
        <v>43842.434838078705</v>
      </c>
      <c r="B9716" s="2">
        <v>740.0</v>
      </c>
      <c r="C9716" s="2" t="s">
        <v>221</v>
      </c>
      <c r="D9716" s="2" t="s">
        <v>5</v>
      </c>
    </row>
    <row r="9717">
      <c r="A9717" s="1">
        <v>43842.43576475694</v>
      </c>
      <c r="B9717" s="2">
        <v>201.0</v>
      </c>
      <c r="C9717" s="2" t="s">
        <v>70</v>
      </c>
    </row>
    <row r="9718">
      <c r="A9718" s="1">
        <v>43842.43590452547</v>
      </c>
      <c r="B9718" s="2">
        <v>158.0</v>
      </c>
      <c r="C9718" s="2" t="s">
        <v>62</v>
      </c>
    </row>
    <row r="9719">
      <c r="A9719" s="1">
        <v>43842.43638528935</v>
      </c>
      <c r="B9719" s="2">
        <v>677.0</v>
      </c>
      <c r="C9719" s="2" t="s">
        <v>224</v>
      </c>
    </row>
    <row r="9720">
      <c r="A9720" s="1">
        <v>43842.436831122686</v>
      </c>
      <c r="B9720" s="2">
        <v>271.0</v>
      </c>
      <c r="C9720" s="2" t="s">
        <v>68</v>
      </c>
    </row>
    <row r="9721">
      <c r="A9721" s="1">
        <v>43842.43725756944</v>
      </c>
      <c r="B9721" s="3" t="s">
        <v>150</v>
      </c>
      <c r="C9721" s="2" t="s">
        <v>151</v>
      </c>
    </row>
    <row r="9722">
      <c r="A9722" s="1">
        <v>43842.437415775465</v>
      </c>
      <c r="B9722" s="2">
        <v>667.0</v>
      </c>
      <c r="C9722" s="2" t="s">
        <v>73</v>
      </c>
    </row>
    <row r="9723">
      <c r="A9723" s="1">
        <v>43842.43757578704</v>
      </c>
      <c r="B9723" s="3" t="s">
        <v>44</v>
      </c>
      <c r="C9723" s="2" t="s">
        <v>45</v>
      </c>
    </row>
    <row r="9724">
      <c r="A9724" s="1">
        <v>43842.43801628472</v>
      </c>
      <c r="B9724" s="3" t="s">
        <v>82</v>
      </c>
      <c r="C9724" s="2" t="s">
        <v>83</v>
      </c>
    </row>
    <row r="9725">
      <c r="A9725" s="1">
        <v>43842.43813177083</v>
      </c>
      <c r="B9725" s="3" t="s">
        <v>78</v>
      </c>
      <c r="C9725" s="2" t="s">
        <v>79</v>
      </c>
    </row>
    <row r="9726">
      <c r="A9726" s="1">
        <v>43842.43848347222</v>
      </c>
      <c r="B9726" s="2">
        <v>723.0</v>
      </c>
      <c r="C9726" s="2" t="s">
        <v>84</v>
      </c>
      <c r="D9726" s="2" t="s">
        <v>5</v>
      </c>
    </row>
    <row r="9727">
      <c r="A9727" s="1">
        <v>43842.43900460648</v>
      </c>
      <c r="B9727" s="2">
        <v>667.0</v>
      </c>
      <c r="C9727" s="2" t="s">
        <v>73</v>
      </c>
    </row>
    <row r="9728">
      <c r="A9728" s="1">
        <v>43842.43904420139</v>
      </c>
      <c r="B9728" s="3" t="s">
        <v>11</v>
      </c>
      <c r="C9728" s="2" t="s">
        <v>12</v>
      </c>
    </row>
    <row r="9729">
      <c r="A9729" s="1">
        <v>43842.43912555555</v>
      </c>
      <c r="B9729" s="3" t="s">
        <v>126</v>
      </c>
      <c r="C9729" s="2" t="s">
        <v>127</v>
      </c>
    </row>
    <row r="9730">
      <c r="A9730" s="1">
        <v>43842.439171875</v>
      </c>
      <c r="B9730" s="3" t="s">
        <v>150</v>
      </c>
      <c r="C9730" s="2" t="s">
        <v>151</v>
      </c>
    </row>
    <row r="9731">
      <c r="A9731" s="1">
        <v>43842.43927523148</v>
      </c>
      <c r="B9731" s="2">
        <v>716.0</v>
      </c>
      <c r="C9731" s="2" t="s">
        <v>123</v>
      </c>
      <c r="D9731" s="2" t="s">
        <v>5</v>
      </c>
    </row>
    <row r="9732">
      <c r="A9732" s="1">
        <v>43842.439328356486</v>
      </c>
      <c r="B9732" s="3" t="s">
        <v>74</v>
      </c>
      <c r="C9732" s="2" t="s">
        <v>75</v>
      </c>
    </row>
    <row r="9733">
      <c r="A9733" s="1">
        <v>43842.441251400465</v>
      </c>
      <c r="B9733" s="3" t="s">
        <v>74</v>
      </c>
      <c r="C9733" s="2" t="s">
        <v>75</v>
      </c>
    </row>
    <row r="9734">
      <c r="A9734" s="1">
        <v>43842.4428522338</v>
      </c>
      <c r="B9734" s="2">
        <v>733.0</v>
      </c>
      <c r="C9734" s="2" t="s">
        <v>110</v>
      </c>
      <c r="D9734" s="2" t="s">
        <v>5</v>
      </c>
    </row>
    <row r="9735">
      <c r="A9735" s="1">
        <v>43842.443685949074</v>
      </c>
      <c r="B9735" s="2">
        <v>663.0</v>
      </c>
      <c r="C9735" s="2" t="s">
        <v>109</v>
      </c>
    </row>
    <row r="9736">
      <c r="A9736" s="1">
        <v>43842.443841064814</v>
      </c>
      <c r="B9736" s="2">
        <v>253.0</v>
      </c>
      <c r="C9736" s="2" t="s">
        <v>138</v>
      </c>
    </row>
    <row r="9737">
      <c r="A9737" s="1">
        <v>43842.4458834375</v>
      </c>
      <c r="B9737" s="2">
        <v>126.0</v>
      </c>
      <c r="C9737" s="2" t="s">
        <v>87</v>
      </c>
    </row>
    <row r="9738">
      <c r="A9738" s="1">
        <v>43842.44605100695</v>
      </c>
      <c r="B9738" s="2">
        <v>268.0</v>
      </c>
      <c r="C9738" s="2" t="s">
        <v>205</v>
      </c>
    </row>
    <row r="9739">
      <c r="A9739" s="1">
        <v>43842.44648939815</v>
      </c>
      <c r="B9739" s="2">
        <v>702.0</v>
      </c>
      <c r="C9739" s="2" t="s">
        <v>96</v>
      </c>
      <c r="D9739" s="2" t="s">
        <v>5</v>
      </c>
    </row>
    <row r="9740">
      <c r="A9740" s="1">
        <v>43842.4469908912</v>
      </c>
      <c r="B9740" s="3" t="s">
        <v>94</v>
      </c>
      <c r="C9740" s="2" t="s">
        <v>95</v>
      </c>
    </row>
    <row r="9741">
      <c r="A9741" s="1">
        <v>43842.44712790509</v>
      </c>
      <c r="B9741" s="3" t="s">
        <v>98</v>
      </c>
      <c r="C9741" s="2" t="s">
        <v>99</v>
      </c>
    </row>
    <row r="9742">
      <c r="A9742" s="1">
        <v>43842.447293958336</v>
      </c>
      <c r="B9742" s="2">
        <v>147.0</v>
      </c>
      <c r="C9742" s="2" t="s">
        <v>100</v>
      </c>
    </row>
    <row r="9743">
      <c r="A9743" s="1">
        <v>43842.447502256946</v>
      </c>
      <c r="B9743" s="2">
        <v>655.0</v>
      </c>
      <c r="C9743" s="2" t="s">
        <v>17</v>
      </c>
    </row>
    <row r="9744">
      <c r="A9744" s="1">
        <v>43842.4477078125</v>
      </c>
      <c r="B9744" s="2">
        <v>602.0</v>
      </c>
      <c r="C9744" s="2" t="s">
        <v>131</v>
      </c>
    </row>
    <row r="9745">
      <c r="A9745" s="1">
        <v>43842.447884594905</v>
      </c>
      <c r="B9745" s="2">
        <v>726.0</v>
      </c>
      <c r="C9745" s="2" t="s">
        <v>101</v>
      </c>
      <c r="D9745" s="2" t="s">
        <v>5</v>
      </c>
    </row>
    <row r="9746">
      <c r="A9746" s="1">
        <v>43842.44801958333</v>
      </c>
      <c r="B9746" s="2">
        <v>732.0</v>
      </c>
      <c r="C9746" s="2" t="s">
        <v>102</v>
      </c>
      <c r="D9746" s="2" t="s">
        <v>5</v>
      </c>
    </row>
    <row r="9747">
      <c r="A9747" s="1">
        <v>43842.45142195602</v>
      </c>
      <c r="B9747" s="2">
        <v>52.0</v>
      </c>
      <c r="C9747" s="2" t="s">
        <v>41</v>
      </c>
    </row>
    <row r="9748">
      <c r="A9748" s="1">
        <v>43842.45277682871</v>
      </c>
      <c r="B9748" s="2">
        <v>124.0</v>
      </c>
      <c r="C9748" s="2" t="s">
        <v>107</v>
      </c>
    </row>
    <row r="9749">
      <c r="A9749" s="1">
        <v>43842.45292380787</v>
      </c>
      <c r="B9749" s="3" t="s">
        <v>113</v>
      </c>
      <c r="C9749" s="2" t="s">
        <v>114</v>
      </c>
    </row>
    <row r="9750">
      <c r="A9750" s="1">
        <v>43842.45305736111</v>
      </c>
      <c r="B9750" s="2">
        <v>101.0</v>
      </c>
      <c r="C9750" s="2" t="s">
        <v>108</v>
      </c>
    </row>
    <row r="9751">
      <c r="A9751" s="1">
        <v>43842.453264930555</v>
      </c>
      <c r="B9751" s="2">
        <v>719.0</v>
      </c>
      <c r="C9751" s="2" t="s">
        <v>106</v>
      </c>
      <c r="D9751" s="2" t="s">
        <v>5</v>
      </c>
    </row>
    <row r="9752">
      <c r="A9752" s="1">
        <v>43842.453380879626</v>
      </c>
      <c r="B9752" s="2">
        <v>718.0</v>
      </c>
      <c r="C9752" s="2" t="s">
        <v>105</v>
      </c>
      <c r="D9752" s="2" t="s">
        <v>5</v>
      </c>
    </row>
    <row r="9753">
      <c r="A9753" s="1">
        <v>43842.462076979165</v>
      </c>
      <c r="B9753" s="2">
        <v>675.0</v>
      </c>
      <c r="C9753" s="2" t="s">
        <v>222</v>
      </c>
    </row>
    <row r="9754">
      <c r="A9754" s="1">
        <v>43842.467493460645</v>
      </c>
      <c r="B9754" s="2">
        <v>160.0</v>
      </c>
      <c r="C9754" s="2" t="s">
        <v>154</v>
      </c>
    </row>
    <row r="9755">
      <c r="A9755" s="1">
        <v>43842.470847199074</v>
      </c>
      <c r="B9755" s="2">
        <v>160.0</v>
      </c>
      <c r="C9755" s="2" t="s">
        <v>154</v>
      </c>
    </row>
    <row r="9756">
      <c r="A9756" s="1">
        <v>43842.470847199074</v>
      </c>
      <c r="B9756" s="2">
        <v>713.0</v>
      </c>
      <c r="C9756" s="2" t="s">
        <v>121</v>
      </c>
      <c r="D9756" s="2" t="s">
        <v>5</v>
      </c>
    </row>
    <row r="9757">
      <c r="A9757" s="1">
        <v>43842.470887268515</v>
      </c>
      <c r="B9757" s="2">
        <v>160.0</v>
      </c>
      <c r="C9757" s="2" t="s">
        <v>154</v>
      </c>
    </row>
    <row r="9758">
      <c r="A9758" s="1">
        <v>43842.47097391204</v>
      </c>
      <c r="B9758" s="2">
        <v>714.0</v>
      </c>
      <c r="C9758" s="2" t="s">
        <v>122</v>
      </c>
      <c r="D9758" s="2" t="s">
        <v>5</v>
      </c>
    </row>
    <row r="9759">
      <c r="A9759" s="1">
        <v>43842.47109390046</v>
      </c>
      <c r="B9759" s="3" t="s">
        <v>119</v>
      </c>
      <c r="C9759" s="2" t="s">
        <v>120</v>
      </c>
    </row>
    <row r="9760">
      <c r="A9760" s="1">
        <v>43842.471174074075</v>
      </c>
      <c r="B9760" s="3" t="s">
        <v>117</v>
      </c>
      <c r="C9760" s="2" t="s">
        <v>118</v>
      </c>
    </row>
    <row r="9761">
      <c r="A9761" s="1">
        <v>43842.48144966435</v>
      </c>
      <c r="B9761" s="2">
        <v>623.0</v>
      </c>
      <c r="C9761" s="2" t="s">
        <v>133</v>
      </c>
    </row>
    <row r="9762">
      <c r="A9762" s="1">
        <v>43843.44066072917</v>
      </c>
      <c r="B9762" s="2">
        <v>157.0</v>
      </c>
      <c r="C9762" s="2" t="s">
        <v>141</v>
      </c>
    </row>
    <row r="9763">
      <c r="A9763" s="1">
        <v>43843.44089704861</v>
      </c>
      <c r="B9763" s="2">
        <v>238.0</v>
      </c>
      <c r="C9763" s="2" t="s">
        <v>35</v>
      </c>
    </row>
    <row r="9764">
      <c r="A9764" s="1">
        <v>43843.441074953706</v>
      </c>
      <c r="B9764" s="2">
        <v>603.0</v>
      </c>
      <c r="C9764" s="2" t="s">
        <v>40</v>
      </c>
    </row>
    <row r="9765">
      <c r="A9765" s="1">
        <v>43843.44126681713</v>
      </c>
      <c r="B9765" s="2">
        <v>735.0</v>
      </c>
      <c r="C9765" s="2" t="s">
        <v>37</v>
      </c>
      <c r="D9765" s="2" t="s">
        <v>5</v>
      </c>
    </row>
    <row r="9766">
      <c r="A9766" s="1">
        <v>43843.442390729164</v>
      </c>
      <c r="B9766" s="2">
        <v>679.0</v>
      </c>
      <c r="C9766" s="2" t="s">
        <v>229</v>
      </c>
    </row>
    <row r="9767">
      <c r="A9767" s="1">
        <v>43843.442760300924</v>
      </c>
      <c r="B9767" s="2">
        <v>643.0</v>
      </c>
      <c r="C9767" s="2" t="s">
        <v>166</v>
      </c>
    </row>
    <row r="9768">
      <c r="A9768" s="1">
        <v>43843.443062175924</v>
      </c>
      <c r="B9768" s="2">
        <v>672.0</v>
      </c>
      <c r="C9768" s="2" t="s">
        <v>6</v>
      </c>
    </row>
    <row r="9769">
      <c r="A9769" s="1">
        <v>43843.44310556713</v>
      </c>
      <c r="B9769" s="2">
        <v>172.0</v>
      </c>
      <c r="C9769" s="2" t="s">
        <v>65</v>
      </c>
    </row>
    <row r="9770">
      <c r="A9770" s="1">
        <v>43843.443410312495</v>
      </c>
      <c r="B9770" s="3" t="s">
        <v>159</v>
      </c>
      <c r="C9770" s="2" t="s">
        <v>160</v>
      </c>
    </row>
    <row r="9771">
      <c r="A9771" s="1">
        <v>43843.44472481481</v>
      </c>
      <c r="B9771" s="2">
        <v>141.0</v>
      </c>
      <c r="C9771" s="2" t="s">
        <v>53</v>
      </c>
    </row>
    <row r="9772">
      <c r="A9772" s="1">
        <v>43856.42791108796</v>
      </c>
      <c r="B9772" s="3" t="s">
        <v>55</v>
      </c>
      <c r="C9772" s="2" t="s">
        <v>56</v>
      </c>
    </row>
    <row r="9773">
      <c r="A9773" s="1">
        <v>43856.4288003125</v>
      </c>
      <c r="B9773" s="2">
        <v>602.0</v>
      </c>
      <c r="C9773" s="2" t="s">
        <v>131</v>
      </c>
    </row>
    <row r="9774">
      <c r="A9774" s="1">
        <v>43856.42902106482</v>
      </c>
      <c r="B9774" s="2">
        <v>271.0</v>
      </c>
      <c r="C9774" s="2" t="s">
        <v>68</v>
      </c>
    </row>
    <row r="9775">
      <c r="A9775" s="1">
        <v>43856.4291066088</v>
      </c>
      <c r="B9775" s="2">
        <v>262.0</v>
      </c>
      <c r="C9775" s="2" t="s">
        <v>28</v>
      </c>
    </row>
    <row r="9776">
      <c r="A9776" s="1">
        <v>43856.43230190972</v>
      </c>
      <c r="B9776" s="3" t="s">
        <v>22</v>
      </c>
      <c r="C9776" s="2" t="s">
        <v>23</v>
      </c>
    </row>
    <row r="9777">
      <c r="A9777" s="1">
        <v>43856.43241122685</v>
      </c>
      <c r="B9777" s="3" t="s">
        <v>88</v>
      </c>
      <c r="C9777" s="2" t="s">
        <v>89</v>
      </c>
    </row>
    <row r="9778">
      <c r="A9778" s="1">
        <v>43856.4325196875</v>
      </c>
      <c r="B9778" s="3" t="s">
        <v>80</v>
      </c>
      <c r="C9778" s="2" t="s">
        <v>81</v>
      </c>
    </row>
    <row r="9779">
      <c r="A9779" s="1">
        <v>43856.432579976856</v>
      </c>
      <c r="B9779" s="3" t="s">
        <v>51</v>
      </c>
      <c r="C9779" s="2" t="s">
        <v>52</v>
      </c>
    </row>
    <row r="9780">
      <c r="A9780" s="1">
        <v>43856.432680694445</v>
      </c>
      <c r="B9780" s="3" t="s">
        <v>159</v>
      </c>
      <c r="C9780" s="2" t="s">
        <v>160</v>
      </c>
    </row>
    <row r="9781">
      <c r="A9781" s="1">
        <v>43856.43280743055</v>
      </c>
      <c r="B9781" s="2">
        <v>167.0</v>
      </c>
      <c r="C9781" s="2" t="s">
        <v>39</v>
      </c>
    </row>
    <row r="9782">
      <c r="A9782" s="1">
        <v>43856.43289697917</v>
      </c>
      <c r="B9782" s="2">
        <v>172.0</v>
      </c>
      <c r="C9782" s="2" t="s">
        <v>65</v>
      </c>
    </row>
    <row r="9783">
      <c r="A9783" s="1">
        <v>43856.4330146875</v>
      </c>
      <c r="B9783" s="2">
        <v>208.0</v>
      </c>
      <c r="C9783" s="2" t="s">
        <v>182</v>
      </c>
    </row>
    <row r="9784">
      <c r="A9784" s="1">
        <v>43856.43308396991</v>
      </c>
      <c r="B9784" s="2">
        <v>210.0</v>
      </c>
      <c r="C9784" s="2" t="s">
        <v>64</v>
      </c>
    </row>
    <row r="9785">
      <c r="A9785" s="1">
        <v>43856.43322723379</v>
      </c>
      <c r="B9785" s="2">
        <v>270.0</v>
      </c>
      <c r="C9785" s="2" t="s">
        <v>153</v>
      </c>
    </row>
    <row r="9786">
      <c r="A9786" s="1">
        <v>43856.43331113426</v>
      </c>
      <c r="B9786" s="2">
        <v>717.0</v>
      </c>
      <c r="C9786" s="2" t="s">
        <v>152</v>
      </c>
      <c r="D9786" s="2" t="s">
        <v>5</v>
      </c>
    </row>
    <row r="9787">
      <c r="A9787" s="1">
        <v>43856.433909907406</v>
      </c>
      <c r="B9787" s="3" t="s">
        <v>55</v>
      </c>
      <c r="C9787" s="2" t="s">
        <v>56</v>
      </c>
    </row>
    <row r="9788">
      <c r="A9788" s="1">
        <v>43856.434070937496</v>
      </c>
      <c r="B9788" s="2">
        <v>603.0</v>
      </c>
      <c r="C9788" s="2" t="s">
        <v>40</v>
      </c>
    </row>
    <row r="9789">
      <c r="A9789" s="1">
        <v>43856.43431975694</v>
      </c>
      <c r="B9789" s="2">
        <v>231.0</v>
      </c>
      <c r="C9789" s="2" t="s">
        <v>61</v>
      </c>
    </row>
    <row r="9790">
      <c r="A9790" s="1">
        <v>43856.43445847223</v>
      </c>
      <c r="B9790" s="2">
        <v>238.0</v>
      </c>
      <c r="C9790" s="2" t="s">
        <v>35</v>
      </c>
    </row>
    <row r="9791">
      <c r="A9791" s="1">
        <v>43856.43462561343</v>
      </c>
      <c r="B9791" s="2">
        <v>656.0</v>
      </c>
      <c r="C9791" s="2" t="s">
        <v>144</v>
      </c>
    </row>
    <row r="9792">
      <c r="A9792" s="1">
        <v>43856.43476259259</v>
      </c>
      <c r="B9792" s="2">
        <v>52.0</v>
      </c>
      <c r="C9792" s="2" t="s">
        <v>41</v>
      </c>
    </row>
    <row r="9793">
      <c r="A9793" s="1">
        <v>43856.43511362269</v>
      </c>
      <c r="B9793" s="2">
        <v>214.0</v>
      </c>
      <c r="C9793" s="2" t="s">
        <v>47</v>
      </c>
    </row>
    <row r="9794">
      <c r="A9794" s="1">
        <v>43856.435229386574</v>
      </c>
      <c r="B9794" s="2">
        <v>219.0</v>
      </c>
      <c r="C9794" s="2" t="s">
        <v>31</v>
      </c>
    </row>
    <row r="9795">
      <c r="A9795" s="1">
        <v>43856.435363576384</v>
      </c>
      <c r="B9795" s="2">
        <v>193.0</v>
      </c>
      <c r="C9795" s="2" t="s">
        <v>30</v>
      </c>
    </row>
    <row r="9796">
      <c r="A9796" s="1">
        <v>43856.43554224537</v>
      </c>
      <c r="B9796" s="3" t="s">
        <v>44</v>
      </c>
      <c r="C9796" s="2" t="s">
        <v>45</v>
      </c>
    </row>
    <row r="9797">
      <c r="A9797" s="1">
        <v>43856.43678658565</v>
      </c>
      <c r="B9797" s="2">
        <v>677.0</v>
      </c>
      <c r="C9797" s="2" t="s">
        <v>224</v>
      </c>
    </row>
    <row r="9798">
      <c r="A9798" s="1">
        <v>43856.43863686343</v>
      </c>
      <c r="B9798" s="2">
        <v>643.0</v>
      </c>
      <c r="C9798" s="2" t="s">
        <v>166</v>
      </c>
    </row>
    <row r="9799">
      <c r="A9799" s="1">
        <v>43856.44057910879</v>
      </c>
      <c r="B9799" s="2">
        <v>124.0</v>
      </c>
      <c r="C9799" s="2" t="s">
        <v>107</v>
      </c>
    </row>
    <row r="9800">
      <c r="A9800" s="1">
        <v>43856.44168638889</v>
      </c>
      <c r="B9800" s="2">
        <v>655.0</v>
      </c>
      <c r="C9800" s="2" t="s">
        <v>17</v>
      </c>
    </row>
    <row r="9801">
      <c r="A9801" s="1">
        <v>43856.44180048611</v>
      </c>
      <c r="B9801" s="2">
        <v>641.0</v>
      </c>
      <c r="C9801" s="2" t="s">
        <v>210</v>
      </c>
    </row>
    <row r="9802">
      <c r="A9802" s="1">
        <v>43856.44187697917</v>
      </c>
      <c r="B9802" s="2">
        <v>611.0</v>
      </c>
      <c r="C9802" s="2" t="s">
        <v>143</v>
      </c>
    </row>
    <row r="9803">
      <c r="A9803" s="1">
        <v>43856.4473950463</v>
      </c>
      <c r="B9803" s="2">
        <v>734.0</v>
      </c>
      <c r="C9803" s="2" t="s">
        <v>63</v>
      </c>
      <c r="D9803" s="2" t="s">
        <v>5</v>
      </c>
    </row>
    <row r="9804">
      <c r="A9804" s="1">
        <v>43856.44747737268</v>
      </c>
      <c r="B9804" s="2">
        <v>259.0</v>
      </c>
      <c r="C9804" s="2" t="s">
        <v>66</v>
      </c>
    </row>
    <row r="9805">
      <c r="A9805" s="1">
        <v>43856.44756392361</v>
      </c>
      <c r="B9805" s="2">
        <v>260.0</v>
      </c>
      <c r="C9805" s="2" t="s">
        <v>67</v>
      </c>
    </row>
    <row r="9806">
      <c r="A9806" s="1">
        <v>43856.44799832176</v>
      </c>
      <c r="B9806" s="2">
        <v>229.0</v>
      </c>
      <c r="C9806" s="2" t="s">
        <v>86</v>
      </c>
    </row>
    <row r="9807">
      <c r="A9807" s="1">
        <v>43856.44957277778</v>
      </c>
      <c r="B9807" s="3" t="s">
        <v>11</v>
      </c>
      <c r="C9807" s="2" t="s">
        <v>12</v>
      </c>
    </row>
    <row r="9808">
      <c r="A9808" s="1">
        <v>43856.44961646991</v>
      </c>
      <c r="B9808" s="3" t="s">
        <v>126</v>
      </c>
      <c r="C9808" s="2" t="s">
        <v>127</v>
      </c>
    </row>
    <row r="9809">
      <c r="A9809" s="1">
        <v>43856.449798761576</v>
      </c>
      <c r="B9809" s="2">
        <v>716.0</v>
      </c>
      <c r="C9809" s="2" t="s">
        <v>123</v>
      </c>
      <c r="D9809" s="2" t="s">
        <v>5</v>
      </c>
    </row>
    <row r="9810">
      <c r="A9810" s="1">
        <v>43856.47557947917</v>
      </c>
      <c r="B9810" s="2">
        <v>604.0</v>
      </c>
      <c r="C9810" s="2" t="s">
        <v>36</v>
      </c>
    </row>
    <row r="9811">
      <c r="A9811" s="1">
        <v>43859.63622202547</v>
      </c>
      <c r="B9811" s="2">
        <v>219.0</v>
      </c>
      <c r="C9811" s="2" t="s">
        <v>31</v>
      </c>
    </row>
    <row r="9812">
      <c r="A9812" s="1">
        <v>43859.63645907407</v>
      </c>
      <c r="B9812" s="2">
        <v>603.0</v>
      </c>
      <c r="C9812" s="2" t="s">
        <v>40</v>
      </c>
    </row>
    <row r="9813">
      <c r="A9813" s="1">
        <v>43859.74200244213</v>
      </c>
      <c r="B9813" s="2">
        <v>603.0</v>
      </c>
      <c r="C9813" s="2" t="s">
        <v>40</v>
      </c>
    </row>
    <row r="9814">
      <c r="A9814" s="1">
        <v>43868.46559017361</v>
      </c>
      <c r="B9814" s="3" t="s">
        <v>13</v>
      </c>
      <c r="C9814" s="2" t="s">
        <v>14</v>
      </c>
    </row>
    <row r="9815">
      <c r="A9815" s="1">
        <v>43874.68875256945</v>
      </c>
      <c r="B9815" s="2">
        <v>214.0</v>
      </c>
      <c r="C9815" s="2" t="s">
        <v>47</v>
      </c>
    </row>
    <row r="9816">
      <c r="A9816" s="1">
        <v>43996.39764835648</v>
      </c>
      <c r="B9816" s="2">
        <v>611.0</v>
      </c>
      <c r="C9816" s="2" t="s">
        <v>143</v>
      </c>
    </row>
    <row r="9817">
      <c r="A9817" s="1">
        <v>43996.397975451386</v>
      </c>
      <c r="B9817" s="2">
        <v>656.0</v>
      </c>
      <c r="C9817" s="2" t="s">
        <v>144</v>
      </c>
    </row>
    <row r="9818">
      <c r="A9818" s="1">
        <v>43996.3981747338</v>
      </c>
      <c r="B9818" s="2">
        <v>173.0</v>
      </c>
      <c r="C9818" s="2" t="s">
        <v>24</v>
      </c>
    </row>
    <row r="9819">
      <c r="A9819" s="1">
        <v>43996.39843219907</v>
      </c>
      <c r="B9819" s="2">
        <v>231.0</v>
      </c>
      <c r="C9819" s="2" t="s">
        <v>61</v>
      </c>
    </row>
    <row r="9820">
      <c r="A9820" s="1">
        <v>43996.398721875</v>
      </c>
      <c r="B9820" s="2">
        <v>270.0</v>
      </c>
      <c r="C9820" s="2" t="s">
        <v>153</v>
      </c>
    </row>
    <row r="9821">
      <c r="A9821" s="1">
        <v>43996.400987719906</v>
      </c>
      <c r="B9821" s="2">
        <v>201.0</v>
      </c>
      <c r="C9821" s="2" t="s">
        <v>70</v>
      </c>
    </row>
    <row r="9822">
      <c r="A9822" s="1">
        <v>43996.402955694444</v>
      </c>
      <c r="B9822" s="2">
        <v>613.0</v>
      </c>
      <c r="C9822" s="2" t="s">
        <v>124</v>
      </c>
    </row>
    <row r="9823">
      <c r="A9823" s="1">
        <v>43996.403803877314</v>
      </c>
      <c r="B9823" s="2">
        <v>717.0</v>
      </c>
      <c r="C9823" s="2" t="s">
        <v>152</v>
      </c>
      <c r="D9823" s="2" t="s">
        <v>5</v>
      </c>
    </row>
    <row r="9824">
      <c r="A9824" s="1">
        <v>43996.404093634264</v>
      </c>
      <c r="B9824" s="2">
        <v>643.0</v>
      </c>
      <c r="C9824" s="2" t="s">
        <v>166</v>
      </c>
    </row>
    <row r="9825">
      <c r="A9825" s="1">
        <v>43996.40722586805</v>
      </c>
      <c r="B9825" s="3" t="s">
        <v>32</v>
      </c>
      <c r="C9825" s="2" t="s">
        <v>33</v>
      </c>
    </row>
    <row r="9826">
      <c r="A9826" s="1">
        <v>43996.407625277774</v>
      </c>
      <c r="B9826" s="2">
        <v>259.0</v>
      </c>
      <c r="C9826" s="2" t="s">
        <v>66</v>
      </c>
    </row>
    <row r="9827">
      <c r="A9827" s="1">
        <v>43996.408729560186</v>
      </c>
      <c r="B9827" s="3" t="s">
        <v>159</v>
      </c>
      <c r="C9827" s="2" t="s">
        <v>160</v>
      </c>
    </row>
    <row r="9828">
      <c r="A9828" s="1">
        <v>43996.40884259259</v>
      </c>
      <c r="B9828" s="3" t="s">
        <v>22</v>
      </c>
      <c r="C9828" s="2" t="s">
        <v>23</v>
      </c>
    </row>
    <row r="9829">
      <c r="A9829" s="1">
        <v>43996.4092474537</v>
      </c>
      <c r="B9829" s="3" t="s">
        <v>80</v>
      </c>
      <c r="C9829" s="2" t="s">
        <v>81</v>
      </c>
    </row>
    <row r="9830">
      <c r="A9830" s="1">
        <v>43996.40969209491</v>
      </c>
      <c r="B9830" s="2">
        <v>210.0</v>
      </c>
      <c r="C9830" s="2" t="s">
        <v>64</v>
      </c>
    </row>
    <row r="9831">
      <c r="A9831" s="1">
        <v>43996.40992015046</v>
      </c>
      <c r="B9831" s="3" t="s">
        <v>11</v>
      </c>
      <c r="C9831" s="2" t="s">
        <v>12</v>
      </c>
    </row>
    <row r="9832">
      <c r="A9832" s="1">
        <v>43996.41001503472</v>
      </c>
      <c r="B9832" s="3" t="s">
        <v>126</v>
      </c>
      <c r="C9832" s="2" t="s">
        <v>127</v>
      </c>
    </row>
    <row r="9833">
      <c r="A9833" s="1">
        <v>43996.4111744213</v>
      </c>
      <c r="B9833" s="2">
        <v>193.0</v>
      </c>
      <c r="C9833" s="2" t="s">
        <v>30</v>
      </c>
    </row>
    <row r="9834">
      <c r="A9834" s="1">
        <v>43996.41307130787</v>
      </c>
      <c r="B9834" s="3" t="s">
        <v>184</v>
      </c>
      <c r="C9834" s="2" t="s">
        <v>185</v>
      </c>
    </row>
    <row r="9835">
      <c r="A9835" s="1">
        <v>43996.41318940972</v>
      </c>
      <c r="B9835" s="3" t="s">
        <v>186</v>
      </c>
      <c r="C9835" s="2" t="s">
        <v>187</v>
      </c>
    </row>
    <row r="9836">
      <c r="A9836" s="1">
        <v>43996.41350322917</v>
      </c>
      <c r="B9836" s="3" t="s">
        <v>162</v>
      </c>
      <c r="C9836" s="2" t="s">
        <v>163</v>
      </c>
    </row>
    <row r="9837">
      <c r="A9837" s="1">
        <v>43996.41459729167</v>
      </c>
      <c r="B9837" s="2">
        <v>244.0</v>
      </c>
      <c r="C9837" s="2" t="s">
        <v>38</v>
      </c>
    </row>
    <row r="9838">
      <c r="A9838" s="1">
        <v>43996.41703960648</v>
      </c>
      <c r="B9838" s="2">
        <v>257.0</v>
      </c>
      <c r="C9838" s="2" t="s">
        <v>27</v>
      </c>
    </row>
    <row r="9839">
      <c r="A9839" s="1">
        <v>43996.4173797338</v>
      </c>
      <c r="B9839" s="2">
        <v>624.0</v>
      </c>
      <c r="C9839" s="2" t="s">
        <v>90</v>
      </c>
    </row>
    <row r="9840">
      <c r="A9840" s="1">
        <v>43996.41754135417</v>
      </c>
      <c r="B9840" s="3" t="s">
        <v>117</v>
      </c>
      <c r="C9840" s="2" t="s">
        <v>118</v>
      </c>
    </row>
    <row r="9841">
      <c r="A9841" s="1">
        <v>43996.42178402778</v>
      </c>
      <c r="B9841" s="2">
        <v>627.0</v>
      </c>
      <c r="C9841" s="2" t="s">
        <v>134</v>
      </c>
    </row>
    <row r="9842">
      <c r="A9842" s="1">
        <v>43996.4236172338</v>
      </c>
      <c r="B9842" s="2">
        <v>602.0</v>
      </c>
      <c r="C9842" s="2" t="s">
        <v>131</v>
      </c>
    </row>
    <row r="9843">
      <c r="A9843" s="1">
        <v>43996.42409587963</v>
      </c>
      <c r="B9843" s="3" t="s">
        <v>88</v>
      </c>
      <c r="C9843" s="2" t="s">
        <v>89</v>
      </c>
    </row>
    <row r="9844">
      <c r="A9844" s="1">
        <v>43996.4790711574</v>
      </c>
      <c r="B9844" s="2">
        <v>208.0</v>
      </c>
      <c r="C9844" s="2" t="s">
        <v>182</v>
      </c>
    </row>
    <row r="9845">
      <c r="A9845" s="1">
        <v>43996.49067650463</v>
      </c>
      <c r="B9845" s="2">
        <v>267.0</v>
      </c>
      <c r="C9845" s="2" t="s">
        <v>115</v>
      </c>
    </row>
    <row r="9846">
      <c r="A9846" s="1">
        <v>43996.49178820602</v>
      </c>
      <c r="B9846" s="3" t="s">
        <v>44</v>
      </c>
      <c r="C9846" s="2" t="s">
        <v>45</v>
      </c>
    </row>
    <row r="9847">
      <c r="A9847" s="1">
        <v>43996.49201800926</v>
      </c>
      <c r="B9847" s="2">
        <v>677.0</v>
      </c>
      <c r="C9847" s="2" t="s">
        <v>224</v>
      </c>
    </row>
    <row r="9848">
      <c r="A9848" s="1">
        <v>43996.49702920139</v>
      </c>
      <c r="B9848" s="2">
        <v>253.0</v>
      </c>
      <c r="C9848" s="2" t="s">
        <v>138</v>
      </c>
    </row>
    <row r="9849">
      <c r="A9849" s="1">
        <v>43996.504713946764</v>
      </c>
      <c r="B9849" s="2">
        <v>680.0</v>
      </c>
      <c r="C9849" s="2" t="s">
        <v>239</v>
      </c>
    </row>
    <row r="9850">
      <c r="A9850" s="1">
        <v>43996.99944515046</v>
      </c>
      <c r="B9850" s="2">
        <v>604.0</v>
      </c>
      <c r="C9850" s="2" t="s">
        <v>36</v>
      </c>
    </row>
    <row r="9851">
      <c r="A9851" s="1">
        <v>43997.00113988426</v>
      </c>
      <c r="B9851" s="3" t="s">
        <v>42</v>
      </c>
      <c r="C9851" s="2" t="s">
        <v>43</v>
      </c>
    </row>
    <row r="9852">
      <c r="A9852" s="1">
        <v>43997.00144148148</v>
      </c>
      <c r="B9852" s="2">
        <v>735.0</v>
      </c>
      <c r="C9852" s="2" t="s">
        <v>37</v>
      </c>
      <c r="D9852" s="2" t="s">
        <v>5</v>
      </c>
    </row>
    <row r="9853">
      <c r="A9853" s="1">
        <v>43997.00158927083</v>
      </c>
      <c r="B9853" s="2">
        <v>254.0</v>
      </c>
      <c r="C9853" s="2" t="s">
        <v>132</v>
      </c>
    </row>
    <row r="9854">
      <c r="A9854" s="1">
        <v>43997.00270171296</v>
      </c>
      <c r="B9854" s="2">
        <v>655.0</v>
      </c>
      <c r="C9854" s="2" t="s">
        <v>17</v>
      </c>
    </row>
    <row r="9855">
      <c r="A9855" s="1">
        <v>43997.0147655787</v>
      </c>
      <c r="B9855" s="2">
        <v>259.0</v>
      </c>
      <c r="C9855" s="2" t="s">
        <v>66</v>
      </c>
    </row>
    <row r="9856">
      <c r="A9856" s="1">
        <v>43997.015256956016</v>
      </c>
      <c r="B9856" s="2">
        <v>656.0</v>
      </c>
      <c r="C9856" s="2" t="s">
        <v>144</v>
      </c>
    </row>
    <row r="9857">
      <c r="A9857" s="1">
        <v>43997.0155584375</v>
      </c>
      <c r="B9857" s="2">
        <v>259.0</v>
      </c>
      <c r="C9857" s="2" t="s">
        <v>66</v>
      </c>
    </row>
    <row r="9858">
      <c r="A9858" s="1">
        <v>44000.66021313657</v>
      </c>
      <c r="B9858" s="2">
        <v>654.0</v>
      </c>
      <c r="C9858" s="2" t="s">
        <v>115</v>
      </c>
    </row>
    <row r="9859">
      <c r="A9859" s="1">
        <v>44003.40342570602</v>
      </c>
      <c r="B9859" s="2">
        <v>173.0</v>
      </c>
      <c r="C9859" s="2" t="s">
        <v>24</v>
      </c>
    </row>
    <row r="9860">
      <c r="A9860" s="1">
        <v>44003.4037437963</v>
      </c>
      <c r="B9860" s="2">
        <v>231.0</v>
      </c>
      <c r="C9860" s="2" t="s">
        <v>61</v>
      </c>
    </row>
    <row r="9861">
      <c r="A9861" s="1">
        <v>44003.40951920139</v>
      </c>
      <c r="B9861" s="2">
        <v>627.0</v>
      </c>
      <c r="C9861" s="2" t="s">
        <v>134</v>
      </c>
    </row>
    <row r="9862">
      <c r="A9862" s="1">
        <v>44003.40991134259</v>
      </c>
      <c r="B9862" s="2">
        <v>231.0</v>
      </c>
      <c r="C9862" s="2" t="s">
        <v>61</v>
      </c>
    </row>
    <row r="9863">
      <c r="A9863" s="1">
        <v>44003.41001648148</v>
      </c>
      <c r="B9863" s="2">
        <v>253.0</v>
      </c>
      <c r="C9863" s="2" t="s">
        <v>138</v>
      </c>
    </row>
    <row r="9864">
      <c r="A9864" s="1">
        <v>44003.41013790509</v>
      </c>
      <c r="B9864" s="2">
        <v>259.0</v>
      </c>
      <c r="C9864" s="2" t="s">
        <v>66</v>
      </c>
    </row>
    <row r="9865">
      <c r="A9865" s="1">
        <v>44003.41038342593</v>
      </c>
      <c r="B9865" s="2">
        <v>602.0</v>
      </c>
      <c r="C9865" s="2" t="s">
        <v>131</v>
      </c>
    </row>
    <row r="9866">
      <c r="A9866" s="1">
        <v>44003.41491883102</v>
      </c>
      <c r="B9866" s="2">
        <v>257.0</v>
      </c>
      <c r="C9866" s="2" t="s">
        <v>27</v>
      </c>
    </row>
    <row r="9867">
      <c r="A9867" s="1">
        <v>44003.41607065972</v>
      </c>
      <c r="B9867" s="3" t="s">
        <v>44</v>
      </c>
      <c r="C9867" s="2" t="s">
        <v>45</v>
      </c>
    </row>
    <row r="9868">
      <c r="A9868" s="1">
        <v>44003.417366574075</v>
      </c>
      <c r="B9868" s="2">
        <v>604.0</v>
      </c>
      <c r="C9868" s="2" t="s">
        <v>36</v>
      </c>
    </row>
    <row r="9869">
      <c r="A9869" s="1">
        <v>44003.4202037037</v>
      </c>
      <c r="B9869" s="2">
        <v>193.0</v>
      </c>
      <c r="C9869" s="2" t="s">
        <v>30</v>
      </c>
    </row>
    <row r="9870">
      <c r="A9870" s="1">
        <v>44003.420418587964</v>
      </c>
      <c r="B9870" s="2">
        <v>244.0</v>
      </c>
      <c r="C9870" s="2" t="s">
        <v>38</v>
      </c>
    </row>
    <row r="9871">
      <c r="A9871" s="1">
        <v>44003.42402579861</v>
      </c>
      <c r="B9871" s="2">
        <v>210.0</v>
      </c>
      <c r="C9871" s="2" t="s">
        <v>64</v>
      </c>
    </row>
    <row r="9872">
      <c r="A9872" s="1">
        <v>44003.42422572916</v>
      </c>
      <c r="B9872" s="2">
        <v>210.0</v>
      </c>
      <c r="C9872" s="2" t="s">
        <v>64</v>
      </c>
    </row>
    <row r="9873">
      <c r="A9873" s="1">
        <v>44003.42450255787</v>
      </c>
      <c r="B9873" s="2">
        <v>210.0</v>
      </c>
      <c r="C9873" s="2" t="s">
        <v>64</v>
      </c>
    </row>
    <row r="9874">
      <c r="A9874" s="1">
        <v>44003.42450771991</v>
      </c>
      <c r="B9874" s="2">
        <v>271.0</v>
      </c>
      <c r="C9874" s="2" t="s">
        <v>68</v>
      </c>
    </row>
    <row r="9875">
      <c r="A9875" s="1">
        <v>44003.424564155095</v>
      </c>
      <c r="B9875" s="2">
        <v>210.0</v>
      </c>
      <c r="C9875" s="2" t="s">
        <v>64</v>
      </c>
    </row>
    <row r="9876">
      <c r="A9876" s="1">
        <v>44003.424690451386</v>
      </c>
      <c r="B9876" s="2">
        <v>210.0</v>
      </c>
      <c r="C9876" s="2" t="s">
        <v>64</v>
      </c>
    </row>
    <row r="9877">
      <c r="A9877" s="1">
        <v>44003.42488318287</v>
      </c>
      <c r="B9877" s="2">
        <v>262.0</v>
      </c>
      <c r="C9877" s="2" t="s">
        <v>28</v>
      </c>
    </row>
    <row r="9878">
      <c r="A9878" s="1">
        <v>44003.42586603009</v>
      </c>
      <c r="B9878" s="2">
        <v>613.0</v>
      </c>
      <c r="C9878" s="2" t="s">
        <v>124</v>
      </c>
    </row>
    <row r="9879">
      <c r="A9879" s="1">
        <v>44003.42597996528</v>
      </c>
      <c r="B9879" s="2">
        <v>613.0</v>
      </c>
      <c r="C9879" s="2" t="s">
        <v>124</v>
      </c>
    </row>
    <row r="9880">
      <c r="A9880" s="1">
        <v>44003.42618530092</v>
      </c>
      <c r="B9880" s="3" t="s">
        <v>32</v>
      </c>
      <c r="C9880" s="2" t="s">
        <v>33</v>
      </c>
    </row>
    <row r="9881">
      <c r="A9881" s="1">
        <v>44003.42670349537</v>
      </c>
      <c r="B9881" s="3" t="s">
        <v>159</v>
      </c>
      <c r="C9881" s="2" t="s">
        <v>160</v>
      </c>
    </row>
    <row r="9882">
      <c r="A9882" s="1">
        <v>44003.42761547454</v>
      </c>
      <c r="B9882" s="3" t="s">
        <v>80</v>
      </c>
      <c r="C9882" s="2" t="s">
        <v>81</v>
      </c>
    </row>
    <row r="9883">
      <c r="A9883" s="1">
        <v>44003.42791197917</v>
      </c>
      <c r="B9883" s="2">
        <v>208.0</v>
      </c>
      <c r="C9883" s="2" t="s">
        <v>182</v>
      </c>
    </row>
    <row r="9884">
      <c r="A9884" s="1">
        <v>44003.428206192126</v>
      </c>
      <c r="B9884" s="3" t="s">
        <v>184</v>
      </c>
      <c r="C9884" s="2" t="s">
        <v>185</v>
      </c>
    </row>
    <row r="9885">
      <c r="A9885" s="1">
        <v>44003.42844923611</v>
      </c>
      <c r="B9885" s="3" t="s">
        <v>186</v>
      </c>
      <c r="C9885" s="2" t="s">
        <v>187</v>
      </c>
    </row>
    <row r="9886">
      <c r="A9886" s="1">
        <v>44003.42926390046</v>
      </c>
      <c r="B9886" s="3" t="s">
        <v>22</v>
      </c>
      <c r="C9886" s="2" t="s">
        <v>23</v>
      </c>
    </row>
    <row r="9887">
      <c r="A9887" s="1">
        <v>44003.43102202546</v>
      </c>
      <c r="B9887" s="2">
        <v>124.0</v>
      </c>
      <c r="C9887" s="2" t="s">
        <v>107</v>
      </c>
    </row>
    <row r="9888">
      <c r="A9888" s="1">
        <v>44003.43189943287</v>
      </c>
      <c r="B9888" s="2">
        <v>252.0</v>
      </c>
      <c r="C9888" s="2" t="s">
        <v>34</v>
      </c>
    </row>
    <row r="9889">
      <c r="A9889" s="1">
        <v>44003.4322381713</v>
      </c>
      <c r="B9889" s="3" t="s">
        <v>11</v>
      </c>
      <c r="C9889" s="2" t="s">
        <v>12</v>
      </c>
    </row>
    <row r="9890">
      <c r="A9890" s="1">
        <v>44003.43233686342</v>
      </c>
      <c r="B9890" s="3" t="s">
        <v>126</v>
      </c>
      <c r="C9890" s="2" t="s">
        <v>127</v>
      </c>
    </row>
    <row r="9891">
      <c r="A9891" s="1">
        <v>44003.433003750004</v>
      </c>
      <c r="B9891" s="2">
        <v>160.0</v>
      </c>
      <c r="C9891" s="2" t="s">
        <v>154</v>
      </c>
    </row>
    <row r="9892">
      <c r="A9892" s="1">
        <v>44003.43343107639</v>
      </c>
      <c r="B9892" s="2">
        <v>160.0</v>
      </c>
      <c r="C9892" s="2" t="s">
        <v>154</v>
      </c>
    </row>
    <row r="9893">
      <c r="A9893" s="1">
        <v>44003.43343428241</v>
      </c>
      <c r="B9893" s="2">
        <v>611.0</v>
      </c>
      <c r="C9893" s="2" t="s">
        <v>143</v>
      </c>
    </row>
    <row r="9894">
      <c r="A9894" s="1">
        <v>44003.43348423611</v>
      </c>
      <c r="B9894" s="2">
        <v>160.0</v>
      </c>
      <c r="C9894" s="2" t="s">
        <v>154</v>
      </c>
    </row>
    <row r="9895">
      <c r="A9895" s="1">
        <v>44003.43439638889</v>
      </c>
      <c r="B9895" s="2">
        <v>101.0</v>
      </c>
      <c r="C9895" s="2" t="s">
        <v>108</v>
      </c>
    </row>
    <row r="9896">
      <c r="A9896" s="1">
        <v>44003.435079849536</v>
      </c>
      <c r="B9896" s="2">
        <v>52.0</v>
      </c>
      <c r="C9896" s="2" t="s">
        <v>41</v>
      </c>
    </row>
    <row r="9897">
      <c r="A9897" s="1">
        <v>44003.43646773148</v>
      </c>
      <c r="B9897" s="2">
        <v>677.0</v>
      </c>
      <c r="C9897" s="2" t="s">
        <v>224</v>
      </c>
    </row>
    <row r="9898">
      <c r="A9898" s="1">
        <v>44003.43671703704</v>
      </c>
      <c r="B9898" s="2">
        <v>677.0</v>
      </c>
      <c r="C9898" s="2" t="s">
        <v>224</v>
      </c>
    </row>
    <row r="9899">
      <c r="A9899" s="1">
        <v>44003.43844366898</v>
      </c>
      <c r="B9899" s="2">
        <v>267.0</v>
      </c>
      <c r="C9899" s="2" t="s">
        <v>115</v>
      </c>
    </row>
    <row r="9900">
      <c r="A9900" s="1">
        <v>44003.4388181713</v>
      </c>
      <c r="B9900" s="3" t="s">
        <v>88</v>
      </c>
      <c r="C9900" s="2" t="s">
        <v>89</v>
      </c>
    </row>
    <row r="9901">
      <c r="A9901" s="1">
        <v>44003.43945489584</v>
      </c>
      <c r="B9901" s="2">
        <v>655.0</v>
      </c>
      <c r="C9901" s="2" t="s">
        <v>17</v>
      </c>
    </row>
    <row r="9902">
      <c r="A9902" s="1">
        <v>44003.44097766204</v>
      </c>
      <c r="B9902" s="3" t="s">
        <v>103</v>
      </c>
      <c r="C9902" s="2" t="s">
        <v>104</v>
      </c>
    </row>
    <row r="9903">
      <c r="A9903" s="1">
        <v>44003.44129634259</v>
      </c>
      <c r="B9903" s="2">
        <v>158.0</v>
      </c>
      <c r="C9903" s="2" t="s">
        <v>62</v>
      </c>
    </row>
    <row r="9904">
      <c r="A9904" s="1">
        <v>44003.44687215278</v>
      </c>
      <c r="B9904" s="3" t="s">
        <v>42</v>
      </c>
      <c r="C9904" s="2" t="s">
        <v>43</v>
      </c>
    </row>
    <row r="9905">
      <c r="A9905" s="1">
        <v>44003.4542367824</v>
      </c>
      <c r="B9905" s="2">
        <v>680.0</v>
      </c>
      <c r="C9905" s="2" t="s">
        <v>239</v>
      </c>
    </row>
    <row r="9906">
      <c r="A9906" s="1">
        <v>44004.57946238426</v>
      </c>
      <c r="B9906" s="2">
        <v>270.0</v>
      </c>
      <c r="C9906" s="2" t="s">
        <v>153</v>
      </c>
    </row>
    <row r="9907">
      <c r="A9907" s="1">
        <v>44004.579645034726</v>
      </c>
      <c r="B9907" s="2">
        <v>735.0</v>
      </c>
      <c r="C9907" s="2" t="s">
        <v>37</v>
      </c>
      <c r="D9907" s="2" t="s">
        <v>5</v>
      </c>
    </row>
    <row r="9908">
      <c r="A9908" s="1">
        <v>44004.581549016206</v>
      </c>
      <c r="B9908" s="2">
        <v>189.0</v>
      </c>
      <c r="C9908" s="2" t="s">
        <v>128</v>
      </c>
    </row>
    <row r="9909">
      <c r="A9909" s="1">
        <v>44004.58214728009</v>
      </c>
      <c r="B9909" s="2">
        <v>214.0</v>
      </c>
      <c r="C9909" s="2" t="s">
        <v>47</v>
      </c>
    </row>
    <row r="9910">
      <c r="A9910" s="1">
        <v>44004.58263754629</v>
      </c>
      <c r="B9910" s="2">
        <v>614.0</v>
      </c>
      <c r="C9910" s="2" t="s">
        <v>76</v>
      </c>
    </row>
    <row r="9911">
      <c r="A9911" s="1">
        <v>44004.583173680556</v>
      </c>
      <c r="B9911" s="2">
        <v>624.0</v>
      </c>
      <c r="C9911" s="2" t="s">
        <v>90</v>
      </c>
    </row>
    <row r="9912">
      <c r="A9912" s="1">
        <v>44004.66675203704</v>
      </c>
      <c r="B9912" s="2">
        <v>717.0</v>
      </c>
      <c r="C9912" s="2" t="s">
        <v>152</v>
      </c>
      <c r="D9912" s="2" t="s">
        <v>5</v>
      </c>
    </row>
    <row r="9913">
      <c r="A9913" s="1">
        <v>44010.404794849535</v>
      </c>
      <c r="B9913" s="2">
        <v>231.0</v>
      </c>
      <c r="C9913" s="2" t="s">
        <v>61</v>
      </c>
    </row>
    <row r="9914">
      <c r="A9914" s="1">
        <v>44010.410419479165</v>
      </c>
      <c r="B9914" s="2">
        <v>611.0</v>
      </c>
      <c r="C9914" s="2" t="s">
        <v>143</v>
      </c>
    </row>
    <row r="9915">
      <c r="A9915" s="1">
        <v>44010.41188383102</v>
      </c>
      <c r="B9915" s="2">
        <v>618.0</v>
      </c>
      <c r="C9915" s="2" t="s">
        <v>147</v>
      </c>
    </row>
    <row r="9916">
      <c r="A9916" s="1">
        <v>44010.41483650463</v>
      </c>
      <c r="B9916" s="2">
        <v>259.0</v>
      </c>
      <c r="C9916" s="2" t="s">
        <v>66</v>
      </c>
    </row>
    <row r="9917">
      <c r="A9917" s="1">
        <v>44010.41502248842</v>
      </c>
      <c r="B9917" s="2">
        <v>165.0</v>
      </c>
      <c r="C9917" s="2" t="s">
        <v>50</v>
      </c>
    </row>
    <row r="9918">
      <c r="A9918" s="1">
        <v>44010.420585694446</v>
      </c>
      <c r="B9918" s="2">
        <v>189.0</v>
      </c>
      <c r="C9918" s="2" t="s">
        <v>128</v>
      </c>
    </row>
    <row r="9919">
      <c r="A9919" s="1">
        <v>44010.420808587965</v>
      </c>
      <c r="B9919" s="2">
        <v>735.0</v>
      </c>
      <c r="C9919" s="2" t="s">
        <v>37</v>
      </c>
      <c r="D9919" s="2" t="s">
        <v>5</v>
      </c>
    </row>
    <row r="9920">
      <c r="A9920" s="1">
        <v>44010.42259862268</v>
      </c>
      <c r="B9920" s="2">
        <v>231.0</v>
      </c>
      <c r="C9920" s="2" t="s">
        <v>61</v>
      </c>
    </row>
    <row r="9921">
      <c r="A9921" s="1">
        <v>44010.42403275463</v>
      </c>
      <c r="B9921" s="2">
        <v>656.0</v>
      </c>
      <c r="C9921" s="2" t="s">
        <v>144</v>
      </c>
    </row>
    <row r="9922">
      <c r="A9922" s="1">
        <v>44010.42493982639</v>
      </c>
      <c r="B9922" s="2">
        <v>173.0</v>
      </c>
      <c r="C9922" s="2" t="s">
        <v>24</v>
      </c>
    </row>
    <row r="9923">
      <c r="A9923" s="1">
        <v>44010.42585085648</v>
      </c>
      <c r="B9923" s="3" t="s">
        <v>80</v>
      </c>
      <c r="C9923" s="2" t="s">
        <v>81</v>
      </c>
    </row>
    <row r="9924">
      <c r="A9924" s="1">
        <v>44010.42722881945</v>
      </c>
      <c r="B9924" s="2">
        <v>208.0</v>
      </c>
      <c r="C9924" s="2" t="s">
        <v>182</v>
      </c>
    </row>
    <row r="9925">
      <c r="A9925" s="1">
        <v>44010.427755717596</v>
      </c>
      <c r="B9925" s="2">
        <v>244.0</v>
      </c>
      <c r="C9925" s="2" t="s">
        <v>38</v>
      </c>
    </row>
    <row r="9926">
      <c r="A9926" s="1">
        <v>44010.42914591436</v>
      </c>
      <c r="B9926" s="3" t="s">
        <v>32</v>
      </c>
      <c r="C9926" s="2" t="s">
        <v>33</v>
      </c>
    </row>
    <row r="9927">
      <c r="A9927" s="1">
        <v>44010.42929998843</v>
      </c>
      <c r="B9927" s="2">
        <v>613.0</v>
      </c>
      <c r="C9927" s="2" t="s">
        <v>124</v>
      </c>
    </row>
    <row r="9928">
      <c r="A9928" s="1">
        <v>44010.43003740741</v>
      </c>
      <c r="B9928" s="2">
        <v>604.0</v>
      </c>
      <c r="C9928" s="2" t="s">
        <v>36</v>
      </c>
    </row>
    <row r="9929">
      <c r="A9929" s="1">
        <v>44010.43120101852</v>
      </c>
      <c r="B9929" s="2">
        <v>603.0</v>
      </c>
      <c r="C9929" s="2" t="s">
        <v>40</v>
      </c>
    </row>
    <row r="9930">
      <c r="A9930" s="1">
        <v>44010.431393252315</v>
      </c>
      <c r="B9930" s="2">
        <v>167.0</v>
      </c>
      <c r="C9930" s="2" t="s">
        <v>39</v>
      </c>
    </row>
    <row r="9931">
      <c r="A9931" s="1">
        <v>44010.43165537037</v>
      </c>
      <c r="B9931" s="2">
        <v>262.0</v>
      </c>
      <c r="C9931" s="2" t="s">
        <v>28</v>
      </c>
    </row>
    <row r="9932">
      <c r="A9932" s="1">
        <v>44010.43174496527</v>
      </c>
      <c r="B9932" s="2">
        <v>271.0</v>
      </c>
      <c r="C9932" s="2" t="s">
        <v>68</v>
      </c>
    </row>
    <row r="9933">
      <c r="A9933" s="1">
        <v>44010.43234484954</v>
      </c>
      <c r="B9933" s="2">
        <v>614.0</v>
      </c>
      <c r="C9933" s="2" t="s">
        <v>76</v>
      </c>
    </row>
    <row r="9934">
      <c r="A9934" s="1">
        <v>44010.432459930555</v>
      </c>
      <c r="B9934" s="2">
        <v>627.0</v>
      </c>
      <c r="C9934" s="2" t="s">
        <v>134</v>
      </c>
    </row>
    <row r="9935">
      <c r="A9935" s="1">
        <v>44010.43315253472</v>
      </c>
      <c r="B9935" s="2">
        <v>717.0</v>
      </c>
      <c r="C9935" s="2" t="s">
        <v>152</v>
      </c>
      <c r="D9935" s="2" t="s">
        <v>5</v>
      </c>
    </row>
    <row r="9936">
      <c r="A9936" s="1">
        <v>44010.433291759255</v>
      </c>
      <c r="B9936" s="2">
        <v>210.0</v>
      </c>
      <c r="C9936" s="2" t="s">
        <v>64</v>
      </c>
    </row>
    <row r="9937">
      <c r="A9937" s="1">
        <v>44010.433469895834</v>
      </c>
      <c r="B9937" s="3" t="s">
        <v>159</v>
      </c>
      <c r="C9937" s="2" t="s">
        <v>160</v>
      </c>
    </row>
    <row r="9938">
      <c r="A9938" s="1">
        <v>44010.43445542824</v>
      </c>
      <c r="B9938" s="2">
        <v>201.0</v>
      </c>
      <c r="C9938" s="2" t="s">
        <v>70</v>
      </c>
    </row>
    <row r="9939">
      <c r="A9939" s="1">
        <v>44010.4351012963</v>
      </c>
      <c r="B9939" s="3" t="s">
        <v>22</v>
      </c>
      <c r="C9939" s="2" t="s">
        <v>23</v>
      </c>
    </row>
    <row r="9940">
      <c r="A9940" s="1">
        <v>44010.435866875</v>
      </c>
      <c r="B9940" s="2">
        <v>193.0</v>
      </c>
      <c r="C9940" s="2" t="s">
        <v>30</v>
      </c>
    </row>
    <row r="9941">
      <c r="A9941" s="1">
        <v>44010.43680865741</v>
      </c>
      <c r="B9941" s="2">
        <v>270.0</v>
      </c>
      <c r="C9941" s="2" t="s">
        <v>153</v>
      </c>
    </row>
    <row r="9942">
      <c r="A9942" s="1">
        <v>44010.43771989583</v>
      </c>
      <c r="B9942" s="2">
        <v>677.0</v>
      </c>
      <c r="C9942" s="2" t="s">
        <v>224</v>
      </c>
    </row>
    <row r="9943">
      <c r="A9943" s="1">
        <v>44010.43793561343</v>
      </c>
      <c r="B9943" s="2">
        <v>253.0</v>
      </c>
      <c r="C9943" s="2" t="s">
        <v>138</v>
      </c>
    </row>
    <row r="9944">
      <c r="A9944" s="1">
        <v>44010.438242118056</v>
      </c>
      <c r="B9944" s="2">
        <v>193.0</v>
      </c>
      <c r="C9944" s="2" t="s">
        <v>30</v>
      </c>
    </row>
    <row r="9945">
      <c r="A9945" s="1">
        <v>44010.43923229167</v>
      </c>
      <c r="B9945" s="3" t="s">
        <v>103</v>
      </c>
      <c r="C9945" s="2" t="s">
        <v>104</v>
      </c>
    </row>
    <row r="9946">
      <c r="A9946" s="1">
        <v>44010.43991292824</v>
      </c>
      <c r="B9946" s="3" t="s">
        <v>184</v>
      </c>
      <c r="C9946" s="2" t="s">
        <v>185</v>
      </c>
    </row>
    <row r="9947">
      <c r="A9947" s="1">
        <v>44010.44003677083</v>
      </c>
      <c r="B9947" s="3" t="s">
        <v>186</v>
      </c>
      <c r="C9947" s="2" t="s">
        <v>187</v>
      </c>
    </row>
    <row r="9948">
      <c r="A9948" s="1">
        <v>44010.44081796297</v>
      </c>
      <c r="B9948" s="2">
        <v>655.0</v>
      </c>
      <c r="C9948" s="2" t="s">
        <v>17</v>
      </c>
    </row>
    <row r="9949">
      <c r="A9949" s="1">
        <v>44010.441006493056</v>
      </c>
      <c r="B9949" s="2">
        <v>219.0</v>
      </c>
      <c r="C9949" s="2" t="s">
        <v>31</v>
      </c>
    </row>
    <row r="9950">
      <c r="A9950" s="1">
        <v>44010.44137697917</v>
      </c>
      <c r="B9950" s="2">
        <v>207.0</v>
      </c>
      <c r="C9950" s="2" t="s">
        <v>85</v>
      </c>
    </row>
    <row r="9951">
      <c r="A9951" s="1">
        <v>44010.44206502315</v>
      </c>
      <c r="B9951" s="2">
        <v>52.0</v>
      </c>
      <c r="C9951" s="2" t="s">
        <v>41</v>
      </c>
    </row>
    <row r="9952">
      <c r="A9952" s="1">
        <v>44010.44285101852</v>
      </c>
      <c r="B9952" s="2">
        <v>602.0</v>
      </c>
      <c r="C9952" s="2" t="s">
        <v>131</v>
      </c>
    </row>
    <row r="9953">
      <c r="A9953" s="1">
        <v>44010.44299671296</v>
      </c>
      <c r="B9953" s="3" t="s">
        <v>88</v>
      </c>
      <c r="C9953" s="2" t="s">
        <v>89</v>
      </c>
    </row>
    <row r="9954">
      <c r="A9954" s="1">
        <v>44010.452806898145</v>
      </c>
      <c r="B9954" s="3" t="s">
        <v>103</v>
      </c>
      <c r="C9954" s="2" t="s">
        <v>104</v>
      </c>
    </row>
    <row r="9955">
      <c r="A9955" s="1">
        <v>44010.453390532406</v>
      </c>
      <c r="B9955" s="2">
        <v>680.0</v>
      </c>
      <c r="C9955" s="2" t="s">
        <v>239</v>
      </c>
    </row>
    <row r="9956">
      <c r="A9956" s="1">
        <v>44013.533736701385</v>
      </c>
      <c r="B9956" s="2">
        <v>244.0</v>
      </c>
      <c r="C9956" s="2" t="s">
        <v>38</v>
      </c>
    </row>
    <row r="9957">
      <c r="A9957" s="1">
        <v>44013.53493001158</v>
      </c>
      <c r="B9957" s="2">
        <v>643.0</v>
      </c>
      <c r="C9957" s="2" t="s">
        <v>166</v>
      </c>
    </row>
    <row r="9958">
      <c r="A9958" s="1">
        <v>44013.535143182875</v>
      </c>
      <c r="B9958" s="3" t="s">
        <v>103</v>
      </c>
      <c r="C9958" s="2" t="s">
        <v>104</v>
      </c>
    </row>
    <row r="9959">
      <c r="A9959" s="1">
        <v>44013.535401863424</v>
      </c>
      <c r="B9959" s="3" t="s">
        <v>169</v>
      </c>
      <c r="C9959" s="2" t="s">
        <v>170</v>
      </c>
    </row>
    <row r="9960">
      <c r="A9960" s="1">
        <v>44013.876212372685</v>
      </c>
      <c r="B9960" s="2">
        <v>160.0</v>
      </c>
      <c r="C9960" s="2" t="s">
        <v>154</v>
      </c>
    </row>
    <row r="9961">
      <c r="A9961" s="1">
        <v>44016.511186550924</v>
      </c>
      <c r="B9961" s="2">
        <v>273.0</v>
      </c>
      <c r="C9961" s="2" t="s">
        <v>241</v>
      </c>
    </row>
    <row r="9962">
      <c r="A9962" s="1">
        <v>44016.51630398148</v>
      </c>
      <c r="B9962" s="2">
        <v>274.0</v>
      </c>
      <c r="C9962" s="2" t="s">
        <v>144</v>
      </c>
    </row>
    <row r="9963">
      <c r="A9963" s="1">
        <v>44016.5186637963</v>
      </c>
      <c r="B9963" s="2">
        <v>273.0</v>
      </c>
      <c r="C9963" s="2" t="s">
        <v>241</v>
      </c>
    </row>
    <row r="9964">
      <c r="A9964" s="1">
        <v>44016.518718391206</v>
      </c>
      <c r="B9964" s="2">
        <v>274.0</v>
      </c>
      <c r="C9964" s="2" t="s">
        <v>144</v>
      </c>
    </row>
    <row r="9965">
      <c r="A9965" s="1">
        <v>44016.51882175926</v>
      </c>
      <c r="B9965" s="2">
        <v>656.0</v>
      </c>
      <c r="C9965" s="2" t="s">
        <v>144</v>
      </c>
    </row>
    <row r="9966">
      <c r="A9966" s="1">
        <v>44017.39974273148</v>
      </c>
      <c r="B9966" s="2">
        <v>274.0</v>
      </c>
      <c r="C9966" s="2" t="s">
        <v>144</v>
      </c>
    </row>
    <row r="9967">
      <c r="A9967" s="1">
        <v>44017.3999620949</v>
      </c>
      <c r="B9967" s="2">
        <v>231.0</v>
      </c>
      <c r="C9967" s="2" t="s">
        <v>61</v>
      </c>
    </row>
    <row r="9968">
      <c r="A9968" s="1">
        <v>44017.400169016204</v>
      </c>
      <c r="B9968" s="2">
        <v>244.0</v>
      </c>
      <c r="C9968" s="2" t="s">
        <v>38</v>
      </c>
    </row>
    <row r="9969">
      <c r="A9969" s="1">
        <v>44017.40035753472</v>
      </c>
      <c r="B9969" s="2">
        <v>655.0</v>
      </c>
      <c r="C9969" s="2" t="s">
        <v>17</v>
      </c>
    </row>
    <row r="9970">
      <c r="A9970" s="1">
        <v>44017.40062274305</v>
      </c>
      <c r="B9970" s="2">
        <v>167.0</v>
      </c>
      <c r="C9970" s="2" t="s">
        <v>39</v>
      </c>
    </row>
    <row r="9971">
      <c r="A9971" s="1">
        <v>44017.40099630787</v>
      </c>
      <c r="B9971" s="2">
        <v>193.0</v>
      </c>
      <c r="C9971" s="2" t="s">
        <v>30</v>
      </c>
    </row>
    <row r="9972">
      <c r="A9972" s="1">
        <v>44017.408902916664</v>
      </c>
      <c r="B9972" s="2">
        <v>259.0</v>
      </c>
      <c r="C9972" s="2" t="s">
        <v>66</v>
      </c>
    </row>
    <row r="9973">
      <c r="A9973" s="1">
        <v>44017.40902375</v>
      </c>
      <c r="B9973" s="2">
        <v>254.0</v>
      </c>
      <c r="C9973" s="2" t="s">
        <v>132</v>
      </c>
    </row>
    <row r="9974">
      <c r="A9974" s="1">
        <v>44017.40958959491</v>
      </c>
      <c r="B9974" s="2">
        <v>614.0</v>
      </c>
      <c r="C9974" s="2" t="s">
        <v>76</v>
      </c>
    </row>
    <row r="9975">
      <c r="A9975" s="1">
        <v>44017.40982530093</v>
      </c>
      <c r="B9975" s="2">
        <v>173.0</v>
      </c>
      <c r="C9975" s="2" t="s">
        <v>24</v>
      </c>
    </row>
    <row r="9976">
      <c r="A9976" s="1">
        <v>44017.41195303241</v>
      </c>
      <c r="B9976" s="2">
        <v>604.0</v>
      </c>
      <c r="C9976" s="2" t="s">
        <v>36</v>
      </c>
    </row>
    <row r="9977">
      <c r="A9977" s="1">
        <v>44017.417036493054</v>
      </c>
      <c r="B9977" s="2">
        <v>165.0</v>
      </c>
      <c r="C9977" s="2" t="s">
        <v>50</v>
      </c>
    </row>
    <row r="9978">
      <c r="A9978" s="1">
        <v>44017.41727475694</v>
      </c>
      <c r="B9978" s="2">
        <v>618.0</v>
      </c>
      <c r="C9978" s="2" t="s">
        <v>147</v>
      </c>
    </row>
    <row r="9979">
      <c r="A9979" s="1">
        <v>44017.41998953704</v>
      </c>
      <c r="B9979" s="2">
        <v>627.0</v>
      </c>
      <c r="C9979" s="2" t="s">
        <v>134</v>
      </c>
    </row>
    <row r="9980">
      <c r="A9980" s="1">
        <v>44017.420518576386</v>
      </c>
      <c r="B9980" s="2">
        <v>167.0</v>
      </c>
      <c r="C9980" s="2" t="s">
        <v>39</v>
      </c>
    </row>
    <row r="9981">
      <c r="A9981" s="1">
        <v>44017.42103186343</v>
      </c>
      <c r="B9981" s="2">
        <v>167.0</v>
      </c>
      <c r="C9981" s="2" t="s">
        <v>39</v>
      </c>
    </row>
    <row r="9982">
      <c r="A9982" s="1">
        <v>44017.42117996528</v>
      </c>
      <c r="B9982" s="2">
        <v>193.0</v>
      </c>
      <c r="C9982" s="2" t="s">
        <v>30</v>
      </c>
    </row>
    <row r="9983">
      <c r="A9983" s="1">
        <v>44017.42147273148</v>
      </c>
      <c r="B9983" s="2">
        <v>655.0</v>
      </c>
      <c r="C9983" s="2" t="s">
        <v>17</v>
      </c>
    </row>
    <row r="9984">
      <c r="A9984" s="1">
        <v>44017.42160400463</v>
      </c>
      <c r="B9984" s="2">
        <v>618.0</v>
      </c>
      <c r="C9984" s="2" t="s">
        <v>147</v>
      </c>
    </row>
    <row r="9985">
      <c r="A9985" s="1">
        <v>44017.42194193287</v>
      </c>
      <c r="B9985" s="2">
        <v>210.0</v>
      </c>
      <c r="C9985" s="2" t="s">
        <v>64</v>
      </c>
    </row>
    <row r="9986">
      <c r="A9986" s="1">
        <v>44017.42231900463</v>
      </c>
      <c r="B9986" s="2">
        <v>274.0</v>
      </c>
      <c r="C9986" s="2" t="s">
        <v>144</v>
      </c>
    </row>
    <row r="9987">
      <c r="A9987" s="1">
        <v>44017.4225459838</v>
      </c>
      <c r="B9987" s="2">
        <v>219.0</v>
      </c>
      <c r="C9987" s="2" t="s">
        <v>31</v>
      </c>
    </row>
    <row r="9988">
      <c r="A9988" s="1">
        <v>44017.42301972222</v>
      </c>
      <c r="B9988" s="3" t="s">
        <v>88</v>
      </c>
      <c r="C9988" s="2" t="s">
        <v>89</v>
      </c>
    </row>
    <row r="9989">
      <c r="A9989" s="1">
        <v>44017.42311127315</v>
      </c>
      <c r="B9989" s="3" t="s">
        <v>22</v>
      </c>
      <c r="C9989" s="2" t="s">
        <v>23</v>
      </c>
    </row>
    <row r="9990">
      <c r="A9990" s="1">
        <v>44017.42333340278</v>
      </c>
      <c r="B9990" s="2">
        <v>173.0</v>
      </c>
      <c r="C9990" s="2" t="s">
        <v>24</v>
      </c>
    </row>
    <row r="9991">
      <c r="A9991" s="1">
        <v>44017.42350152778</v>
      </c>
      <c r="B9991" s="2">
        <v>259.0</v>
      </c>
      <c r="C9991" s="2" t="s">
        <v>66</v>
      </c>
    </row>
    <row r="9992">
      <c r="A9992" s="1">
        <v>44017.4237228125</v>
      </c>
      <c r="B9992" s="2">
        <v>207.0</v>
      </c>
      <c r="C9992" s="2" t="s">
        <v>85</v>
      </c>
    </row>
    <row r="9993">
      <c r="A9993" s="1">
        <v>44017.423909571764</v>
      </c>
      <c r="B9993" s="3" t="s">
        <v>159</v>
      </c>
      <c r="C9993" s="2" t="s">
        <v>160</v>
      </c>
    </row>
    <row r="9994">
      <c r="A9994" s="1">
        <v>44017.42489126157</v>
      </c>
      <c r="B9994" s="2">
        <v>254.0</v>
      </c>
      <c r="C9994" s="2" t="s">
        <v>132</v>
      </c>
    </row>
    <row r="9995">
      <c r="A9995" s="1">
        <v>44017.425002592594</v>
      </c>
      <c r="B9995" s="2">
        <v>244.0</v>
      </c>
      <c r="C9995" s="2" t="s">
        <v>38</v>
      </c>
    </row>
    <row r="9996">
      <c r="A9996" s="1">
        <v>44017.425152916665</v>
      </c>
      <c r="B9996" s="2">
        <v>614.0</v>
      </c>
      <c r="C9996" s="2" t="s">
        <v>76</v>
      </c>
    </row>
    <row r="9997">
      <c r="A9997" s="1">
        <v>44017.42559943287</v>
      </c>
      <c r="B9997" s="2">
        <v>165.0</v>
      </c>
      <c r="C9997" s="2" t="s">
        <v>50</v>
      </c>
    </row>
    <row r="9998">
      <c r="A9998" s="1">
        <v>44017.426873125005</v>
      </c>
      <c r="B9998" s="2">
        <v>613.0</v>
      </c>
      <c r="C9998" s="2" t="s">
        <v>124</v>
      </c>
    </row>
    <row r="9999">
      <c r="A9999" s="1">
        <v>44017.42747967593</v>
      </c>
      <c r="B9999" s="2">
        <v>735.0</v>
      </c>
      <c r="C9999" s="2" t="s">
        <v>37</v>
      </c>
      <c r="D9999" s="2" t="s">
        <v>5</v>
      </c>
    </row>
    <row r="10000">
      <c r="A10000" s="1">
        <v>44017.427813726856</v>
      </c>
      <c r="B10000" s="2">
        <v>208.0</v>
      </c>
      <c r="C10000" s="2" t="s">
        <v>182</v>
      </c>
    </row>
    <row r="10001">
      <c r="A10001" s="1">
        <v>44017.42851570602</v>
      </c>
      <c r="B10001" s="3" t="s">
        <v>80</v>
      </c>
      <c r="C10001" s="2" t="s">
        <v>81</v>
      </c>
    </row>
    <row r="10002">
      <c r="A10002" s="1">
        <v>44017.43348166667</v>
      </c>
      <c r="B10002" s="3" t="s">
        <v>80</v>
      </c>
      <c r="C10002" s="2" t="s">
        <v>81</v>
      </c>
    </row>
    <row r="10003">
      <c r="A10003" s="1">
        <v>44017.43348166667</v>
      </c>
      <c r="B10003" s="2">
        <v>643.0</v>
      </c>
      <c r="C10003" s="2" t="s">
        <v>166</v>
      </c>
    </row>
    <row r="10004">
      <c r="A10004" s="1">
        <v>44017.43355287037</v>
      </c>
      <c r="B10004" s="3" t="s">
        <v>80</v>
      </c>
      <c r="C10004" s="2" t="s">
        <v>81</v>
      </c>
    </row>
    <row r="10005">
      <c r="A10005" s="1">
        <v>44017.43465835648</v>
      </c>
      <c r="B10005" s="3" t="s">
        <v>32</v>
      </c>
      <c r="C10005" s="2" t="s">
        <v>33</v>
      </c>
    </row>
    <row r="10006">
      <c r="A10006" s="1">
        <v>44017.43503840278</v>
      </c>
      <c r="B10006" s="3" t="s">
        <v>44</v>
      </c>
      <c r="C10006" s="2" t="s">
        <v>45</v>
      </c>
    </row>
    <row r="10007">
      <c r="A10007" s="1">
        <v>44017.43532927083</v>
      </c>
      <c r="B10007" s="2">
        <v>271.0</v>
      </c>
      <c r="C10007" s="2" t="s">
        <v>68</v>
      </c>
    </row>
    <row r="10008">
      <c r="A10008" s="1">
        <v>44017.435735694446</v>
      </c>
      <c r="B10008" s="2">
        <v>172.0</v>
      </c>
      <c r="C10008" s="2" t="s">
        <v>65</v>
      </c>
    </row>
    <row r="10009">
      <c r="A10009" s="1">
        <v>44017.43593221065</v>
      </c>
      <c r="B10009" s="2">
        <v>611.0</v>
      </c>
      <c r="C10009" s="2" t="s">
        <v>143</v>
      </c>
    </row>
    <row r="10010">
      <c r="A10010" s="1">
        <v>44017.43607326389</v>
      </c>
      <c r="B10010" s="2">
        <v>677.0</v>
      </c>
      <c r="C10010" s="2" t="s">
        <v>224</v>
      </c>
    </row>
    <row r="10011">
      <c r="A10011" s="1">
        <v>44017.43648802083</v>
      </c>
      <c r="B10011" s="2">
        <v>101.0</v>
      </c>
      <c r="C10011" s="2" t="s">
        <v>108</v>
      </c>
    </row>
    <row r="10012">
      <c r="A10012" s="1">
        <v>44017.43701768518</v>
      </c>
      <c r="B10012" s="3" t="s">
        <v>113</v>
      </c>
      <c r="C10012" s="2" t="s">
        <v>114</v>
      </c>
    </row>
    <row r="10013">
      <c r="A10013" s="1">
        <v>44017.437188888885</v>
      </c>
      <c r="B10013" s="2">
        <v>624.0</v>
      </c>
      <c r="C10013" s="2" t="s">
        <v>90</v>
      </c>
    </row>
    <row r="10014">
      <c r="A10014" s="1">
        <v>44017.43760046296</v>
      </c>
      <c r="B10014" s="2">
        <v>201.0</v>
      </c>
      <c r="C10014" s="2" t="s">
        <v>70</v>
      </c>
    </row>
    <row r="10015">
      <c r="A10015" s="1">
        <v>44017.440235752314</v>
      </c>
      <c r="B10015" s="2">
        <v>680.0</v>
      </c>
      <c r="C10015" s="2" t="s">
        <v>239</v>
      </c>
    </row>
    <row r="10016">
      <c r="A10016" s="1">
        <v>44017.442386400464</v>
      </c>
      <c r="B10016" s="3" t="s">
        <v>169</v>
      </c>
      <c r="C10016" s="2" t="s">
        <v>170</v>
      </c>
    </row>
    <row r="10017">
      <c r="A10017" s="1">
        <v>44017.44442140046</v>
      </c>
      <c r="B10017" s="3" t="s">
        <v>103</v>
      </c>
      <c r="C10017" s="2" t="s">
        <v>104</v>
      </c>
    </row>
    <row r="10018">
      <c r="A10018" s="1">
        <v>44017.44601837963</v>
      </c>
      <c r="B10018" s="2">
        <v>672.0</v>
      </c>
      <c r="C10018" s="2" t="s">
        <v>6</v>
      </c>
    </row>
    <row r="10019">
      <c r="A10019" s="1">
        <v>44018.760239745374</v>
      </c>
      <c r="B10019" s="2">
        <v>603.0</v>
      </c>
      <c r="C10019" s="2" t="s">
        <v>40</v>
      </c>
    </row>
    <row r="10020">
      <c r="A10020" s="1">
        <v>44018.76033482639</v>
      </c>
      <c r="B10020" s="2">
        <v>267.0</v>
      </c>
      <c r="C10020" s="2" t="s">
        <v>115</v>
      </c>
    </row>
    <row r="10021">
      <c r="A10021" s="1">
        <v>44018.76043934027</v>
      </c>
      <c r="B10021" s="2">
        <v>252.0</v>
      </c>
      <c r="C10021" s="2" t="s">
        <v>34</v>
      </c>
    </row>
    <row r="10022">
      <c r="A10022" s="1">
        <v>44018.760564027776</v>
      </c>
      <c r="B10022" s="3" t="s">
        <v>126</v>
      </c>
      <c r="C10022" s="2" t="s">
        <v>127</v>
      </c>
    </row>
    <row r="10023">
      <c r="A10023" s="1">
        <v>44018.76066763889</v>
      </c>
      <c r="B10023" s="3" t="s">
        <v>88</v>
      </c>
      <c r="C10023" s="2" t="s">
        <v>89</v>
      </c>
    </row>
    <row r="10024">
      <c r="A10024" s="1">
        <v>44018.760778020835</v>
      </c>
      <c r="B10024" s="3" t="s">
        <v>80</v>
      </c>
      <c r="C10024" s="2" t="s">
        <v>81</v>
      </c>
    </row>
    <row r="10025">
      <c r="A10025" s="1">
        <v>44116.627047013884</v>
      </c>
      <c r="B10025" s="3" t="s">
        <v>44</v>
      </c>
      <c r="C10025" s="2" t="s">
        <v>45</v>
      </c>
    </row>
    <row r="10026">
      <c r="A10026" s="1">
        <v>44116.627263981485</v>
      </c>
      <c r="B10026" s="2">
        <v>655.0</v>
      </c>
      <c r="C10026" s="2" t="s">
        <v>17</v>
      </c>
    </row>
    <row r="10027">
      <c r="A10027" s="1">
        <v>44116.627523194446</v>
      </c>
      <c r="B10027" s="3" t="s">
        <v>159</v>
      </c>
      <c r="C10027" s="2" t="s">
        <v>160</v>
      </c>
    </row>
    <row r="10028">
      <c r="A10028" s="1">
        <v>44116.63311663194</v>
      </c>
      <c r="B10028" s="2">
        <v>611.0</v>
      </c>
      <c r="C10028" s="2" t="s">
        <v>143</v>
      </c>
    </row>
    <row r="10029">
      <c r="A10029" s="1">
        <v>44116.63345100694</v>
      </c>
      <c r="B10029" s="2">
        <v>274.0</v>
      </c>
      <c r="C10029" s="2" t="s">
        <v>144</v>
      </c>
    </row>
    <row r="10030">
      <c r="A10030" s="1">
        <v>44116.63355795139</v>
      </c>
      <c r="B10030" s="2">
        <v>231.0</v>
      </c>
      <c r="C10030" s="2" t="s">
        <v>61</v>
      </c>
    </row>
    <row r="10031">
      <c r="A10031" s="1">
        <v>44116.63425185185</v>
      </c>
      <c r="B10031" s="3" t="s">
        <v>103</v>
      </c>
      <c r="C10031" s="2" t="s">
        <v>104</v>
      </c>
    </row>
    <row r="10032">
      <c r="A10032" s="1">
        <v>44116.63436225694</v>
      </c>
      <c r="B10032" s="2">
        <v>273.0</v>
      </c>
      <c r="C10032" s="2" t="s">
        <v>241</v>
      </c>
    </row>
    <row r="10033">
      <c r="A10033" s="1">
        <v>44116.63446420139</v>
      </c>
      <c r="B10033" s="2">
        <v>246.0</v>
      </c>
      <c r="C10033" s="2" t="s">
        <v>26</v>
      </c>
    </row>
    <row r="10034">
      <c r="A10034" s="1">
        <v>44116.63471734954</v>
      </c>
      <c r="B10034" s="2">
        <v>722.0</v>
      </c>
      <c r="C10034" s="2" t="s">
        <v>25</v>
      </c>
      <c r="D10034" s="2" t="s">
        <v>5</v>
      </c>
    </row>
    <row r="10035">
      <c r="A10035" s="1">
        <v>44116.63480778935</v>
      </c>
      <c r="B10035" s="2">
        <v>167.0</v>
      </c>
      <c r="C10035" s="2" t="s">
        <v>39</v>
      </c>
    </row>
    <row r="10036">
      <c r="A10036" s="1">
        <v>44116.636118703704</v>
      </c>
      <c r="B10036" s="2">
        <v>604.0</v>
      </c>
      <c r="C10036" s="2" t="s">
        <v>36</v>
      </c>
    </row>
    <row r="10037">
      <c r="A10037" s="1">
        <v>44116.636872118055</v>
      </c>
      <c r="B10037" s="2">
        <v>271.0</v>
      </c>
      <c r="C10037" s="2" t="s">
        <v>68</v>
      </c>
    </row>
    <row r="10038">
      <c r="A10038" s="1">
        <v>44116.63710302083</v>
      </c>
      <c r="B10038" s="3" t="s">
        <v>32</v>
      </c>
      <c r="C10038" s="2" t="s">
        <v>33</v>
      </c>
    </row>
    <row r="10039">
      <c r="A10039" s="1">
        <v>44116.63727586805</v>
      </c>
      <c r="B10039" s="2">
        <v>613.0</v>
      </c>
      <c r="C10039" s="2" t="s">
        <v>124</v>
      </c>
    </row>
    <row r="10040">
      <c r="A10040" s="1">
        <v>44116.63767306713</v>
      </c>
      <c r="B10040" s="3" t="s">
        <v>111</v>
      </c>
      <c r="C10040" s="2" t="s">
        <v>112</v>
      </c>
    </row>
    <row r="10041">
      <c r="A10041" s="1">
        <v>44116.63791618055</v>
      </c>
      <c r="B10041" s="2">
        <v>627.0</v>
      </c>
      <c r="C10041" s="2" t="s">
        <v>134</v>
      </c>
    </row>
    <row r="10042">
      <c r="A10042" s="1">
        <v>44116.638108750005</v>
      </c>
      <c r="B10042" s="2">
        <v>735.0</v>
      </c>
      <c r="C10042" s="2" t="s">
        <v>37</v>
      </c>
      <c r="D10042" s="2" t="s">
        <v>5</v>
      </c>
    </row>
    <row r="10043">
      <c r="A10043" s="1">
        <v>44116.63866166667</v>
      </c>
      <c r="B10043" s="2">
        <v>173.0</v>
      </c>
      <c r="C10043" s="2" t="s">
        <v>24</v>
      </c>
    </row>
    <row r="10044">
      <c r="A10044" s="1">
        <v>44116.638931863425</v>
      </c>
      <c r="B10044" s="3" t="s">
        <v>169</v>
      </c>
      <c r="C10044" s="2" t="s">
        <v>170</v>
      </c>
    </row>
    <row r="10045">
      <c r="A10045" s="1">
        <v>44116.63938258102</v>
      </c>
      <c r="B10045" s="2">
        <v>70.0</v>
      </c>
      <c r="C10045" s="2" t="s">
        <v>183</v>
      </c>
    </row>
    <row r="10046">
      <c r="A10046" s="1">
        <v>44116.63952030093</v>
      </c>
      <c r="B10046" s="3" t="s">
        <v>126</v>
      </c>
      <c r="C10046" s="2" t="s">
        <v>127</v>
      </c>
    </row>
    <row r="10047">
      <c r="A10047" s="1">
        <v>44116.63979730324</v>
      </c>
      <c r="B10047" s="2">
        <v>208.0</v>
      </c>
      <c r="C10047" s="2" t="s">
        <v>182</v>
      </c>
    </row>
    <row r="10048">
      <c r="A10048" s="1">
        <v>44116.63989883102</v>
      </c>
      <c r="B10048" s="3" t="s">
        <v>80</v>
      </c>
      <c r="C10048" s="2" t="s">
        <v>81</v>
      </c>
    </row>
    <row r="10049">
      <c r="A10049" s="1">
        <v>44116.63993704861</v>
      </c>
      <c r="B10049" s="3" t="s">
        <v>51</v>
      </c>
      <c r="C10049" s="2" t="s">
        <v>52</v>
      </c>
    </row>
    <row r="10050">
      <c r="A10050" s="1">
        <v>44116.64027234954</v>
      </c>
      <c r="B10050" s="2">
        <v>229.0</v>
      </c>
      <c r="C10050" s="2" t="s">
        <v>86</v>
      </c>
    </row>
    <row r="10051">
      <c r="A10051" s="1">
        <v>44116.64048873843</v>
      </c>
      <c r="B10051" s="3" t="s">
        <v>42</v>
      </c>
      <c r="C10051" s="2" t="s">
        <v>43</v>
      </c>
    </row>
    <row r="10052">
      <c r="A10052" s="1">
        <v>44116.64213925926</v>
      </c>
      <c r="B10052" s="2">
        <v>124.0</v>
      </c>
      <c r="C10052" s="2" t="s">
        <v>107</v>
      </c>
    </row>
    <row r="10053">
      <c r="A10053" s="1">
        <v>44116.64247412037</v>
      </c>
      <c r="B10053" s="2">
        <v>214.0</v>
      </c>
      <c r="C10053" s="2" t="s">
        <v>47</v>
      </c>
    </row>
    <row r="10054">
      <c r="A10054" s="1">
        <v>44116.64276041667</v>
      </c>
      <c r="B10054" s="2">
        <v>238.0</v>
      </c>
      <c r="C10054" s="2" t="s">
        <v>35</v>
      </c>
    </row>
    <row r="10055">
      <c r="A10055" s="1">
        <v>44116.64283885417</v>
      </c>
      <c r="B10055" s="2">
        <v>158.0</v>
      </c>
      <c r="C10055" s="2" t="s">
        <v>62</v>
      </c>
    </row>
    <row r="10056">
      <c r="A10056" s="1">
        <v>44116.64298236111</v>
      </c>
      <c r="B10056" s="2">
        <v>624.0</v>
      </c>
      <c r="C10056" s="2" t="s">
        <v>90</v>
      </c>
    </row>
    <row r="10057">
      <c r="A10057" s="1">
        <v>44116.643222303246</v>
      </c>
      <c r="B10057" s="2">
        <v>605.0</v>
      </c>
      <c r="C10057" s="2" t="s">
        <v>206</v>
      </c>
    </row>
    <row r="10058">
      <c r="A10058" s="1">
        <v>44116.64407711806</v>
      </c>
      <c r="B10058" s="2">
        <v>603.0</v>
      </c>
      <c r="C10058" s="2" t="s">
        <v>40</v>
      </c>
    </row>
    <row r="10059">
      <c r="A10059" s="1">
        <v>44116.64418333334</v>
      </c>
      <c r="B10059" s="2">
        <v>648.0</v>
      </c>
      <c r="C10059" s="2" t="s">
        <v>207</v>
      </c>
    </row>
    <row r="10060">
      <c r="A10060" s="1">
        <v>44116.64500376157</v>
      </c>
      <c r="B10060" s="2">
        <v>736.0</v>
      </c>
      <c r="C10060" s="2" t="s">
        <v>175</v>
      </c>
      <c r="D10060" s="2" t="s">
        <v>5</v>
      </c>
    </row>
    <row r="10061">
      <c r="A10061" s="1">
        <v>44116.645207361114</v>
      </c>
      <c r="B10061" s="2">
        <v>737.0</v>
      </c>
      <c r="C10061" s="2" t="s">
        <v>176</v>
      </c>
      <c r="D10061" s="2" t="s">
        <v>5</v>
      </c>
    </row>
    <row r="10062">
      <c r="A10062" s="1">
        <v>44116.645322743054</v>
      </c>
      <c r="B10062" s="2">
        <v>623.0</v>
      </c>
      <c r="C10062" s="2" t="s">
        <v>133</v>
      </c>
    </row>
    <row r="10063">
      <c r="A10063" s="1">
        <v>44116.645502824074</v>
      </c>
      <c r="B10063" s="2">
        <v>210.0</v>
      </c>
      <c r="C10063" s="2" t="s">
        <v>64</v>
      </c>
    </row>
    <row r="10064">
      <c r="A10064" s="1">
        <v>44116.64583444444</v>
      </c>
      <c r="B10064" s="2">
        <v>535.0</v>
      </c>
      <c r="C10064" s="2" t="s">
        <v>208</v>
      </c>
    </row>
    <row r="10065">
      <c r="A10065" s="1">
        <v>44116.64642369213</v>
      </c>
      <c r="B10065" s="3" t="s">
        <v>126</v>
      </c>
      <c r="C10065" s="2" t="s">
        <v>127</v>
      </c>
    </row>
    <row r="10066">
      <c r="A10066" s="1">
        <v>44116.647139884255</v>
      </c>
      <c r="B10066" s="2">
        <v>262.0</v>
      </c>
      <c r="C10066" s="2" t="s">
        <v>28</v>
      </c>
    </row>
    <row r="10067">
      <c r="A10067" s="1">
        <v>44116.64741081018</v>
      </c>
      <c r="B10067" s="2">
        <v>602.0</v>
      </c>
      <c r="C10067" s="2" t="s">
        <v>131</v>
      </c>
    </row>
    <row r="10068">
      <c r="A10068" s="1">
        <v>44116.647852685186</v>
      </c>
      <c r="B10068" s="2">
        <v>193.0</v>
      </c>
      <c r="C10068" s="2" t="s">
        <v>30</v>
      </c>
    </row>
    <row r="10069">
      <c r="A10069" s="1">
        <v>44116.64849128472</v>
      </c>
      <c r="B10069" s="2">
        <v>259.0</v>
      </c>
      <c r="C10069" s="2" t="s">
        <v>66</v>
      </c>
    </row>
    <row r="10070">
      <c r="A10070" s="1">
        <v>44116.64852696759</v>
      </c>
      <c r="B10070" s="2">
        <v>260.0</v>
      </c>
      <c r="C10070" s="2" t="s">
        <v>67</v>
      </c>
    </row>
    <row r="10071">
      <c r="A10071" s="1">
        <v>44116.64857813658</v>
      </c>
      <c r="B10071" s="2">
        <v>734.0</v>
      </c>
      <c r="C10071" s="2" t="s">
        <v>63</v>
      </c>
      <c r="D10071" s="2" t="s">
        <v>5</v>
      </c>
    </row>
    <row r="10072">
      <c r="A10072" s="1">
        <v>44116.64868358796</v>
      </c>
      <c r="B10072" s="2">
        <v>254.0</v>
      </c>
      <c r="C10072" s="2" t="s">
        <v>132</v>
      </c>
    </row>
    <row r="10073">
      <c r="A10073" s="1">
        <v>44116.649041006945</v>
      </c>
      <c r="B10073" s="2">
        <v>237.0</v>
      </c>
      <c r="C10073" s="2" t="s">
        <v>140</v>
      </c>
    </row>
    <row r="10074">
      <c r="A10074" s="1">
        <v>44116.64927633102</v>
      </c>
      <c r="B10074" s="2">
        <v>157.0</v>
      </c>
      <c r="C10074" s="2" t="s">
        <v>141</v>
      </c>
    </row>
    <row r="10075">
      <c r="A10075" s="1">
        <v>44116.64966800926</v>
      </c>
      <c r="B10075" s="3" t="s">
        <v>11</v>
      </c>
      <c r="C10075" s="2" t="s">
        <v>12</v>
      </c>
    </row>
    <row r="10076">
      <c r="A10076" s="1">
        <v>44116.64999709491</v>
      </c>
      <c r="B10076" s="2">
        <v>633.0</v>
      </c>
      <c r="C10076" s="2" t="s">
        <v>233</v>
      </c>
    </row>
    <row r="10077">
      <c r="A10077" s="1">
        <v>44116.65126484954</v>
      </c>
      <c r="B10077" s="2">
        <v>244.0</v>
      </c>
      <c r="C10077" s="2" t="s">
        <v>38</v>
      </c>
    </row>
    <row r="10078">
      <c r="A10078" s="1">
        <v>44116.65201686343</v>
      </c>
      <c r="B10078" s="2">
        <v>253.0</v>
      </c>
      <c r="C10078" s="2" t="s">
        <v>138</v>
      </c>
    </row>
    <row r="10079">
      <c r="A10079" s="1">
        <v>44116.65217905093</v>
      </c>
      <c r="B10079" s="3" t="s">
        <v>184</v>
      </c>
      <c r="C10079" s="2" t="s">
        <v>185</v>
      </c>
    </row>
    <row r="10080">
      <c r="A10080" s="1">
        <v>44116.652209224536</v>
      </c>
      <c r="B10080" s="3" t="s">
        <v>186</v>
      </c>
      <c r="C10080" s="2" t="s">
        <v>187</v>
      </c>
    </row>
    <row r="10081">
      <c r="A10081" s="1">
        <v>44116.65248171296</v>
      </c>
      <c r="B10081" s="2">
        <v>153.0</v>
      </c>
      <c r="C10081" s="2" t="s">
        <v>148</v>
      </c>
    </row>
    <row r="10082">
      <c r="A10082" s="1">
        <v>44116.6526058912</v>
      </c>
      <c r="B10082" s="2">
        <v>675.0</v>
      </c>
      <c r="C10082" s="2" t="s">
        <v>222</v>
      </c>
    </row>
    <row r="10083">
      <c r="A10083" s="1">
        <v>44116.67386398149</v>
      </c>
      <c r="B10083" s="2">
        <v>675.0</v>
      </c>
      <c r="C10083" s="2" t="s">
        <v>222</v>
      </c>
    </row>
    <row r="10084">
      <c r="A10084" s="1">
        <v>44116.68222849537</v>
      </c>
      <c r="B10084" s="2">
        <v>273.0</v>
      </c>
      <c r="C10084" s="2" t="s">
        <v>241</v>
      </c>
    </row>
    <row r="10085">
      <c r="A10085" s="1">
        <v>44116.68464125</v>
      </c>
      <c r="B10085" s="2">
        <v>705.0</v>
      </c>
      <c r="C10085" s="2" t="s">
        <v>168</v>
      </c>
      <c r="D10085" s="2" t="s">
        <v>5</v>
      </c>
    </row>
    <row r="10086">
      <c r="A10086" s="1">
        <v>44119.408031643514</v>
      </c>
      <c r="B10086" s="2">
        <v>735.0</v>
      </c>
      <c r="C10086" s="2" t="s">
        <v>37</v>
      </c>
      <c r="D10086" s="2" t="s">
        <v>5</v>
      </c>
    </row>
    <row r="10087">
      <c r="A10087" s="1">
        <v>44119.40923024305</v>
      </c>
      <c r="B10087" s="2">
        <v>735.0</v>
      </c>
      <c r="C10087" s="2" t="s">
        <v>37</v>
      </c>
      <c r="D10087" s="2" t="s">
        <v>5</v>
      </c>
    </row>
    <row r="10088">
      <c r="A10088" s="1">
        <v>44119.41046003472</v>
      </c>
      <c r="B10088" s="2">
        <v>735.0</v>
      </c>
      <c r="C10088" s="2" t="s">
        <v>37</v>
      </c>
      <c r="D10088" s="2" t="s">
        <v>5</v>
      </c>
    </row>
    <row r="10089">
      <c r="A10089" s="1">
        <v>44119.41067025463</v>
      </c>
      <c r="B10089" s="2">
        <v>735.0</v>
      </c>
      <c r="C10089" s="2" t="s">
        <v>37</v>
      </c>
      <c r="D10089" s="2" t="s">
        <v>5</v>
      </c>
    </row>
    <row r="10090">
      <c r="A10090" s="1">
        <v>44119.413644305554</v>
      </c>
      <c r="B10090" s="2">
        <v>735.0</v>
      </c>
      <c r="C10090" s="2" t="s">
        <v>37</v>
      </c>
      <c r="D10090" s="2" t="s">
        <v>5</v>
      </c>
    </row>
    <row r="10091">
      <c r="A10091" s="1">
        <v>44122.43041149306</v>
      </c>
      <c r="C10091" s="2" t="s">
        <v>25</v>
      </c>
      <c r="D10091" s="2" t="s">
        <v>5</v>
      </c>
    </row>
    <row r="10092">
      <c r="A10092" s="1">
        <v>44122.43041149306</v>
      </c>
      <c r="C10092" s="2" t="s">
        <v>17</v>
      </c>
    </row>
    <row r="10093">
      <c r="A10093" s="1">
        <v>44122.430491377316</v>
      </c>
      <c r="C10093" s="2" t="s">
        <v>17</v>
      </c>
    </row>
    <row r="10094">
      <c r="A10094" s="1">
        <v>44122.43093739584</v>
      </c>
      <c r="C10094" s="2" t="s">
        <v>26</v>
      </c>
    </row>
    <row r="10095">
      <c r="A10095" s="1">
        <v>44122.43126695602</v>
      </c>
      <c r="C10095" s="2" t="s">
        <v>30</v>
      </c>
    </row>
    <row r="10096">
      <c r="A10096" s="1">
        <v>44122.433602523146</v>
      </c>
      <c r="C10096" s="2" t="s">
        <v>30</v>
      </c>
    </row>
    <row r="10097">
      <c r="A10097" s="1">
        <v>44122.434086423615</v>
      </c>
      <c r="C10097" s="2" t="s">
        <v>30</v>
      </c>
    </row>
    <row r="10098">
      <c r="A10098" s="1">
        <v>44122.4340884375</v>
      </c>
      <c r="C10098" s="2" t="s">
        <v>28</v>
      </c>
    </row>
    <row r="10099">
      <c r="A10099" s="1">
        <v>44122.434505428246</v>
      </c>
      <c r="C10099" s="2" t="s">
        <v>30</v>
      </c>
    </row>
    <row r="10100">
      <c r="A10100" s="1">
        <v>44122.440927118056</v>
      </c>
      <c r="C10100" s="2" t="s">
        <v>28</v>
      </c>
    </row>
    <row r="10101">
      <c r="A10101" s="1">
        <v>44122.44129888889</v>
      </c>
      <c r="C10101" s="2" t="s">
        <v>160</v>
      </c>
    </row>
    <row r="10102">
      <c r="A10102" s="1">
        <v>44122.44242349537</v>
      </c>
      <c r="C10102" s="2" t="s">
        <v>36</v>
      </c>
    </row>
    <row r="10103">
      <c r="A10103" s="1">
        <v>44122.44321142361</v>
      </c>
      <c r="C10103" s="2" t="s">
        <v>77</v>
      </c>
    </row>
    <row r="10104">
      <c r="A10104" s="1">
        <v>44122.44343680555</v>
      </c>
      <c r="C10104" s="2" t="s">
        <v>124</v>
      </c>
    </row>
    <row r="10105">
      <c r="A10105" s="1">
        <v>44122.44363353009</v>
      </c>
      <c r="C10105" s="2" t="s">
        <v>83</v>
      </c>
    </row>
    <row r="10106">
      <c r="A10106" s="1">
        <v>44122.44382528935</v>
      </c>
      <c r="C10106" s="2" t="s">
        <v>79</v>
      </c>
    </row>
    <row r="10107">
      <c r="A10107" s="1">
        <v>44122.44438814815</v>
      </c>
      <c r="C10107" s="2" t="s">
        <v>138</v>
      </c>
    </row>
    <row r="10108">
      <c r="A10108" s="1">
        <v>44122.44471938658</v>
      </c>
      <c r="C10108" s="2" t="s">
        <v>170</v>
      </c>
    </row>
    <row r="10109">
      <c r="A10109" s="1">
        <v>44122.444877546295</v>
      </c>
      <c r="C10109" s="2" t="s">
        <v>183</v>
      </c>
    </row>
    <row r="10110">
      <c r="A10110" s="1">
        <v>44122.44510585648</v>
      </c>
      <c r="C10110" s="2" t="s">
        <v>216</v>
      </c>
    </row>
    <row r="10111">
      <c r="A10111" s="1">
        <v>44122.44513486111</v>
      </c>
      <c r="C10111" s="2" t="s">
        <v>183</v>
      </c>
    </row>
    <row r="10112">
      <c r="A10112" s="1">
        <v>44122.445976828705</v>
      </c>
      <c r="C10112" s="2" t="s">
        <v>33</v>
      </c>
    </row>
    <row r="10113">
      <c r="A10113" s="1">
        <v>44122.446210775466</v>
      </c>
      <c r="C10113" s="2" t="s">
        <v>81</v>
      </c>
    </row>
    <row r="10114">
      <c r="A10114" s="1">
        <v>44122.44648805556</v>
      </c>
      <c r="C10114" s="2" t="s">
        <v>24</v>
      </c>
    </row>
    <row r="10115">
      <c r="A10115" s="1">
        <v>44122.44652265046</v>
      </c>
      <c r="C10115" s="2" t="s">
        <v>81</v>
      </c>
    </row>
    <row r="10116">
      <c r="A10116" s="1">
        <v>44122.446734895835</v>
      </c>
      <c r="C10116" s="2" t="s">
        <v>52</v>
      </c>
    </row>
    <row r="10117">
      <c r="A10117" s="1">
        <v>44122.446984803246</v>
      </c>
      <c r="C10117" s="2" t="s">
        <v>147</v>
      </c>
    </row>
    <row r="10118">
      <c r="A10118" s="1">
        <v>44122.44712375</v>
      </c>
      <c r="C10118" s="2" t="s">
        <v>65</v>
      </c>
    </row>
    <row r="10119">
      <c r="A10119" s="1">
        <v>44122.44725142361</v>
      </c>
      <c r="C10119" s="2" t="s">
        <v>147</v>
      </c>
    </row>
    <row r="10120">
      <c r="A10120" s="1">
        <v>44122.44740267361</v>
      </c>
      <c r="C10120" s="2" t="s">
        <v>50</v>
      </c>
    </row>
    <row r="10121">
      <c r="A10121" s="1">
        <v>44122.4475094213</v>
      </c>
      <c r="C10121" s="2" t="s">
        <v>70</v>
      </c>
    </row>
    <row r="10122">
      <c r="A10122" s="1">
        <v>44122.447678310185</v>
      </c>
      <c r="C10122" s="2" t="s">
        <v>185</v>
      </c>
    </row>
    <row r="10123">
      <c r="A10123" s="1">
        <v>44122.447818263885</v>
      </c>
      <c r="C10123" s="2" t="s">
        <v>187</v>
      </c>
    </row>
    <row r="10124">
      <c r="A10124" s="1">
        <v>44122.44802083333</v>
      </c>
      <c r="C10124" s="2" t="s">
        <v>86</v>
      </c>
    </row>
    <row r="10125">
      <c r="A10125" s="1">
        <v>44122.448164814814</v>
      </c>
      <c r="C10125" s="2" t="s">
        <v>112</v>
      </c>
    </row>
    <row r="10126">
      <c r="A10126" s="1">
        <v>44122.44827490741</v>
      </c>
      <c r="C10126" s="2" t="s">
        <v>86</v>
      </c>
    </row>
    <row r="10127">
      <c r="A10127" s="1">
        <v>44122.44844605324</v>
      </c>
      <c r="C10127" s="2" t="s">
        <v>210</v>
      </c>
    </row>
    <row r="10128">
      <c r="A10128" s="1">
        <v>44122.44857228009</v>
      </c>
      <c r="C10128" s="2" t="s">
        <v>166</v>
      </c>
    </row>
    <row r="10129">
      <c r="A10129" s="1">
        <v>44122.44880020834</v>
      </c>
      <c r="C10129" s="2" t="s">
        <v>39</v>
      </c>
    </row>
    <row r="10130">
      <c r="A10130" s="1">
        <v>44122.449018541665</v>
      </c>
      <c r="C10130" s="2" t="s">
        <v>176</v>
      </c>
      <c r="D10130" s="2" t="s">
        <v>5</v>
      </c>
    </row>
    <row r="10131">
      <c r="A10131" s="1">
        <v>44122.449161666664</v>
      </c>
      <c r="C10131" s="2" t="s">
        <v>84</v>
      </c>
      <c r="D10131" s="2" t="s">
        <v>5</v>
      </c>
    </row>
    <row r="10132">
      <c r="A10132" s="1">
        <v>44122.449275949075</v>
      </c>
      <c r="C10132" s="2" t="s">
        <v>37</v>
      </c>
      <c r="D10132" s="2" t="s">
        <v>5</v>
      </c>
    </row>
    <row r="10133">
      <c r="A10133" s="1">
        <v>44122.44943778936</v>
      </c>
      <c r="C10133" s="2" t="s">
        <v>107</v>
      </c>
    </row>
    <row r="10134">
      <c r="A10134" s="1">
        <v>44122.449573171296</v>
      </c>
      <c r="C10134" s="2" t="s">
        <v>17</v>
      </c>
    </row>
    <row r="10135">
      <c r="A10135" s="1">
        <v>44122.449696550924</v>
      </c>
      <c r="C10135" s="2" t="s">
        <v>45</v>
      </c>
    </row>
    <row r="10136">
      <c r="A10136" s="1">
        <v>44122.449910069445</v>
      </c>
      <c r="C10136" s="2" t="s">
        <v>66</v>
      </c>
    </row>
    <row r="10137">
      <c r="A10137" s="1">
        <v>44122.45010229167</v>
      </c>
      <c r="C10137" s="2" t="s">
        <v>45</v>
      </c>
    </row>
    <row r="10138">
      <c r="A10138" s="1">
        <v>44122.45098019676</v>
      </c>
      <c r="C10138" s="2" t="s">
        <v>67</v>
      </c>
    </row>
    <row r="10139">
      <c r="A10139" s="1">
        <v>44122.45115597222</v>
      </c>
      <c r="C10139" s="2" t="s">
        <v>63</v>
      </c>
      <c r="D10139" s="2" t="s">
        <v>5</v>
      </c>
    </row>
    <row r="10140">
      <c r="A10140" s="1">
        <v>44122.45481357639</v>
      </c>
      <c r="C10140" s="2" t="s">
        <v>131</v>
      </c>
    </row>
    <row r="10141">
      <c r="A10141" s="1">
        <v>44122.45666696759</v>
      </c>
      <c r="C10141" s="2" t="s">
        <v>19</v>
      </c>
    </row>
    <row r="10142">
      <c r="A10142" s="1">
        <v>44124.583372650464</v>
      </c>
      <c r="C10142" s="2" t="s">
        <v>187</v>
      </c>
    </row>
    <row r="10143">
      <c r="A10143" s="1">
        <v>44124.59310155093</v>
      </c>
      <c r="C10143" s="2" t="s">
        <v>61</v>
      </c>
    </row>
    <row r="10144">
      <c r="A10144" s="1">
        <v>44124.59352420139</v>
      </c>
      <c r="C10144" s="2" t="s">
        <v>143</v>
      </c>
    </row>
    <row r="10145">
      <c r="A10145" s="1">
        <v>44124.59391384259</v>
      </c>
      <c r="C10145" s="2" t="s">
        <v>26</v>
      </c>
    </row>
    <row r="10146">
      <c r="A10146" s="1">
        <v>44124.59461583333</v>
      </c>
      <c r="C10146" s="2" t="s">
        <v>76</v>
      </c>
    </row>
    <row r="10147">
      <c r="A10147" s="1">
        <v>44124.61473594907</v>
      </c>
      <c r="C10147" s="2" t="s">
        <v>25</v>
      </c>
      <c r="D10147" s="2" t="s">
        <v>5</v>
      </c>
    </row>
    <row r="10148">
      <c r="A10148" s="1">
        <v>44124.623993761576</v>
      </c>
      <c r="C10148" s="2" t="s">
        <v>107</v>
      </c>
    </row>
    <row r="10149">
      <c r="A10149" s="1">
        <v>44124.6243784838</v>
      </c>
      <c r="C10149" s="2" t="s">
        <v>7</v>
      </c>
    </row>
    <row r="10150">
      <c r="A10150" s="1">
        <v>44124.62751258102</v>
      </c>
      <c r="C10150" s="2" t="s">
        <v>214</v>
      </c>
    </row>
    <row r="10151">
      <c r="A10151" s="1">
        <v>44124.63242799768</v>
      </c>
      <c r="C10151" s="2" t="s">
        <v>168</v>
      </c>
      <c r="D10151" s="2" t="s">
        <v>5</v>
      </c>
    </row>
    <row r="10152">
      <c r="A10152" s="1">
        <v>44124.65152885417</v>
      </c>
      <c r="C10152" s="2" t="s">
        <v>37</v>
      </c>
      <c r="D10152" s="2" t="s">
        <v>5</v>
      </c>
    </row>
    <row r="10153">
      <c r="A10153" s="1">
        <v>44124.655886747685</v>
      </c>
      <c r="C10153" s="2" t="s">
        <v>205</v>
      </c>
    </row>
    <row r="10154">
      <c r="A10154" s="1">
        <v>44124.661412511574</v>
      </c>
      <c r="C10154" s="2" t="s">
        <v>92</v>
      </c>
      <c r="D10154" s="2" t="s">
        <v>5</v>
      </c>
    </row>
    <row r="10155">
      <c r="A10155" s="1">
        <v>44124.66157251157</v>
      </c>
      <c r="B10155" s="2" t="s">
        <v>242</v>
      </c>
      <c r="C10155" s="2" t="s">
        <v>92</v>
      </c>
      <c r="D10155" s="2" t="s">
        <v>5</v>
      </c>
    </row>
    <row r="10156">
      <c r="A10156" s="1">
        <v>44124.66177918982</v>
      </c>
      <c r="C10156" s="2" t="s">
        <v>92</v>
      </c>
      <c r="D10156" s="2" t="s">
        <v>5</v>
      </c>
    </row>
    <row r="10157">
      <c r="A10157" s="1">
        <v>44124.66192442129</v>
      </c>
      <c r="B10157" s="2" t="s">
        <v>242</v>
      </c>
      <c r="C10157" s="2" t="s">
        <v>92</v>
      </c>
      <c r="D10157" s="2" t="s">
        <v>243</v>
      </c>
    </row>
    <row r="10158">
      <c r="A10158" s="1">
        <v>44124.66714318287</v>
      </c>
      <c r="B10158" s="2">
        <v>271.0</v>
      </c>
      <c r="C10158" s="2" t="s">
        <v>68</v>
      </c>
    </row>
    <row r="10159">
      <c r="A10159" s="1">
        <v>44124.66822924768</v>
      </c>
      <c r="B10159" s="2">
        <v>734.0</v>
      </c>
      <c r="C10159" s="2" t="s">
        <v>63</v>
      </c>
      <c r="D10159" s="2" t="s">
        <v>5</v>
      </c>
    </row>
    <row r="10160">
      <c r="A10160" s="1">
        <v>44124.67089009259</v>
      </c>
      <c r="C10160" s="2" t="s">
        <v>164</v>
      </c>
      <c r="D10160" s="2" t="s">
        <v>5</v>
      </c>
    </row>
    <row r="10161">
      <c r="A10161" s="1">
        <v>44124.67095510417</v>
      </c>
      <c r="B10161" s="2" t="s">
        <v>244</v>
      </c>
      <c r="C10161" s="2" t="s">
        <v>164</v>
      </c>
      <c r="D10161" s="2" t="s">
        <v>5</v>
      </c>
    </row>
    <row r="10162">
      <c r="A10162" s="1">
        <v>44124.67458871528</v>
      </c>
      <c r="B10162" s="2">
        <v>736.0</v>
      </c>
      <c r="C10162" s="2" t="s">
        <v>175</v>
      </c>
      <c r="D10162" s="2" t="s">
        <v>5</v>
      </c>
    </row>
    <row r="10163">
      <c r="A10163" s="1">
        <v>44124.67542180556</v>
      </c>
      <c r="B10163" s="2">
        <v>734.0</v>
      </c>
      <c r="C10163" s="2" t="s">
        <v>63</v>
      </c>
      <c r="D10163" s="2" t="s">
        <v>5</v>
      </c>
    </row>
    <row r="10164">
      <c r="A10164" s="1">
        <v>44124.675492650465</v>
      </c>
      <c r="B10164" s="2">
        <v>734.0</v>
      </c>
      <c r="C10164" s="2" t="s">
        <v>63</v>
      </c>
      <c r="D10164" s="2" t="s">
        <v>245</v>
      </c>
    </row>
    <row r="10165">
      <c r="A10165" s="1">
        <v>44124.67566113426</v>
      </c>
      <c r="B10165" s="2">
        <v>734.0</v>
      </c>
      <c r="C10165" s="2" t="s">
        <v>63</v>
      </c>
      <c r="D10165" s="2" t="s">
        <v>5</v>
      </c>
    </row>
    <row r="10166">
      <c r="A10166" s="1">
        <v>44124.67659123843</v>
      </c>
      <c r="B10166" s="2">
        <v>735.0</v>
      </c>
      <c r="C10166" s="2" t="s">
        <v>37</v>
      </c>
      <c r="D10166" s="2" t="s">
        <v>5</v>
      </c>
    </row>
    <row r="10167">
      <c r="A10167" s="1">
        <v>44124.67684946759</v>
      </c>
      <c r="B10167" s="2">
        <v>735.0</v>
      </c>
      <c r="C10167" s="2" t="s">
        <v>37</v>
      </c>
      <c r="D10167" s="2" t="s">
        <v>5</v>
      </c>
    </row>
    <row r="10168">
      <c r="A10168" s="1">
        <v>44124.676939745375</v>
      </c>
      <c r="B10168" s="2">
        <v>735.0</v>
      </c>
      <c r="C10168" s="2" t="s">
        <v>37</v>
      </c>
    </row>
    <row r="10169">
      <c r="A10169" s="1">
        <v>44124.677321678246</v>
      </c>
      <c r="B10169" s="2">
        <v>735.0</v>
      </c>
      <c r="C10169" s="2" t="s">
        <v>37</v>
      </c>
      <c r="D10169" s="2" t="s">
        <v>5</v>
      </c>
    </row>
    <row r="10170">
      <c r="A10170" s="1">
        <v>44124.682264884264</v>
      </c>
      <c r="B10170" s="2">
        <v>735.0</v>
      </c>
      <c r="C10170" s="2" t="s">
        <v>37</v>
      </c>
      <c r="D10170" s="2" t="s">
        <v>5</v>
      </c>
    </row>
    <row r="10171">
      <c r="A10171" s="1">
        <v>44124.683044930556</v>
      </c>
      <c r="B10171" s="2">
        <v>735.0</v>
      </c>
      <c r="C10171" s="2" t="s">
        <v>37</v>
      </c>
    </row>
    <row r="10172">
      <c r="A10172" s="1">
        <v>44124.68334834491</v>
      </c>
      <c r="B10172" s="2">
        <v>735.0</v>
      </c>
      <c r="C10172" s="2" t="s">
        <v>37</v>
      </c>
      <c r="D10172" s="2" t="s">
        <v>5</v>
      </c>
    </row>
    <row r="10173">
      <c r="A10173" s="1">
        <v>44124.69078899306</v>
      </c>
      <c r="B10173" s="2">
        <v>735.0</v>
      </c>
      <c r="C10173" s="2" t="s">
        <v>37</v>
      </c>
      <c r="D10173" s="2" t="s">
        <v>5</v>
      </c>
    </row>
    <row r="10174">
      <c r="A10174" s="1">
        <v>44124.697707025465</v>
      </c>
      <c r="B10174" s="2">
        <v>614.0</v>
      </c>
      <c r="C10174" s="2" t="s">
        <v>76</v>
      </c>
    </row>
    <row r="10175">
      <c r="A10175" s="1">
        <v>44124.698573946764</v>
      </c>
      <c r="B10175" s="2">
        <v>618.0</v>
      </c>
      <c r="C10175" s="2" t="s">
        <v>147</v>
      </c>
    </row>
    <row r="10176">
      <c r="A10176" s="1">
        <v>44124.69875255787</v>
      </c>
      <c r="B10176" s="2">
        <v>52.0</v>
      </c>
      <c r="C10176" s="2" t="s">
        <v>41</v>
      </c>
    </row>
    <row r="10177">
      <c r="A10177" s="1">
        <v>44124.699036261576</v>
      </c>
      <c r="B10177" s="2">
        <v>701.0</v>
      </c>
      <c r="C10177" s="2" t="s">
        <v>93</v>
      </c>
      <c r="D10177" s="2" t="s">
        <v>5</v>
      </c>
    </row>
    <row r="10178">
      <c r="A10178" s="1">
        <v>44124.69913122685</v>
      </c>
      <c r="B10178" s="2">
        <v>705.0</v>
      </c>
      <c r="C10178" s="2" t="s">
        <v>168</v>
      </c>
      <c r="D10178" s="2" t="s">
        <v>5</v>
      </c>
    </row>
    <row r="10179">
      <c r="A10179" s="1">
        <v>44124.699457951385</v>
      </c>
      <c r="B10179" s="2">
        <v>713.0</v>
      </c>
      <c r="C10179" s="2" t="s">
        <v>121</v>
      </c>
      <c r="D10179" s="2" t="s">
        <v>5</v>
      </c>
    </row>
    <row r="10180">
      <c r="A10180" s="1">
        <v>44125.389909791666</v>
      </c>
      <c r="B10180" s="2">
        <v>734.0</v>
      </c>
      <c r="C10180" s="2" t="s">
        <v>63</v>
      </c>
      <c r="D10180" s="2" t="s">
        <v>5</v>
      </c>
    </row>
    <row r="10181">
      <c r="A10181" s="1">
        <v>44125.39709621528</v>
      </c>
      <c r="B10181" s="2">
        <v>719.0</v>
      </c>
      <c r="C10181" s="2" t="s">
        <v>106</v>
      </c>
      <c r="D10181" s="2" t="s">
        <v>5</v>
      </c>
    </row>
    <row r="10182">
      <c r="A10182" s="1">
        <v>44125.3971434375</v>
      </c>
      <c r="B10182" s="2">
        <v>237.0</v>
      </c>
      <c r="C10182" s="2" t="s">
        <v>140</v>
      </c>
    </row>
    <row r="10183">
      <c r="A10183" s="1">
        <v>44125.3972065625</v>
      </c>
      <c r="B10183" s="2">
        <v>603.0</v>
      </c>
      <c r="C10183" s="2" t="s">
        <v>40</v>
      </c>
    </row>
    <row r="10184">
      <c r="A10184" s="1">
        <v>44125.397238136575</v>
      </c>
      <c r="B10184" s="2">
        <v>602.0</v>
      </c>
      <c r="C10184" s="2" t="s">
        <v>131</v>
      </c>
    </row>
    <row r="10185">
      <c r="A10185" s="1">
        <v>44125.3972883449</v>
      </c>
      <c r="B10185" s="2">
        <v>734.0</v>
      </c>
      <c r="C10185" s="2" t="s">
        <v>63</v>
      </c>
      <c r="D10185" s="2" t="s">
        <v>5</v>
      </c>
    </row>
    <row r="10186">
      <c r="A10186" s="1">
        <v>44125.39732599537</v>
      </c>
      <c r="B10186" s="2">
        <v>260.0</v>
      </c>
      <c r="C10186" s="2" t="s">
        <v>67</v>
      </c>
    </row>
    <row r="10187">
      <c r="A10187" s="1">
        <v>44125.39735655092</v>
      </c>
      <c r="B10187" s="2">
        <v>259.0</v>
      </c>
      <c r="C10187" s="2" t="s">
        <v>66</v>
      </c>
    </row>
    <row r="10188">
      <c r="A10188" s="1">
        <v>44125.397389363425</v>
      </c>
      <c r="B10188" s="2">
        <v>253.0</v>
      </c>
      <c r="C10188" s="2" t="s">
        <v>138</v>
      </c>
    </row>
    <row r="10189">
      <c r="A10189" s="1">
        <v>44125.397415370375</v>
      </c>
      <c r="B10189" s="2">
        <v>246.0</v>
      </c>
      <c r="C10189" s="2" t="s">
        <v>26</v>
      </c>
    </row>
    <row r="10190">
      <c r="A10190" s="1">
        <v>44125.39782978009</v>
      </c>
      <c r="B10190" s="2">
        <v>274.0</v>
      </c>
      <c r="C10190" s="2" t="s">
        <v>144</v>
      </c>
    </row>
    <row r="10191">
      <c r="A10191" s="1">
        <v>44125.39875891204</v>
      </c>
      <c r="B10191" s="2">
        <v>202.0</v>
      </c>
      <c r="C10191" s="2" t="s">
        <v>130</v>
      </c>
    </row>
    <row r="10192">
      <c r="A10192" s="1">
        <v>44125.398824097225</v>
      </c>
      <c r="B10192" s="2">
        <v>673.0</v>
      </c>
      <c r="C10192" s="2" t="s">
        <v>189</v>
      </c>
    </row>
    <row r="10193">
      <c r="A10193" s="1">
        <v>44125.39941597222</v>
      </c>
      <c r="B10193" s="2">
        <v>673.0</v>
      </c>
      <c r="C10193" s="2" t="s">
        <v>189</v>
      </c>
    </row>
    <row r="10194">
      <c r="A10194" s="1">
        <v>44125.399714363426</v>
      </c>
      <c r="B10194" s="2">
        <v>202.0</v>
      </c>
      <c r="C10194" s="2" t="s">
        <v>130</v>
      </c>
    </row>
    <row r="10195">
      <c r="A10195" s="1">
        <v>44129.41392070602</v>
      </c>
      <c r="B10195" s="3" t="s">
        <v>169</v>
      </c>
      <c r="C10195" s="2" t="s">
        <v>170</v>
      </c>
    </row>
    <row r="10196">
      <c r="A10196" s="1">
        <v>44129.427115370374</v>
      </c>
      <c r="B10196" s="2">
        <v>274.0</v>
      </c>
      <c r="C10196" s="2" t="s">
        <v>144</v>
      </c>
    </row>
    <row r="10197">
      <c r="A10197" s="1">
        <v>44130.620273252316</v>
      </c>
      <c r="B10197" s="2">
        <v>274.0</v>
      </c>
      <c r="C10197" s="2" t="s">
        <v>144</v>
      </c>
    </row>
    <row r="10198">
      <c r="A10198" s="1">
        <v>44131.494930347224</v>
      </c>
      <c r="B10198" s="2">
        <v>734.0</v>
      </c>
      <c r="C10198" s="2" t="s">
        <v>63</v>
      </c>
      <c r="D10198" s="2" t="s">
        <v>5</v>
      </c>
    </row>
    <row r="10199">
      <c r="A10199" s="1">
        <v>44131.496399780095</v>
      </c>
      <c r="B10199" s="2">
        <v>734.0</v>
      </c>
      <c r="C10199" s="2" t="s">
        <v>63</v>
      </c>
      <c r="D10199" s="2" t="s">
        <v>5</v>
      </c>
    </row>
    <row r="10200">
      <c r="A10200" s="1">
        <v>44131.57438472222</v>
      </c>
      <c r="B10200" s="3" t="s">
        <v>94</v>
      </c>
      <c r="C10200" s="2" t="s">
        <v>95</v>
      </c>
    </row>
    <row r="10201">
      <c r="A10201" s="1">
        <v>44131.57460280093</v>
      </c>
      <c r="B10201" s="2">
        <v>602.0</v>
      </c>
      <c r="C10201" s="2" t="s">
        <v>131</v>
      </c>
    </row>
    <row r="10202">
      <c r="A10202" s="1">
        <v>44131.57487938658</v>
      </c>
      <c r="B10202" s="2">
        <v>611.0</v>
      </c>
      <c r="C10202" s="2" t="s">
        <v>143</v>
      </c>
    </row>
    <row r="10203">
      <c r="A10203" s="1">
        <v>44131.57502304398</v>
      </c>
      <c r="B10203" s="2">
        <v>274.0</v>
      </c>
      <c r="C10203" s="2" t="s">
        <v>144</v>
      </c>
    </row>
    <row r="10204">
      <c r="A10204" s="1">
        <v>44131.575378194444</v>
      </c>
      <c r="C10204" s="2" t="s">
        <v>19</v>
      </c>
    </row>
    <row r="10205">
      <c r="A10205" s="1">
        <v>44131.575514386575</v>
      </c>
      <c r="B10205" s="2">
        <v>231.0</v>
      </c>
      <c r="C10205" s="2" t="s">
        <v>61</v>
      </c>
    </row>
    <row r="10206">
      <c r="A10206" s="1">
        <v>44131.57558642361</v>
      </c>
      <c r="B10206" s="2">
        <v>262.0</v>
      </c>
      <c r="C10206" s="2" t="s">
        <v>28</v>
      </c>
    </row>
    <row r="10207">
      <c r="A10207" s="1">
        <v>44131.57582732639</v>
      </c>
      <c r="B10207" s="3" t="s">
        <v>169</v>
      </c>
      <c r="C10207" s="2" t="s">
        <v>170</v>
      </c>
    </row>
    <row r="10208">
      <c r="A10208" s="1">
        <v>44131.57599266204</v>
      </c>
      <c r="B10208" s="3" t="s">
        <v>159</v>
      </c>
      <c r="C10208" s="2" t="s">
        <v>160</v>
      </c>
    </row>
    <row r="10209">
      <c r="A10209" s="1">
        <v>44131.5761015162</v>
      </c>
      <c r="B10209" s="2">
        <v>271.0</v>
      </c>
      <c r="C10209" s="2" t="s">
        <v>68</v>
      </c>
    </row>
    <row r="10210">
      <c r="A10210" s="1">
        <v>44131.57624559027</v>
      </c>
      <c r="B10210" s="2">
        <v>273.0</v>
      </c>
      <c r="C10210" s="2" t="s">
        <v>241</v>
      </c>
    </row>
    <row r="10211">
      <c r="A10211" s="1">
        <v>44131.57643642361</v>
      </c>
      <c r="B10211" s="2">
        <v>643.0</v>
      </c>
      <c r="C10211" s="2" t="s">
        <v>166</v>
      </c>
    </row>
    <row r="10212">
      <c r="A10212" s="1">
        <v>44131.57656724537</v>
      </c>
      <c r="B10212" s="2">
        <v>604.0</v>
      </c>
      <c r="C10212" s="2" t="s">
        <v>36</v>
      </c>
    </row>
    <row r="10213">
      <c r="A10213" s="1">
        <v>44131.57672548611</v>
      </c>
      <c r="B10213" s="2">
        <v>618.0</v>
      </c>
      <c r="C10213" s="2" t="s">
        <v>147</v>
      </c>
    </row>
    <row r="10214">
      <c r="A10214" s="1">
        <v>44131.57687991898</v>
      </c>
      <c r="B10214" s="2">
        <v>70.0</v>
      </c>
      <c r="C10214" s="2" t="s">
        <v>183</v>
      </c>
    </row>
    <row r="10215">
      <c r="A10215" s="1">
        <v>44131.57704596064</v>
      </c>
      <c r="B10215" s="2">
        <v>210.0</v>
      </c>
      <c r="C10215" s="2" t="s">
        <v>64</v>
      </c>
    </row>
    <row r="10216">
      <c r="A10216" s="1">
        <v>44131.57714430556</v>
      </c>
      <c r="B10216" s="2">
        <v>172.0</v>
      </c>
      <c r="C10216" s="2" t="s">
        <v>65</v>
      </c>
    </row>
    <row r="10217">
      <c r="A10217" s="1">
        <v>44131.577229305556</v>
      </c>
      <c r="B10217" s="2">
        <v>244.0</v>
      </c>
      <c r="C10217" s="2" t="s">
        <v>38</v>
      </c>
    </row>
    <row r="10218">
      <c r="A10218" s="1">
        <v>44131.57772252314</v>
      </c>
      <c r="B10218" s="2">
        <v>603.0</v>
      </c>
      <c r="C10218" s="2" t="s">
        <v>40</v>
      </c>
    </row>
    <row r="10219">
      <c r="A10219" s="1">
        <v>44131.57787435185</v>
      </c>
      <c r="B10219" s="2">
        <v>167.0</v>
      </c>
      <c r="C10219" s="2" t="s">
        <v>39</v>
      </c>
    </row>
    <row r="10220">
      <c r="A10220" s="1">
        <v>44131.577980057875</v>
      </c>
      <c r="B10220" s="2">
        <v>207.0</v>
      </c>
      <c r="C10220" s="2" t="s">
        <v>85</v>
      </c>
    </row>
    <row r="10221">
      <c r="A10221" s="1">
        <v>44131.57808436343</v>
      </c>
      <c r="B10221" s="2">
        <v>219.0</v>
      </c>
      <c r="C10221" s="2" t="s">
        <v>31</v>
      </c>
    </row>
    <row r="10222">
      <c r="A10222" s="1">
        <v>44131.578383113425</v>
      </c>
      <c r="B10222" s="2">
        <v>270.0</v>
      </c>
      <c r="C10222" s="2" t="s">
        <v>153</v>
      </c>
    </row>
    <row r="10223">
      <c r="A10223" s="1">
        <v>44131.57852138889</v>
      </c>
      <c r="B10223" s="2">
        <v>735.0</v>
      </c>
      <c r="C10223" s="2" t="s">
        <v>37</v>
      </c>
      <c r="D10223" s="2" t="s">
        <v>5</v>
      </c>
    </row>
    <row r="10224">
      <c r="A10224" s="1">
        <v>44131.57866554398</v>
      </c>
      <c r="B10224" s="2">
        <v>173.0</v>
      </c>
      <c r="C10224" s="2" t="s">
        <v>24</v>
      </c>
    </row>
    <row r="10225">
      <c r="A10225" s="1">
        <v>44131.5788015162</v>
      </c>
      <c r="B10225" s="2">
        <v>124.0</v>
      </c>
      <c r="C10225" s="2" t="s">
        <v>107</v>
      </c>
    </row>
    <row r="10226">
      <c r="A10226" s="1">
        <v>44131.57899954861</v>
      </c>
      <c r="B10226" s="2">
        <v>267.0</v>
      </c>
      <c r="C10226" s="2" t="s">
        <v>115</v>
      </c>
    </row>
    <row r="10227">
      <c r="A10227" s="1">
        <v>44131.57918701389</v>
      </c>
      <c r="B10227" s="2">
        <v>229.0</v>
      </c>
      <c r="C10227" s="2" t="s">
        <v>86</v>
      </c>
    </row>
    <row r="10228">
      <c r="A10228" s="1">
        <v>44131.579297986114</v>
      </c>
      <c r="B10228" s="2">
        <v>165.0</v>
      </c>
      <c r="C10228" s="2" t="s">
        <v>50</v>
      </c>
    </row>
    <row r="10229">
      <c r="A10229" s="1">
        <v>44131.57941052083</v>
      </c>
      <c r="B10229" s="3" t="s">
        <v>80</v>
      </c>
      <c r="C10229" s="2" t="s">
        <v>81</v>
      </c>
    </row>
    <row r="10230">
      <c r="A10230" s="1">
        <v>44131.57959259259</v>
      </c>
      <c r="B10230" s="2">
        <v>208.0</v>
      </c>
      <c r="C10230" s="2" t="s">
        <v>182</v>
      </c>
    </row>
    <row r="10231">
      <c r="A10231" s="1">
        <v>44131.57970650463</v>
      </c>
      <c r="B10231" s="3" t="s">
        <v>111</v>
      </c>
      <c r="C10231" s="2" t="s">
        <v>112</v>
      </c>
    </row>
    <row r="10232">
      <c r="A10232" s="1">
        <v>44131.57986550926</v>
      </c>
      <c r="B10232" s="2">
        <v>193.0</v>
      </c>
      <c r="C10232" s="2" t="s">
        <v>30</v>
      </c>
    </row>
    <row r="10233">
      <c r="A10233" s="1">
        <v>44131.58559258102</v>
      </c>
      <c r="B10233" s="3" t="s">
        <v>51</v>
      </c>
      <c r="C10233" s="2" t="s">
        <v>52</v>
      </c>
    </row>
    <row r="10234">
      <c r="A10234" s="1">
        <v>44131.58683796297</v>
      </c>
      <c r="B10234" s="2">
        <v>70.0</v>
      </c>
      <c r="C10234" s="2" t="s">
        <v>183</v>
      </c>
    </row>
    <row r="10235">
      <c r="A10235" s="1">
        <v>44131.58759170139</v>
      </c>
      <c r="C10235" s="2" t="s">
        <v>19</v>
      </c>
    </row>
    <row r="10236">
      <c r="A10236" s="1">
        <v>44131.5881265162</v>
      </c>
      <c r="B10236" s="3" t="s">
        <v>32</v>
      </c>
      <c r="C10236" s="2" t="s">
        <v>33</v>
      </c>
    </row>
    <row r="10237">
      <c r="A10237" s="1">
        <v>44131.58842400463</v>
      </c>
      <c r="B10237" s="2">
        <v>259.0</v>
      </c>
      <c r="C10237" s="2" t="s">
        <v>66</v>
      </c>
    </row>
    <row r="10238">
      <c r="A10238" s="1">
        <v>44131.58846265046</v>
      </c>
      <c r="B10238" s="2">
        <v>260.0</v>
      </c>
      <c r="C10238" s="2" t="s">
        <v>67</v>
      </c>
    </row>
    <row r="10239">
      <c r="A10239" s="1">
        <v>44131.588560069446</v>
      </c>
      <c r="B10239" s="2">
        <v>734.0</v>
      </c>
      <c r="C10239" s="2" t="s">
        <v>63</v>
      </c>
      <c r="D10239" s="2" t="s">
        <v>5</v>
      </c>
    </row>
    <row r="10240">
      <c r="A10240" s="1">
        <v>44131.58886604167</v>
      </c>
      <c r="B10240" s="3" t="s">
        <v>103</v>
      </c>
      <c r="C10240" s="2" t="s">
        <v>104</v>
      </c>
    </row>
    <row r="10241">
      <c r="A10241" s="1">
        <v>44131.58907753472</v>
      </c>
      <c r="B10241" s="2">
        <v>232.0</v>
      </c>
      <c r="C10241" s="2" t="s">
        <v>216</v>
      </c>
    </row>
    <row r="10242">
      <c r="A10242" s="1">
        <v>44131.58923434028</v>
      </c>
      <c r="B10242" s="2">
        <v>680.0</v>
      </c>
      <c r="C10242" s="2" t="s">
        <v>239</v>
      </c>
    </row>
    <row r="10243">
      <c r="A10243" s="1">
        <v>44131.59338568287</v>
      </c>
      <c r="C10243" s="2" t="s">
        <v>19</v>
      </c>
    </row>
    <row r="10244">
      <c r="A10244" s="1">
        <v>44131.60628420139</v>
      </c>
      <c r="B10244" s="3" t="s">
        <v>42</v>
      </c>
      <c r="C10244" s="2" t="s">
        <v>43</v>
      </c>
    </row>
    <row r="10245">
      <c r="A10245" s="1">
        <v>44132.68579821759</v>
      </c>
      <c r="B10245" s="2">
        <v>740.0</v>
      </c>
      <c r="C10245" s="2" t="s">
        <v>221</v>
      </c>
      <c r="D10245" s="2" t="s">
        <v>5</v>
      </c>
    </row>
    <row r="10246">
      <c r="A10246" s="1">
        <v>44132.685973680556</v>
      </c>
      <c r="B10246" s="2">
        <v>739.0</v>
      </c>
      <c r="C10246" s="2" t="s">
        <v>194</v>
      </c>
      <c r="D10246" s="2" t="s">
        <v>5</v>
      </c>
    </row>
    <row r="10247">
      <c r="A10247" s="1">
        <v>44132.69033858796</v>
      </c>
      <c r="B10247" s="2">
        <v>614.0</v>
      </c>
      <c r="C10247" s="2" t="s">
        <v>76</v>
      </c>
    </row>
    <row r="10248">
      <c r="A10248" s="1">
        <v>44134.39405574074</v>
      </c>
      <c r="B10248" s="2">
        <v>734.0</v>
      </c>
      <c r="C10248" s="2" t="s">
        <v>63</v>
      </c>
      <c r="D10248" s="2" t="s">
        <v>5</v>
      </c>
    </row>
    <row r="10249">
      <c r="A10249" s="1">
        <v>44134.39429969907</v>
      </c>
      <c r="B10249" s="2">
        <v>734.0</v>
      </c>
      <c r="C10249" s="2" t="s">
        <v>63</v>
      </c>
      <c r="D10249" s="2" t="s">
        <v>5</v>
      </c>
    </row>
    <row r="10250">
      <c r="A10250" s="1">
        <v>44134.39471810185</v>
      </c>
      <c r="B10250" s="2">
        <v>734.0</v>
      </c>
      <c r="C10250" s="2" t="s">
        <v>63</v>
      </c>
      <c r="D10250" s="2" t="s">
        <v>5</v>
      </c>
    </row>
    <row r="10251">
      <c r="A10251" s="1">
        <v>44134.395837013886</v>
      </c>
      <c r="B10251" s="2">
        <v>721.0</v>
      </c>
      <c r="C10251" s="2" t="s">
        <v>156</v>
      </c>
      <c r="D10251" s="2" t="s">
        <v>5</v>
      </c>
    </row>
    <row r="10252">
      <c r="A10252" s="1">
        <v>44134.39618244213</v>
      </c>
      <c r="B10252" s="2">
        <v>254.0</v>
      </c>
      <c r="C10252" s="2" t="s">
        <v>132</v>
      </c>
    </row>
    <row r="10253">
      <c r="A10253" s="1">
        <v>44134.3989090625</v>
      </c>
      <c r="B10253" s="2">
        <v>726.0</v>
      </c>
      <c r="C10253" s="2" t="s">
        <v>101</v>
      </c>
      <c r="D10253" s="2" t="s">
        <v>5</v>
      </c>
    </row>
    <row r="10254">
      <c r="A10254" s="1">
        <v>44134.39976143518</v>
      </c>
      <c r="B10254" s="2">
        <v>220.0</v>
      </c>
      <c r="C10254" s="2" t="s">
        <v>231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5.13"/>
    <col customWidth="1" min="3" max="3" width="16.13"/>
    <col customWidth="1" min="4" max="4" width="6.38"/>
    <col customWidth="1" min="5" max="5" width="10.13"/>
    <col customWidth="1" min="6" max="6" width="15.13"/>
    <col customWidth="1" min="7" max="7" width="23.63"/>
    <col customWidth="1" min="8" max="17" width="14.13"/>
  </cols>
  <sheetData>
    <row r="1" ht="37.5" customHeight="1">
      <c r="A1" s="4" t="str">
        <f>HYPERLINK("https://goo.gl/wcexTs","007")</f>
        <v>007</v>
      </c>
      <c r="B1" s="5" t="s">
        <v>185</v>
      </c>
      <c r="C1" s="6"/>
      <c r="D1" s="4"/>
      <c r="E1" s="4" t="s">
        <v>246</v>
      </c>
      <c r="F1" s="7" t="s">
        <v>247</v>
      </c>
      <c r="G1" s="8" t="s">
        <v>248</v>
      </c>
      <c r="H1" s="9"/>
      <c r="I1" s="9"/>
      <c r="J1" s="9"/>
      <c r="K1" s="9"/>
      <c r="L1" s="9"/>
      <c r="M1" s="9"/>
      <c r="N1" s="9"/>
      <c r="O1" s="9"/>
      <c r="P1" s="9"/>
      <c r="Q1" s="9"/>
    </row>
    <row r="2" ht="37.5" customHeight="1">
      <c r="A2" s="10" t="str">
        <f>HYPERLINK("https://goo.gl/QSMmCu","010")</f>
        <v>010</v>
      </c>
      <c r="B2" s="11" t="s">
        <v>187</v>
      </c>
      <c r="C2" s="12"/>
      <c r="D2" s="13"/>
      <c r="E2" s="14" t="s">
        <v>249</v>
      </c>
      <c r="F2" s="7" t="s">
        <v>250</v>
      </c>
      <c r="G2" s="6" t="s">
        <v>251</v>
      </c>
      <c r="H2" s="9"/>
      <c r="I2" s="15"/>
      <c r="J2" s="9"/>
      <c r="K2" s="9"/>
      <c r="L2" s="9"/>
      <c r="M2" s="9"/>
      <c r="N2" s="9"/>
      <c r="O2" s="9"/>
      <c r="P2" s="9"/>
      <c r="Q2" s="9"/>
    </row>
    <row r="3" ht="37.5" customHeight="1">
      <c r="A3" s="14" t="s">
        <v>22</v>
      </c>
      <c r="B3" s="11" t="s">
        <v>23</v>
      </c>
      <c r="C3" s="6" t="s">
        <v>252</v>
      </c>
      <c r="D3" s="13"/>
      <c r="E3" s="4" t="s">
        <v>253</v>
      </c>
      <c r="F3" s="7" t="s">
        <v>254</v>
      </c>
      <c r="G3" s="16"/>
      <c r="H3" s="9"/>
      <c r="I3" s="15"/>
      <c r="J3" s="9"/>
      <c r="K3" s="9"/>
      <c r="L3" s="9"/>
      <c r="M3" s="9"/>
      <c r="N3" s="9"/>
      <c r="O3" s="9"/>
      <c r="P3" s="9"/>
      <c r="Q3" s="9"/>
    </row>
    <row r="4" ht="37.5" customHeight="1">
      <c r="A4" s="10" t="str">
        <f>HYPERLINK("https://goo.gl/fBDhCx","012")</f>
        <v>012</v>
      </c>
      <c r="B4" s="11" t="s">
        <v>89</v>
      </c>
      <c r="C4" s="6" t="s">
        <v>255</v>
      </c>
      <c r="D4" s="4"/>
      <c r="E4" s="14" t="str">
        <f>HYPERLINK("https://goo.gl/YsP8Pa","535")</f>
        <v>535</v>
      </c>
      <c r="F4" s="7" t="s">
        <v>208</v>
      </c>
      <c r="G4" s="16"/>
      <c r="H4" s="9"/>
      <c r="I4" s="9"/>
      <c r="J4" s="9"/>
      <c r="K4" s="9"/>
      <c r="L4" s="9"/>
      <c r="M4" s="9"/>
      <c r="N4" s="9"/>
      <c r="O4" s="9"/>
      <c r="P4" s="9"/>
      <c r="Q4" s="9"/>
    </row>
    <row r="5" ht="37.5" customHeight="1">
      <c r="A5" s="10" t="str">
        <f>HYPERLINK("https://goo.gl/QU5Bnh","014")</f>
        <v>014</v>
      </c>
      <c r="B5" s="11" t="s">
        <v>218</v>
      </c>
      <c r="C5" s="17"/>
      <c r="D5" s="4"/>
      <c r="E5" s="4" t="s">
        <v>256</v>
      </c>
      <c r="F5" s="7" t="s">
        <v>257</v>
      </c>
      <c r="G5" s="16"/>
      <c r="H5" s="9"/>
      <c r="I5" s="9"/>
      <c r="J5" s="9"/>
      <c r="K5" s="9"/>
      <c r="L5" s="9"/>
      <c r="M5" s="9"/>
      <c r="N5" s="9"/>
      <c r="O5" s="9"/>
      <c r="P5" s="9"/>
      <c r="Q5" s="9"/>
    </row>
    <row r="6" ht="37.5" customHeight="1">
      <c r="A6" s="10" t="str">
        <f>HYPERLINK("https://goo.gl/Up7F4G","017")</f>
        <v>017</v>
      </c>
      <c r="B6" s="11" t="s">
        <v>10</v>
      </c>
      <c r="C6" s="6" t="s">
        <v>258</v>
      </c>
      <c r="D6" s="4"/>
      <c r="E6" s="4" t="s">
        <v>259</v>
      </c>
      <c r="F6" s="7" t="s">
        <v>260</v>
      </c>
      <c r="G6" s="16"/>
      <c r="H6" s="9"/>
      <c r="I6" s="9"/>
      <c r="J6" s="9"/>
      <c r="K6" s="9"/>
      <c r="L6" s="9"/>
      <c r="M6" s="9"/>
      <c r="N6" s="9"/>
      <c r="O6" s="9"/>
      <c r="P6" s="9"/>
      <c r="Q6" s="9"/>
    </row>
    <row r="7" ht="37.5" customHeight="1">
      <c r="A7" s="10" t="str">
        <f>HYPERLINK("https://goo.gl/jpqaue","018")</f>
        <v>018</v>
      </c>
      <c r="B7" s="11" t="s">
        <v>118</v>
      </c>
      <c r="C7" s="6" t="s">
        <v>261</v>
      </c>
      <c r="D7" s="4"/>
      <c r="E7" s="14" t="s">
        <v>262</v>
      </c>
      <c r="F7" s="7" t="s">
        <v>263</v>
      </c>
      <c r="G7" s="16"/>
      <c r="H7" s="18"/>
      <c r="I7" s="9"/>
      <c r="J7" s="9"/>
      <c r="K7" s="9"/>
      <c r="L7" s="9"/>
      <c r="M7" s="9"/>
      <c r="N7" s="9"/>
      <c r="O7" s="9"/>
      <c r="P7" s="9"/>
      <c r="Q7" s="9"/>
    </row>
    <row r="8" ht="37.5" customHeight="1">
      <c r="A8" s="10" t="str">
        <f>HYPERLINK("https://goo.gl/nHRjb1","019")</f>
        <v>019</v>
      </c>
      <c r="B8" s="11" t="s">
        <v>120</v>
      </c>
      <c r="C8" s="6"/>
      <c r="D8" s="10"/>
      <c r="E8" s="4" t="s">
        <v>264</v>
      </c>
      <c r="F8" s="7" t="s">
        <v>265</v>
      </c>
      <c r="G8" s="16"/>
      <c r="H8" s="19"/>
      <c r="I8" s="9"/>
      <c r="J8" s="9"/>
      <c r="K8" s="9"/>
      <c r="L8" s="9"/>
      <c r="M8" s="9"/>
      <c r="N8" s="9"/>
      <c r="O8" s="9"/>
      <c r="P8" s="9"/>
      <c r="Q8" s="9"/>
    </row>
    <row r="9" ht="37.5" customHeight="1">
      <c r="A9" s="10" t="str">
        <f>HYPERLINK("https://goo.gl/78RqGZ","020")</f>
        <v>020</v>
      </c>
      <c r="B9" s="11" t="s">
        <v>12</v>
      </c>
      <c r="C9" s="6" t="s">
        <v>266</v>
      </c>
      <c r="D9" s="10"/>
      <c r="E9" s="14" t="s">
        <v>267</v>
      </c>
      <c r="F9" s="7" t="s">
        <v>268</v>
      </c>
      <c r="G9" s="6" t="s">
        <v>269</v>
      </c>
      <c r="H9" s="9"/>
      <c r="I9" s="9"/>
      <c r="J9" s="9"/>
      <c r="K9" s="9"/>
      <c r="L9" s="9"/>
      <c r="M9" s="9"/>
      <c r="N9" s="9"/>
      <c r="O9" s="9"/>
      <c r="P9" s="9"/>
      <c r="Q9" s="9"/>
    </row>
    <row r="10" ht="37.5" customHeight="1">
      <c r="A10" s="10" t="str">
        <f>HYPERLINK("https://goo.gl/jLD6UN","021")</f>
        <v>021</v>
      </c>
      <c r="B10" s="11" t="s">
        <v>127</v>
      </c>
      <c r="C10" s="20"/>
      <c r="D10" s="10"/>
      <c r="E10" s="10" t="str">
        <f>HYPERLINK("https://goo.gl/NQqVfS","601")</f>
        <v>601</v>
      </c>
      <c r="F10" s="11" t="s">
        <v>125</v>
      </c>
      <c r="G10" s="6" t="s">
        <v>270</v>
      </c>
      <c r="H10" s="9"/>
      <c r="I10" s="9"/>
      <c r="J10" s="9"/>
      <c r="K10" s="9"/>
      <c r="L10" s="9"/>
      <c r="M10" s="9"/>
      <c r="N10" s="9"/>
      <c r="O10" s="9"/>
      <c r="P10" s="9"/>
      <c r="Q10" s="9"/>
    </row>
    <row r="11" ht="37.5" customHeight="1">
      <c r="A11" s="14" t="s">
        <v>59</v>
      </c>
      <c r="B11" s="11" t="s">
        <v>60</v>
      </c>
      <c r="C11" s="6" t="s">
        <v>271</v>
      </c>
      <c r="D11" s="10"/>
      <c r="E11" s="21">
        <v>602.0</v>
      </c>
      <c r="F11" s="22" t="s">
        <v>272</v>
      </c>
      <c r="G11" s="16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ht="37.5" customHeight="1">
      <c r="A12" s="10" t="str">
        <f>HYPERLINK("https://goo.gl/GoZMNV","033")</f>
        <v>033</v>
      </c>
      <c r="B12" s="11" t="s">
        <v>14</v>
      </c>
      <c r="C12" s="20"/>
      <c r="D12" s="10"/>
      <c r="E12" s="10" t="str">
        <f>HYPERLINK("https://goo.gl/FQEesQ","603")</f>
        <v>603</v>
      </c>
      <c r="F12" s="11" t="s">
        <v>40</v>
      </c>
      <c r="G12" s="16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ht="37.5" customHeight="1">
      <c r="A13" s="10" t="str">
        <f>HYPERLINK("https://goo.gl/3LjudA","035")</f>
        <v>035</v>
      </c>
      <c r="B13" s="11" t="s">
        <v>75</v>
      </c>
      <c r="C13" s="6" t="s">
        <v>273</v>
      </c>
      <c r="D13" s="10"/>
      <c r="E13" s="10" t="str">
        <f>HYPERLINK("https://goo.gl/JrmZzu","604")</f>
        <v>604</v>
      </c>
      <c r="F13" s="11" t="s">
        <v>36</v>
      </c>
      <c r="G13" s="16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ht="37.5" customHeight="1">
      <c r="A14" s="10" t="str">
        <f>HYPERLINK("https://goo.gl/R9vjdg","041")</f>
        <v>041</v>
      </c>
      <c r="B14" s="11" t="s">
        <v>45</v>
      </c>
      <c r="C14" s="6" t="s">
        <v>274</v>
      </c>
      <c r="D14" s="10"/>
      <c r="E14" s="10" t="str">
        <f>HYPERLINK("https://goo.gl/eiHCLZ","605")</f>
        <v>605</v>
      </c>
      <c r="F14" s="23" t="s">
        <v>206</v>
      </c>
      <c r="G14" s="8" t="s">
        <v>275</v>
      </c>
      <c r="H14" s="9"/>
      <c r="I14" s="9"/>
      <c r="J14" s="9"/>
      <c r="K14" s="9"/>
      <c r="L14" s="9"/>
      <c r="M14" s="9"/>
      <c r="N14" s="9"/>
      <c r="O14" s="9"/>
      <c r="P14" s="9"/>
      <c r="Q14" s="9"/>
    </row>
    <row r="15" ht="37.5" customHeight="1">
      <c r="A15" s="4" t="s">
        <v>276</v>
      </c>
      <c r="B15" s="7" t="s">
        <v>277</v>
      </c>
      <c r="C15" s="6" t="s">
        <v>278</v>
      </c>
      <c r="D15" s="10"/>
      <c r="E15" s="10" t="str">
        <f>HYPERLINK("https://goo.gl/F7Y7bG","606")</f>
        <v>606</v>
      </c>
      <c r="F15" s="11" t="s">
        <v>174</v>
      </c>
      <c r="G15" s="16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ht="37.5" customHeight="1">
      <c r="A16" s="10" t="str">
        <f>HYPERLINK("https://goo.gl/e18Kyb","048")</f>
        <v>048</v>
      </c>
      <c r="B16" s="11" t="s">
        <v>151</v>
      </c>
      <c r="C16" s="20"/>
      <c r="D16" s="24"/>
      <c r="E16" s="10" t="str">
        <f>HYPERLINK("https://goo.gl/8MveWj","608")</f>
        <v>608</v>
      </c>
      <c r="F16" s="25" t="s">
        <v>7</v>
      </c>
      <c r="G16" s="8" t="s">
        <v>279</v>
      </c>
      <c r="H16" s="9"/>
      <c r="I16" s="9"/>
      <c r="J16" s="9"/>
      <c r="K16" s="9"/>
      <c r="L16" s="9"/>
      <c r="M16" s="9"/>
      <c r="N16" s="9"/>
      <c r="O16" s="9"/>
      <c r="P16" s="9"/>
      <c r="Q16" s="9"/>
    </row>
    <row r="17" ht="37.5" customHeight="1">
      <c r="A17" s="10" t="str">
        <f>HYPERLINK("https://goo.gl/rVgtWN","049")</f>
        <v>049</v>
      </c>
      <c r="B17" s="11" t="s">
        <v>83</v>
      </c>
      <c r="C17" s="20"/>
      <c r="D17" s="10"/>
      <c r="E17" s="21">
        <v>609.0</v>
      </c>
      <c r="F17" s="26" t="s">
        <v>179</v>
      </c>
      <c r="G17" s="16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ht="37.5" customHeight="1">
      <c r="A18" s="10" t="str">
        <f>HYPERLINK("https://goo.gl/XqR6mS","051")</f>
        <v>051</v>
      </c>
      <c r="B18" s="11" t="s">
        <v>163</v>
      </c>
      <c r="C18" s="6" t="s">
        <v>280</v>
      </c>
      <c r="D18" s="10"/>
      <c r="E18" s="10" t="str">
        <f>HYPERLINK("https://goo.gl/qDxGD7","610")</f>
        <v>610</v>
      </c>
      <c r="F18" s="11" t="s">
        <v>220</v>
      </c>
      <c r="G18" s="27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ht="37.5" customHeight="1">
      <c r="A19" s="10" t="str">
        <f>HYPERLINK("https://goo.gl/pNGHJr","052")</f>
        <v>052</v>
      </c>
      <c r="B19" s="23" t="s">
        <v>41</v>
      </c>
      <c r="C19" s="6" t="s">
        <v>281</v>
      </c>
      <c r="D19" s="10"/>
      <c r="E19" s="10" t="str">
        <f>HYPERLINK("https://goo.gl/LtQ3Nc","611")</f>
        <v>611</v>
      </c>
      <c r="F19" s="28" t="s">
        <v>143</v>
      </c>
      <c r="G19" s="27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ht="37.5" customHeight="1">
      <c r="A20" s="10" t="str">
        <f>HYPERLINK("https://goo.gl/w9Zov5","053")</f>
        <v>053</v>
      </c>
      <c r="B20" s="11" t="s">
        <v>104</v>
      </c>
      <c r="C20" s="6" t="s">
        <v>282</v>
      </c>
      <c r="D20" s="10"/>
      <c r="E20" s="10" t="str">
        <f>HYPERLINK("https://goo.gl/SXdvMD","612")</f>
        <v>612</v>
      </c>
      <c r="F20" s="11" t="s">
        <v>214</v>
      </c>
      <c r="G20" s="27"/>
      <c r="H20" s="9"/>
      <c r="I20" s="29"/>
      <c r="J20" s="9"/>
      <c r="K20" s="9"/>
      <c r="L20" s="9"/>
      <c r="M20" s="9"/>
      <c r="N20" s="9"/>
      <c r="O20" s="9"/>
      <c r="P20" s="9"/>
      <c r="Q20" s="9"/>
    </row>
    <row r="21" ht="37.5" customHeight="1">
      <c r="A21" s="10" t="str">
        <f>HYPERLINK("https://goo.gl/rjBb8f","054")</f>
        <v>054</v>
      </c>
      <c r="B21" s="11" t="s">
        <v>160</v>
      </c>
      <c r="C21" s="6" t="s">
        <v>283</v>
      </c>
      <c r="D21" s="10"/>
      <c r="E21" s="10" t="str">
        <f>HYPERLINK("https://goo.gl/M3ZWsG","613")</f>
        <v>613</v>
      </c>
      <c r="F21" s="11" t="s">
        <v>124</v>
      </c>
      <c r="G21" s="6" t="s">
        <v>284</v>
      </c>
      <c r="H21" s="9"/>
      <c r="I21" s="29"/>
      <c r="J21" s="9"/>
      <c r="K21" s="9"/>
      <c r="L21" s="9"/>
      <c r="M21" s="9"/>
      <c r="N21" s="9"/>
      <c r="O21" s="9"/>
      <c r="P21" s="9"/>
      <c r="Q21" s="9"/>
    </row>
    <row r="22" ht="37.5" customHeight="1">
      <c r="A22" s="10" t="str">
        <f>HYPERLINK("https://goo.gl/RZqSNy","057")</f>
        <v>057</v>
      </c>
      <c r="B22" s="11" t="s">
        <v>181</v>
      </c>
      <c r="C22" s="20"/>
      <c r="D22" s="10"/>
      <c r="E22" s="10" t="str">
        <f>HYPERLINK("https://goo.gl/Eza7EC","614")</f>
        <v>614</v>
      </c>
      <c r="F22" s="11" t="s">
        <v>76</v>
      </c>
      <c r="G22" s="27"/>
      <c r="H22" s="9"/>
      <c r="I22" s="29"/>
      <c r="J22" s="9"/>
      <c r="K22" s="9"/>
      <c r="L22" s="9"/>
      <c r="M22" s="9"/>
      <c r="N22" s="9"/>
      <c r="O22" s="9"/>
      <c r="P22" s="9"/>
      <c r="Q22" s="9"/>
    </row>
    <row r="23" ht="37.5" customHeight="1">
      <c r="A23" s="10" t="str">
        <f>HYPERLINK("https://goo.gl/ZwdZ4f","059")</f>
        <v>059</v>
      </c>
      <c r="B23" s="11" t="s">
        <v>79</v>
      </c>
      <c r="C23" s="6" t="s">
        <v>285</v>
      </c>
      <c r="D23" s="10"/>
      <c r="E23" s="10" t="str">
        <f>HYPERLINK("https://goo.gl/st4vZh","615")</f>
        <v>615</v>
      </c>
      <c r="F23" s="28" t="s">
        <v>16</v>
      </c>
      <c r="G23" s="27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ht="37.5" customHeight="1">
      <c r="A24" s="10" t="str">
        <f>HYPERLINK("https://goo.gl/Veqju8","067")</f>
        <v>067</v>
      </c>
      <c r="B24" s="11" t="s">
        <v>112</v>
      </c>
      <c r="C24" s="6" t="s">
        <v>286</v>
      </c>
      <c r="D24" s="10"/>
      <c r="E24" s="10" t="str">
        <f>HYPERLINK("https://goo.gl/4hSxqQ","616")</f>
        <v>616</v>
      </c>
      <c r="F24" s="11" t="s">
        <v>71</v>
      </c>
      <c r="G24" s="27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ht="37.5" customHeight="1">
      <c r="A25" s="10" t="str">
        <f>HYPERLINK("https://goo.gl/VSsD9B","070")</f>
        <v>070</v>
      </c>
      <c r="B25" s="11" t="s">
        <v>183</v>
      </c>
      <c r="C25" s="6" t="s">
        <v>283</v>
      </c>
      <c r="D25" s="10"/>
      <c r="E25" s="10" t="str">
        <f>HYPERLINK("https://goo.gl/388GQa","617")</f>
        <v>617</v>
      </c>
      <c r="F25" s="11" t="s">
        <v>172</v>
      </c>
      <c r="G25" s="27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ht="37.5" customHeight="1">
      <c r="A26" s="10" t="str">
        <f>HYPERLINK("https://goo.gl/72HJ6b","071")</f>
        <v>071</v>
      </c>
      <c r="B26" s="11" t="s">
        <v>81</v>
      </c>
      <c r="C26" s="6" t="s">
        <v>287</v>
      </c>
      <c r="D26" s="10"/>
      <c r="E26" s="10" t="str">
        <f>HYPERLINK("https://goo.gl/mLh6AT","618")</f>
        <v>618</v>
      </c>
      <c r="F26" s="11" t="s">
        <v>147</v>
      </c>
      <c r="G26" s="27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ht="37.5" customHeight="1">
      <c r="A27" s="10" t="str">
        <f>HYPERLINK("https://goo.gl/QG8LVd","072")</f>
        <v>072</v>
      </c>
      <c r="B27" s="11" t="s">
        <v>52</v>
      </c>
      <c r="C27" s="6" t="s">
        <v>288</v>
      </c>
      <c r="D27" s="10"/>
      <c r="E27" s="10" t="str">
        <f>HYPERLINK("https://goo.gl/GfLji2","619")</f>
        <v>619</v>
      </c>
      <c r="F27" s="11" t="s">
        <v>46</v>
      </c>
      <c r="G27" s="27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ht="37.5" customHeight="1">
      <c r="A28" s="4" t="s">
        <v>289</v>
      </c>
      <c r="B28" s="7" t="s">
        <v>290</v>
      </c>
      <c r="C28" s="20"/>
      <c r="D28" s="10"/>
      <c r="E28" s="10" t="str">
        <f>HYPERLINK("https://goo.gl/AiTZjt","620")</f>
        <v>620</v>
      </c>
      <c r="F28" s="11" t="s">
        <v>232</v>
      </c>
      <c r="G28" s="27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ht="37.5" customHeight="1">
      <c r="A29" s="10" t="str">
        <f>HYPERLINK("https://goo.gl/BLqwQY","075")</f>
        <v>075</v>
      </c>
      <c r="B29" s="11" t="s">
        <v>170</v>
      </c>
      <c r="C29" s="20"/>
      <c r="D29" s="10"/>
      <c r="E29" s="10" t="str">
        <f>HYPERLINK("https://goo.gl/7CVfQk","621")</f>
        <v>621</v>
      </c>
      <c r="F29" s="11" t="s">
        <v>215</v>
      </c>
      <c r="G29" s="27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ht="37.5" customHeight="1">
      <c r="A30" s="10" t="str">
        <f>HYPERLINK("https://goo.gl/9scDdV","077")</f>
        <v>077</v>
      </c>
      <c r="B30" s="11" t="s">
        <v>95</v>
      </c>
      <c r="C30" s="6" t="s">
        <v>274</v>
      </c>
      <c r="D30" s="10"/>
      <c r="E30" s="10" t="str">
        <f>HYPERLINK("https://goo.gl/nPXunK","623")</f>
        <v>623</v>
      </c>
      <c r="F30" s="11" t="s">
        <v>133</v>
      </c>
      <c r="G30" s="27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ht="37.5" customHeight="1">
      <c r="A31" s="4" t="s">
        <v>291</v>
      </c>
      <c r="B31" s="7" t="s">
        <v>292</v>
      </c>
      <c r="C31" s="6" t="s">
        <v>271</v>
      </c>
      <c r="D31" s="10"/>
      <c r="E31" s="10" t="str">
        <f>HYPERLINK("https://goo.gl/1GNKEk","624")</f>
        <v>624</v>
      </c>
      <c r="F31" s="11" t="s">
        <v>90</v>
      </c>
      <c r="G31" s="27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ht="37.5" customHeight="1">
      <c r="A32" s="10" t="str">
        <f>HYPERLINK("https://goo.gl/z2j4Ew","080")</f>
        <v>080</v>
      </c>
      <c r="B32" s="11" t="s">
        <v>49</v>
      </c>
      <c r="C32" s="20"/>
      <c r="D32" s="10"/>
      <c r="E32" s="10" t="str">
        <f>HYPERLINK("https://goo.gl/L9R3FG","625")</f>
        <v>625</v>
      </c>
      <c r="F32" s="11" t="s">
        <v>136</v>
      </c>
      <c r="G32" s="6" t="s">
        <v>293</v>
      </c>
      <c r="H32" s="9"/>
      <c r="I32" s="9"/>
      <c r="J32" s="9"/>
      <c r="K32" s="9"/>
      <c r="L32" s="9"/>
      <c r="M32" s="9"/>
      <c r="N32" s="9"/>
      <c r="O32" s="9"/>
      <c r="P32" s="9"/>
      <c r="Q32" s="9"/>
    </row>
    <row r="33" ht="37.5" customHeight="1">
      <c r="A33" s="10" t="str">
        <f>HYPERLINK("https://goo.gl/bS1CXJ","082")</f>
        <v>082</v>
      </c>
      <c r="B33" s="11" t="s">
        <v>99</v>
      </c>
      <c r="C33" s="6" t="s">
        <v>294</v>
      </c>
      <c r="D33" s="10"/>
      <c r="E33" s="10" t="str">
        <f>HYPERLINK("https://goo.gl/5mgWhx","627")</f>
        <v>627</v>
      </c>
      <c r="F33" s="28" t="s">
        <v>134</v>
      </c>
      <c r="G33" s="6" t="s">
        <v>295</v>
      </c>
      <c r="H33" s="9"/>
      <c r="I33" s="9"/>
      <c r="J33" s="9"/>
      <c r="K33" s="9"/>
      <c r="L33" s="9"/>
      <c r="M33" s="9"/>
      <c r="N33" s="9"/>
      <c r="O33" s="9"/>
      <c r="P33" s="9"/>
      <c r="Q33" s="9"/>
    </row>
    <row r="34" ht="37.5" customHeight="1">
      <c r="A34" s="4" t="s">
        <v>296</v>
      </c>
      <c r="B34" s="7" t="s">
        <v>297</v>
      </c>
      <c r="C34" s="6" t="s">
        <v>298</v>
      </c>
      <c r="D34" s="10"/>
      <c r="E34" s="10" t="str">
        <f>HYPERLINK("https://goo.gl/3h8tBK","630")</f>
        <v>630</v>
      </c>
      <c r="F34" s="11" t="s">
        <v>158</v>
      </c>
      <c r="G34" s="30" t="s">
        <v>299</v>
      </c>
      <c r="H34" s="9"/>
      <c r="I34" s="31"/>
      <c r="J34" s="18"/>
      <c r="K34" s="9"/>
      <c r="L34" s="9"/>
      <c r="M34" s="9"/>
      <c r="N34" s="9"/>
      <c r="O34" s="9"/>
      <c r="P34" s="9"/>
      <c r="Q34" s="9"/>
    </row>
    <row r="35" ht="37.5" customHeight="1">
      <c r="A35" s="10" t="str">
        <f>HYPERLINK("https://goo.gl/2jojWJ","088")</f>
        <v>088</v>
      </c>
      <c r="B35" s="11" t="s">
        <v>56</v>
      </c>
      <c r="C35" s="6"/>
      <c r="D35" s="10"/>
      <c r="E35" s="10" t="str">
        <f>HYPERLINK("https://goo.gl/qu672T","631")</f>
        <v>631</v>
      </c>
      <c r="F35" s="11" t="s">
        <v>178</v>
      </c>
      <c r="G35" s="30"/>
      <c r="H35" s="9"/>
      <c r="I35" s="31"/>
      <c r="J35" s="18"/>
      <c r="K35" s="9"/>
      <c r="L35" s="9"/>
      <c r="M35" s="9"/>
      <c r="N35" s="9"/>
      <c r="O35" s="9"/>
      <c r="P35" s="9"/>
      <c r="Q35" s="9"/>
    </row>
    <row r="36" ht="37.5" customHeight="1">
      <c r="A36" s="10" t="str">
        <f>HYPERLINK("https://goo.gl/oZyH5Z","089")</f>
        <v>089</v>
      </c>
      <c r="B36" s="11" t="s">
        <v>43</v>
      </c>
      <c r="C36" s="6" t="s">
        <v>300</v>
      </c>
      <c r="D36" s="10"/>
      <c r="E36" s="10" t="str">
        <f>HYPERLINK("https://goo.gl/RxKSyx","632")</f>
        <v>632</v>
      </c>
      <c r="F36" s="7" t="s">
        <v>146</v>
      </c>
      <c r="G36" s="30" t="s">
        <v>301</v>
      </c>
      <c r="H36" s="9"/>
      <c r="I36" s="9"/>
      <c r="J36" s="9"/>
      <c r="K36" s="9"/>
      <c r="L36" s="9"/>
      <c r="M36" s="9"/>
      <c r="N36" s="9"/>
      <c r="O36" s="9"/>
      <c r="P36" s="9"/>
      <c r="Q36" s="9"/>
    </row>
    <row r="37" ht="37.5" customHeight="1">
      <c r="A37" s="4" t="s">
        <v>302</v>
      </c>
      <c r="B37" s="7" t="s">
        <v>303</v>
      </c>
      <c r="C37" s="20"/>
      <c r="D37" s="10"/>
      <c r="E37" s="10" t="str">
        <f>HYPERLINK("https://goo.gl/nzqZvk","633")</f>
        <v>633</v>
      </c>
      <c r="F37" s="23" t="s">
        <v>233</v>
      </c>
      <c r="G37" s="27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ht="37.5" customHeight="1">
      <c r="A38" s="10" t="str">
        <f>HYPERLINK("https://goo.gl/i6XL9a","092")</f>
        <v>092</v>
      </c>
      <c r="B38" s="11" t="s">
        <v>230</v>
      </c>
      <c r="C38" s="20"/>
      <c r="D38" s="10"/>
      <c r="E38" s="10" t="str">
        <f>HYPERLINK("https://goo.gl/Ntnqy1","634")</f>
        <v>634</v>
      </c>
      <c r="F38" s="11" t="s">
        <v>234</v>
      </c>
      <c r="G38" s="27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ht="37.5" customHeight="1">
      <c r="A39" s="10" t="str">
        <f>HYPERLINK("https://goo.gl/PkuQYj","093")</f>
        <v>093</v>
      </c>
      <c r="B39" s="11" t="s">
        <v>33</v>
      </c>
      <c r="C39" s="20"/>
      <c r="D39" s="10"/>
      <c r="E39" s="10" t="str">
        <f>HYPERLINK("https://goo.gl/qNFMyq","635")</f>
        <v>635</v>
      </c>
      <c r="F39" s="11" t="s">
        <v>165</v>
      </c>
      <c r="G39" s="27"/>
      <c r="H39" s="18"/>
      <c r="I39" s="9"/>
      <c r="J39" s="9"/>
      <c r="K39" s="9"/>
      <c r="L39" s="9"/>
      <c r="M39" s="9"/>
      <c r="N39" s="9"/>
      <c r="O39" s="9"/>
      <c r="P39" s="9"/>
      <c r="Q39" s="9"/>
    </row>
    <row r="40" ht="37.5" customHeight="1">
      <c r="A40" s="10" t="str">
        <f>HYPERLINK("https://goo.gl/jBGtwK","096")</f>
        <v>096</v>
      </c>
      <c r="B40" s="11" t="s">
        <v>114</v>
      </c>
      <c r="C40" s="6" t="s">
        <v>304</v>
      </c>
      <c r="D40" s="10"/>
      <c r="E40" s="10" t="str">
        <f>HYPERLINK("https://goo.gl/wp6VRo","636")</f>
        <v>636</v>
      </c>
      <c r="F40" s="11" t="s">
        <v>204</v>
      </c>
      <c r="G40" s="27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ht="37.5" customHeight="1">
      <c r="A41" s="10" t="str">
        <f>HYPERLINK("https://goo.gl/Tm78J7","101")</f>
        <v>101</v>
      </c>
      <c r="B41" s="11" t="s">
        <v>108</v>
      </c>
      <c r="C41" s="6" t="s">
        <v>305</v>
      </c>
      <c r="D41" s="10"/>
      <c r="E41" s="10" t="str">
        <f>HYPERLINK("https://goo.gl/F3ieub","639")</f>
        <v>639</v>
      </c>
      <c r="F41" s="11" t="s">
        <v>235</v>
      </c>
      <c r="G41" s="27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ht="37.5" customHeight="1">
      <c r="A42" s="10" t="str">
        <f>HYPERLINK("https://goo.gl/7y2Puy","113")</f>
        <v>113</v>
      </c>
      <c r="B42" s="11" t="s">
        <v>29</v>
      </c>
      <c r="C42" s="20"/>
      <c r="D42" s="10"/>
      <c r="E42" s="10" t="str">
        <f>HYPERLINK("https://goo.gl/pcY55G","641")</f>
        <v>641</v>
      </c>
      <c r="F42" s="23" t="s">
        <v>210</v>
      </c>
      <c r="G42" s="27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ht="37.5" customHeight="1">
      <c r="A43" s="10" t="str">
        <f>HYPERLINK("https://goo.gl/Uuj5PN","114")</f>
        <v>114</v>
      </c>
      <c r="B43" s="11" t="s">
        <v>15</v>
      </c>
      <c r="C43" s="20"/>
      <c r="D43" s="10"/>
      <c r="E43" s="14" t="s">
        <v>306</v>
      </c>
      <c r="F43" s="11" t="s">
        <v>236</v>
      </c>
      <c r="G43" s="30" t="s">
        <v>307</v>
      </c>
      <c r="H43" s="31"/>
      <c r="I43" s="31"/>
      <c r="J43" s="9"/>
      <c r="K43" s="9"/>
      <c r="L43" s="9"/>
      <c r="M43" s="9"/>
      <c r="N43" s="9"/>
      <c r="O43" s="9"/>
      <c r="P43" s="9"/>
      <c r="Q43" s="9"/>
    </row>
    <row r="44" ht="37.5" customHeight="1">
      <c r="A44" s="10" t="str">
        <f>HYPERLINK("https://goo.gl/Burmqt","116")</f>
        <v>116</v>
      </c>
      <c r="B44" s="11" t="s">
        <v>211</v>
      </c>
      <c r="C44" s="20"/>
      <c r="D44" s="10"/>
      <c r="E44" s="21">
        <v>643.0</v>
      </c>
      <c r="F44" s="22" t="s">
        <v>308</v>
      </c>
      <c r="G44" s="6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ht="37.5" customHeight="1">
      <c r="A45" s="10" t="str">
        <f>HYPERLINK("https://goo.gl/KzEmR4","117")</f>
        <v>117</v>
      </c>
      <c r="B45" s="11" t="s">
        <v>226</v>
      </c>
      <c r="C45" s="20"/>
      <c r="D45" s="10"/>
      <c r="E45" s="10" t="str">
        <f>HYPERLINK("https://goo.gl/vB7iMr","644")</f>
        <v>644</v>
      </c>
      <c r="F45" s="11" t="s">
        <v>227</v>
      </c>
      <c r="G45" s="27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ht="37.5" customHeight="1">
      <c r="A46" s="10" t="str">
        <f>HYPERLINK("https://goo.gl/9Jiwgd","124")</f>
        <v>124</v>
      </c>
      <c r="B46" s="11" t="s">
        <v>107</v>
      </c>
      <c r="C46" s="6" t="s">
        <v>309</v>
      </c>
      <c r="D46" s="10"/>
      <c r="E46" s="10" t="str">
        <f>HYPERLINK("https://goo.gl/2gWSRB","646")</f>
        <v>646</v>
      </c>
      <c r="F46" s="11" t="s">
        <v>209</v>
      </c>
      <c r="G46" s="27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ht="37.5" customHeight="1">
      <c r="A47" s="10" t="str">
        <f>HYPERLINK("https://goo.gl/6bSN1B","126")</f>
        <v>126</v>
      </c>
      <c r="B47" s="11" t="s">
        <v>87</v>
      </c>
      <c r="C47" s="20"/>
      <c r="D47" s="10"/>
      <c r="E47" s="10" t="str">
        <f>HYPERLINK("https://goo.gl/svxfet","647")</f>
        <v>647</v>
      </c>
      <c r="F47" s="11" t="s">
        <v>217</v>
      </c>
      <c r="G47" s="27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ht="37.5" customHeight="1">
      <c r="A48" s="10" t="str">
        <f>HYPERLINK("https://goo.gl/vCfVXM","137")</f>
        <v>137</v>
      </c>
      <c r="B48" s="11" t="s">
        <v>72</v>
      </c>
      <c r="C48" s="20"/>
      <c r="D48" s="10"/>
      <c r="E48" s="10" t="str">
        <f>HYPERLINK("https://goo.gl/jNmJEP","648")</f>
        <v>648</v>
      </c>
      <c r="F48" s="11" t="s">
        <v>207</v>
      </c>
      <c r="G48" s="27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ht="37.5" customHeight="1">
      <c r="A49" s="4" t="s">
        <v>310</v>
      </c>
      <c r="B49" s="7" t="s">
        <v>311</v>
      </c>
      <c r="C49" s="20"/>
      <c r="D49" s="10"/>
      <c r="E49" s="10" t="str">
        <f>HYPERLINK("https://goo.gl/kYLZ9y","649")</f>
        <v>649</v>
      </c>
      <c r="F49" s="11" t="s">
        <v>177</v>
      </c>
      <c r="G49" s="27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ht="37.5" customHeight="1">
      <c r="A50" s="10" t="str">
        <f>HYPERLINK("https://goo.gl/ZAMShh","141")</f>
        <v>141</v>
      </c>
      <c r="B50" s="11" t="s">
        <v>53</v>
      </c>
      <c r="C50" s="6" t="s">
        <v>312</v>
      </c>
      <c r="D50" s="10"/>
      <c r="E50" s="32" t="str">
        <f>HYPERLINK("https://goo.gl/UrJu9K","650")</f>
        <v>650</v>
      </c>
      <c r="F50" s="7" t="s">
        <v>213</v>
      </c>
      <c r="G50" s="27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37.5" customHeight="1">
      <c r="A51" s="10" t="str">
        <f>HYPERLINK("https://goo.gl/tXvdyk","147")</f>
        <v>147</v>
      </c>
      <c r="B51" s="11" t="s">
        <v>100</v>
      </c>
      <c r="C51" s="6" t="s">
        <v>313</v>
      </c>
      <c r="D51" s="10"/>
      <c r="E51" s="33" t="s">
        <v>314</v>
      </c>
      <c r="F51" s="22" t="s">
        <v>315</v>
      </c>
      <c r="G51" s="30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ht="37.5" customHeight="1">
      <c r="A52" s="10" t="str">
        <f>HYPERLINK("https://goo.gl/KcHrRW","153")</f>
        <v>153</v>
      </c>
      <c r="B52" s="7" t="s">
        <v>316</v>
      </c>
      <c r="C52" s="20"/>
      <c r="D52" s="34"/>
      <c r="E52" s="10" t="str">
        <f>HYPERLINK("https://goo.gl/9Lhxyu","655")</f>
        <v>655</v>
      </c>
      <c r="F52" s="28" t="s">
        <v>17</v>
      </c>
      <c r="G52" s="6" t="s">
        <v>317</v>
      </c>
      <c r="H52" s="9"/>
      <c r="I52" s="9"/>
      <c r="J52" s="9"/>
      <c r="K52" s="9"/>
      <c r="L52" s="9"/>
      <c r="M52" s="9"/>
      <c r="N52" s="9"/>
      <c r="O52" s="9"/>
      <c r="P52" s="9"/>
      <c r="Q52" s="9"/>
    </row>
    <row r="53" ht="37.5" customHeight="1">
      <c r="A53" s="10" t="str">
        <f>HYPERLINK("https://goo.gl/Q8rnmC","157")</f>
        <v>157</v>
      </c>
      <c r="B53" s="11" t="s">
        <v>141</v>
      </c>
      <c r="C53" s="6" t="s">
        <v>318</v>
      </c>
      <c r="D53" s="10"/>
      <c r="E53" s="21">
        <v>656.0</v>
      </c>
      <c r="F53" s="22" t="s">
        <v>319</v>
      </c>
      <c r="G53" s="30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ht="37.5" customHeight="1">
      <c r="A54" s="10" t="str">
        <f>HYPERLINK("https://goo.gl/MxXseJ","158")</f>
        <v>158</v>
      </c>
      <c r="B54" s="11" t="s">
        <v>62</v>
      </c>
      <c r="C54" s="6" t="s">
        <v>320</v>
      </c>
      <c r="D54" s="10"/>
      <c r="E54" s="10" t="str">
        <f>HYPERLINK("https://goo.gl/tY19SA","657")</f>
        <v>657</v>
      </c>
      <c r="F54" s="11" t="s">
        <v>237</v>
      </c>
      <c r="G54" s="27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ht="37.5" customHeight="1">
      <c r="A55" s="10" t="str">
        <f>HYPERLINK("https://goo.gl/QMDe1A","159")</f>
        <v>159</v>
      </c>
      <c r="B55" s="11" t="s">
        <v>58</v>
      </c>
      <c r="C55" s="20"/>
      <c r="D55" s="24"/>
      <c r="E55" s="10" t="str">
        <f>HYPERLINK("https://goo.gl/CDN2eE","663")</f>
        <v>663</v>
      </c>
      <c r="F55" s="11" t="s">
        <v>109</v>
      </c>
      <c r="G55" s="27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ht="37.5" customHeight="1">
      <c r="A56" s="10" t="str">
        <f>HYPERLINK("https://goo.gl/1ZCgFq","160")</f>
        <v>160</v>
      </c>
      <c r="B56" s="11" t="s">
        <v>154</v>
      </c>
      <c r="C56" s="20"/>
      <c r="D56" s="10"/>
      <c r="E56" s="10" t="str">
        <f>HYPERLINK("https://goo.gl/ZaBXya","664")</f>
        <v>664</v>
      </c>
      <c r="F56" s="28" t="s">
        <v>191</v>
      </c>
      <c r="G56" s="27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ht="37.5" customHeight="1">
      <c r="A57" s="10" t="str">
        <f>HYPERLINK("https://goo.gl/8uyZem","165")</f>
        <v>165</v>
      </c>
      <c r="B57" s="11" t="s">
        <v>50</v>
      </c>
      <c r="C57" s="6" t="s">
        <v>321</v>
      </c>
      <c r="D57" s="10"/>
      <c r="E57" s="10" t="str">
        <f>HYPERLINK("https://goo.gl/jb6Fex","665")</f>
        <v>665</v>
      </c>
      <c r="F57" s="11" t="s">
        <v>145</v>
      </c>
      <c r="G57" s="27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ht="37.5" customHeight="1">
      <c r="A58" s="4" t="s">
        <v>322</v>
      </c>
      <c r="B58" s="7" t="s">
        <v>323</v>
      </c>
      <c r="C58" s="6" t="s">
        <v>324</v>
      </c>
      <c r="D58" s="10"/>
      <c r="E58" s="10" t="str">
        <f>HYPERLINK("https://goo.gl/H1Mkzv","666")</f>
        <v>666</v>
      </c>
      <c r="F58" s="11" t="s">
        <v>192</v>
      </c>
      <c r="G58" s="27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ht="37.5" customHeight="1">
      <c r="A59" s="10" t="str">
        <f>HYPERLINK("https://goo.gl/PQcehC","167")</f>
        <v>167</v>
      </c>
      <c r="B59" s="11" t="s">
        <v>39</v>
      </c>
      <c r="C59" s="6" t="s">
        <v>325</v>
      </c>
      <c r="D59" s="10"/>
      <c r="E59" s="10" t="str">
        <f>HYPERLINK("https://goo.gl/BkFQEo","667")</f>
        <v>667</v>
      </c>
      <c r="F59" s="11" t="s">
        <v>73</v>
      </c>
      <c r="G59" s="27"/>
      <c r="H59" s="9"/>
      <c r="I59" s="9"/>
      <c r="J59" s="9"/>
      <c r="K59" s="9"/>
      <c r="L59" s="9"/>
      <c r="M59" s="9"/>
      <c r="N59" s="35"/>
      <c r="O59" s="9"/>
      <c r="P59" s="9"/>
      <c r="Q59" s="9"/>
    </row>
    <row r="60" ht="37.5" customHeight="1">
      <c r="A60" s="4" t="s">
        <v>326</v>
      </c>
      <c r="B60" s="7" t="s">
        <v>327</v>
      </c>
      <c r="C60" s="6" t="s">
        <v>328</v>
      </c>
      <c r="D60" s="10"/>
      <c r="E60" s="10" t="str">
        <f>HYPERLINK("https://goo.gl/19zrM5","669")</f>
        <v>669</v>
      </c>
      <c r="F60" s="11" t="s">
        <v>190</v>
      </c>
      <c r="G60" s="30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ht="37.5" customHeight="1">
      <c r="A61" s="10" t="str">
        <f>HYPERLINK("https://goo.gl/q9yXm4","172")</f>
        <v>172</v>
      </c>
      <c r="B61" s="11" t="s">
        <v>65</v>
      </c>
      <c r="C61" s="36" t="s">
        <v>329</v>
      </c>
      <c r="D61" s="10"/>
      <c r="E61" s="10" t="str">
        <f>HYPERLINK("https://goo.gl/YZgDd7","670")</f>
        <v>670</v>
      </c>
      <c r="F61" s="37" t="s">
        <v>139</v>
      </c>
      <c r="G61" s="6" t="s">
        <v>330</v>
      </c>
      <c r="H61" s="31"/>
      <c r="I61" s="9"/>
      <c r="J61" s="9"/>
      <c r="K61" s="9"/>
      <c r="L61" s="9"/>
      <c r="M61" s="9"/>
      <c r="N61" s="9"/>
      <c r="O61" s="9"/>
      <c r="P61" s="9"/>
      <c r="Q61" s="9"/>
    </row>
    <row r="62" ht="37.5" customHeight="1">
      <c r="A62" s="10" t="str">
        <f>HYPERLINK("https://goo.gl/DAzBDC","173")</f>
        <v>173</v>
      </c>
      <c r="B62" s="11" t="s">
        <v>24</v>
      </c>
      <c r="C62" s="36" t="s">
        <v>331</v>
      </c>
      <c r="D62" s="10"/>
      <c r="E62" s="10" t="str">
        <f>HYPERLINK("https://goo.gl/yBnrT1","671")</f>
        <v>671</v>
      </c>
      <c r="F62" s="37" t="s">
        <v>129</v>
      </c>
      <c r="G62" s="6" t="s">
        <v>332</v>
      </c>
      <c r="H62" s="31"/>
      <c r="I62" s="9"/>
      <c r="J62" s="9"/>
      <c r="K62" s="9"/>
      <c r="L62" s="9"/>
      <c r="M62" s="9"/>
      <c r="N62" s="9"/>
      <c r="O62" s="9"/>
      <c r="P62" s="9"/>
      <c r="Q62" s="9"/>
    </row>
    <row r="63" ht="37.5" customHeight="1">
      <c r="A63" s="24">
        <v>175.0</v>
      </c>
      <c r="B63" s="11" t="s">
        <v>69</v>
      </c>
      <c r="C63" s="38"/>
      <c r="D63" s="10"/>
      <c r="E63" s="39" t="str">
        <f>HYPERLINK("https://goo.gl/Hz2jfC","672")</f>
        <v>672</v>
      </c>
      <c r="F63" s="23" t="s">
        <v>6</v>
      </c>
      <c r="G63" s="27"/>
      <c r="H63" s="31"/>
      <c r="I63" s="9"/>
      <c r="J63" s="35"/>
      <c r="K63" s="9"/>
      <c r="L63" s="9"/>
      <c r="M63" s="9"/>
      <c r="N63" s="9"/>
      <c r="O63" s="9"/>
      <c r="P63" s="9"/>
      <c r="Q63" s="9"/>
    </row>
    <row r="64" ht="37.5" customHeight="1">
      <c r="A64" s="4" t="s">
        <v>333</v>
      </c>
      <c r="B64" s="7" t="s">
        <v>334</v>
      </c>
      <c r="C64" s="40"/>
      <c r="D64" s="10"/>
      <c r="E64" s="41" t="str">
        <f>HYPERLINK("https://goo.gl/QVXK2k","673")</f>
        <v>673</v>
      </c>
      <c r="F64" s="7" t="s">
        <v>189</v>
      </c>
      <c r="G64" s="27"/>
      <c r="H64" s="31"/>
      <c r="I64" s="9"/>
      <c r="J64" s="9"/>
      <c r="K64" s="9"/>
      <c r="L64" s="9"/>
      <c r="M64" s="9"/>
      <c r="N64" s="9"/>
      <c r="O64" s="9"/>
      <c r="P64" s="9"/>
      <c r="Q64" s="9"/>
    </row>
    <row r="65" ht="37.5" customHeight="1">
      <c r="A65" s="14" t="s">
        <v>335</v>
      </c>
      <c r="B65" s="23" t="s">
        <v>336</v>
      </c>
      <c r="D65" s="39"/>
      <c r="E65" s="10" t="str">
        <f>HYPERLINK("https://goo.gl/rngZjz","674")</f>
        <v>674</v>
      </c>
      <c r="F65" s="28" t="s">
        <v>193</v>
      </c>
      <c r="G65" s="27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ht="37.5" customHeight="1">
      <c r="A66" s="14" t="s">
        <v>337</v>
      </c>
      <c r="B66" s="23" t="s">
        <v>338</v>
      </c>
      <c r="C66" s="6"/>
      <c r="D66" s="39"/>
      <c r="E66" s="32" t="str">
        <f>HYPERLINK("https://goo.gl/fUHCmL","676")</f>
        <v>676</v>
      </c>
      <c r="F66" s="11" t="s">
        <v>223</v>
      </c>
      <c r="G66" s="36" t="s">
        <v>339</v>
      </c>
      <c r="H66" s="9"/>
      <c r="I66" s="9"/>
      <c r="J66" s="9"/>
      <c r="K66" s="9"/>
      <c r="L66" s="9"/>
      <c r="M66" s="9"/>
      <c r="N66" s="9"/>
      <c r="O66" s="9"/>
      <c r="P66" s="9"/>
      <c r="Q66" s="9"/>
    </row>
    <row r="67" ht="37.5" customHeight="1">
      <c r="A67" s="14" t="s">
        <v>340</v>
      </c>
      <c r="B67" s="11" t="s">
        <v>128</v>
      </c>
      <c r="C67" s="6" t="s">
        <v>341</v>
      </c>
      <c r="D67" s="39"/>
      <c r="E67" s="32" t="str">
        <f>HYPERLINK("https://cutt.ly/rwmvYDk","678")</f>
        <v>678</v>
      </c>
      <c r="F67" s="11" t="s">
        <v>228</v>
      </c>
      <c r="G67" s="36" t="s">
        <v>342</v>
      </c>
      <c r="H67" s="9"/>
      <c r="I67" s="9"/>
      <c r="J67" s="9"/>
      <c r="K67" s="9"/>
      <c r="L67" s="9"/>
      <c r="M67" s="9"/>
      <c r="N67" s="9"/>
      <c r="O67" s="9"/>
      <c r="P67" s="9"/>
      <c r="Q67" s="9"/>
    </row>
    <row r="68" ht="37.5" customHeight="1">
      <c r="A68" s="10" t="str">
        <f>HYPERLINK("https://goo.gl/mknPHz","193")</f>
        <v>193</v>
      </c>
      <c r="B68" s="11" t="s">
        <v>30</v>
      </c>
      <c r="C68" s="42"/>
      <c r="D68" s="41"/>
      <c r="E68" s="32" t="str">
        <f>HYPERLINK("https://cutt.ly/WwmvOmw","679")</f>
        <v>679</v>
      </c>
      <c r="F68" s="11" t="s">
        <v>229</v>
      </c>
      <c r="G68" s="36" t="s">
        <v>343</v>
      </c>
      <c r="H68" s="9"/>
      <c r="I68" s="9"/>
      <c r="J68" s="9"/>
      <c r="K68" s="9"/>
      <c r="L68" s="9"/>
      <c r="M68" s="9"/>
      <c r="N68" s="9"/>
      <c r="O68" s="9"/>
      <c r="P68" s="9"/>
      <c r="Q68" s="9"/>
    </row>
    <row r="69" ht="37.5" customHeight="1">
      <c r="A69" s="10" t="str">
        <f>HYPERLINK("https://goo.gl/WzfBfM","197")</f>
        <v>197</v>
      </c>
      <c r="B69" s="11" t="s">
        <v>225</v>
      </c>
      <c r="C69" s="42"/>
      <c r="D69" s="10"/>
      <c r="E69" s="32" t="str">
        <f>HYPERLINK("https://tinyurl.com/wsdpwvl","680")</f>
        <v>680</v>
      </c>
      <c r="F69" s="7" t="s">
        <v>344</v>
      </c>
      <c r="G69" s="30" t="s">
        <v>345</v>
      </c>
      <c r="H69" s="9"/>
      <c r="I69" s="9"/>
      <c r="J69" s="9"/>
      <c r="K69" s="9"/>
      <c r="L69" s="9"/>
      <c r="M69" s="9"/>
      <c r="N69" s="9"/>
      <c r="O69" s="9"/>
      <c r="P69" s="9"/>
      <c r="Q69" s="9"/>
    </row>
    <row r="70" ht="37.5" customHeight="1">
      <c r="A70" s="10" t="str">
        <f>HYPERLINK("https://goo.gl/JffZzF","198")</f>
        <v>198</v>
      </c>
      <c r="B70" s="11" t="s">
        <v>97</v>
      </c>
      <c r="C70" s="43" t="s">
        <v>346</v>
      </c>
      <c r="D70" s="34"/>
      <c r="E70" s="44">
        <v>681.0</v>
      </c>
      <c r="F70" s="7" t="s">
        <v>347</v>
      </c>
      <c r="G70" s="45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ht="37.5" customHeight="1">
      <c r="A71" s="4" t="s">
        <v>348</v>
      </c>
      <c r="B71" s="7" t="s">
        <v>349</v>
      </c>
      <c r="C71" s="42"/>
      <c r="D71" s="34"/>
      <c r="E71" s="32">
        <v>683.0</v>
      </c>
      <c r="F71" s="7" t="s">
        <v>350</v>
      </c>
      <c r="G71" s="30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ht="37.5" customHeight="1">
      <c r="A72" s="10" t="str">
        <f>HYPERLINK("https://goo.gl/hbg32P","201")</f>
        <v>201</v>
      </c>
      <c r="B72" s="11" t="s">
        <v>70</v>
      </c>
      <c r="C72" s="6" t="s">
        <v>351</v>
      </c>
      <c r="D72" s="46"/>
      <c r="E72" s="32">
        <v>684.0</v>
      </c>
      <c r="F72" s="7" t="s">
        <v>196</v>
      </c>
      <c r="G72" s="30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ht="37.5" customHeight="1">
      <c r="A73" s="24">
        <v>202.0</v>
      </c>
      <c r="B73" s="7" t="s">
        <v>352</v>
      </c>
      <c r="C73" s="42"/>
      <c r="D73" s="34"/>
      <c r="E73" s="32">
        <v>685.0</v>
      </c>
      <c r="F73" s="47" t="s">
        <v>353</v>
      </c>
      <c r="G73" s="30" t="s">
        <v>354</v>
      </c>
      <c r="H73" s="9"/>
      <c r="I73" s="9"/>
      <c r="J73" s="9"/>
      <c r="K73" s="9"/>
      <c r="L73" s="9"/>
      <c r="M73" s="9"/>
      <c r="N73" s="9"/>
      <c r="O73" s="9"/>
      <c r="P73" s="9"/>
      <c r="Q73" s="9"/>
    </row>
    <row r="74" ht="37.5" customHeight="1">
      <c r="A74" s="10" t="str">
        <f>HYPERLINK("https://goo.gl/eUgJGT","207")</f>
        <v>207</v>
      </c>
      <c r="B74" s="11" t="s">
        <v>85</v>
      </c>
      <c r="C74" s="42"/>
      <c r="D74" s="34"/>
      <c r="E74" s="14" t="s">
        <v>355</v>
      </c>
      <c r="F74" s="7" t="s">
        <v>356</v>
      </c>
      <c r="G74" s="30" t="s">
        <v>273</v>
      </c>
      <c r="H74" s="9"/>
      <c r="I74" s="9"/>
      <c r="J74" s="9"/>
      <c r="K74" s="9"/>
      <c r="L74" s="9"/>
      <c r="M74" s="9"/>
      <c r="N74" s="9"/>
      <c r="O74" s="9"/>
      <c r="P74" s="9"/>
      <c r="Q74" s="9"/>
    </row>
    <row r="75" ht="37.5" customHeight="1">
      <c r="A75" s="10" t="str">
        <f>HYPERLINK("https://goo.gl/iHQNB1","208")</f>
        <v>208</v>
      </c>
      <c r="B75" s="23" t="s">
        <v>182</v>
      </c>
      <c r="C75" s="6" t="s">
        <v>357</v>
      </c>
      <c r="D75" s="34"/>
      <c r="E75" s="14" t="s">
        <v>358</v>
      </c>
      <c r="F75" s="7" t="s">
        <v>359</v>
      </c>
      <c r="G75" s="30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ht="37.5" customHeight="1">
      <c r="A76" s="10" t="str">
        <f>HYPERLINK("https://goo.gl/xdrhnu","209")</f>
        <v>209</v>
      </c>
      <c r="B76" s="7" t="s">
        <v>219</v>
      </c>
      <c r="C76" s="30" t="s">
        <v>360</v>
      </c>
      <c r="D76" s="34"/>
      <c r="E76" s="14" t="s">
        <v>361</v>
      </c>
      <c r="F76" s="7" t="s">
        <v>362</v>
      </c>
      <c r="G76" s="30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ht="37.5" customHeight="1">
      <c r="A77" s="10" t="str">
        <f>HYPERLINK("https://goo.gl/1BWNsH","210")</f>
        <v>210</v>
      </c>
      <c r="B77" s="11" t="s">
        <v>64</v>
      </c>
      <c r="C77" s="6" t="s">
        <v>363</v>
      </c>
      <c r="D77" s="48"/>
      <c r="E77" s="14" t="s">
        <v>364</v>
      </c>
      <c r="F77" s="7" t="s">
        <v>365</v>
      </c>
      <c r="G77" s="30" t="s">
        <v>366</v>
      </c>
      <c r="H77" s="9"/>
      <c r="I77" s="9"/>
      <c r="J77" s="9"/>
      <c r="K77" s="9"/>
      <c r="L77" s="9"/>
      <c r="M77" s="9"/>
      <c r="N77" s="9"/>
      <c r="O77" s="9"/>
      <c r="P77" s="9"/>
      <c r="Q77" s="9"/>
    </row>
    <row r="78" ht="37.5" customHeight="1">
      <c r="A78" s="10" t="str">
        <f>HYPERLINK("https://goo.gl/fcYLCN","214")</f>
        <v>214</v>
      </c>
      <c r="B78" s="11" t="s">
        <v>47</v>
      </c>
      <c r="C78" s="20"/>
      <c r="D78" s="48"/>
      <c r="E78" s="14" t="s">
        <v>367</v>
      </c>
      <c r="F78" s="7" t="s">
        <v>368</v>
      </c>
      <c r="G78" s="30" t="s">
        <v>369</v>
      </c>
      <c r="H78" s="9"/>
      <c r="I78" s="9"/>
      <c r="J78" s="9"/>
      <c r="K78" s="9"/>
      <c r="L78" s="9"/>
      <c r="M78" s="9"/>
      <c r="N78" s="9"/>
      <c r="O78" s="9"/>
      <c r="P78" s="9"/>
      <c r="Q78" s="9"/>
    </row>
    <row r="79" ht="37.5" customHeight="1">
      <c r="A79" s="10" t="str">
        <f>HYPERLINK("https://goo.gl/1jNEpE","215")</f>
        <v>215</v>
      </c>
      <c r="B79" s="11" t="s">
        <v>137</v>
      </c>
      <c r="C79" s="20"/>
      <c r="D79" s="10"/>
      <c r="E79" s="14" t="s">
        <v>370</v>
      </c>
      <c r="F79" s="7" t="s">
        <v>371</v>
      </c>
      <c r="G79" s="30" t="s">
        <v>372</v>
      </c>
      <c r="H79" s="9"/>
      <c r="I79" s="9"/>
      <c r="J79" s="9"/>
      <c r="K79" s="9"/>
      <c r="L79" s="9"/>
      <c r="M79" s="9"/>
      <c r="N79" s="9"/>
      <c r="O79" s="9"/>
      <c r="P79" s="9"/>
      <c r="Q79" s="9"/>
    </row>
    <row r="80" ht="37.5" customHeight="1">
      <c r="A80" s="10" t="str">
        <f>HYPERLINK("https://goo.gl/UaveNn","219")</f>
        <v>219</v>
      </c>
      <c r="B80" s="11" t="s">
        <v>31</v>
      </c>
      <c r="C80" s="20"/>
      <c r="D80" s="10"/>
      <c r="E80" s="14" t="s">
        <v>373</v>
      </c>
      <c r="F80" s="7" t="s">
        <v>374</v>
      </c>
      <c r="G80" s="30" t="s">
        <v>375</v>
      </c>
      <c r="H80" s="18"/>
      <c r="I80" s="9"/>
      <c r="J80" s="9"/>
      <c r="K80" s="9"/>
      <c r="L80" s="9"/>
      <c r="M80" s="9"/>
      <c r="N80" s="9"/>
      <c r="O80" s="9"/>
      <c r="P80" s="9"/>
      <c r="Q80" s="9"/>
    </row>
    <row r="81" ht="37.5" customHeight="1">
      <c r="A81" s="10" t="str">
        <f>HYPERLINK("https://goo.gl/VfVXxA","220")</f>
        <v>220</v>
      </c>
      <c r="B81" s="11" t="s">
        <v>231</v>
      </c>
      <c r="C81" s="20"/>
      <c r="D81" s="10"/>
      <c r="E81" s="10"/>
      <c r="F81" s="23"/>
      <c r="G81" s="27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ht="37.5" customHeight="1">
      <c r="A82" s="10" t="str">
        <f>HYPERLINK("https://goo.gl/tcBo8M","228")</f>
        <v>228</v>
      </c>
      <c r="B82" s="7" t="s">
        <v>376</v>
      </c>
      <c r="C82" s="20"/>
      <c r="D82" s="10"/>
      <c r="E82" s="10"/>
      <c r="F82" s="11"/>
      <c r="G82" s="27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ht="37.5" customHeight="1">
      <c r="A83" s="10" t="str">
        <f>HYPERLINK("https://goo.gl/czzUG6","229")</f>
        <v>229</v>
      </c>
      <c r="B83" s="11" t="s">
        <v>86</v>
      </c>
      <c r="C83" s="20"/>
      <c r="D83" s="10"/>
      <c r="E83" s="10"/>
      <c r="F83" s="11"/>
      <c r="G83" s="27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ht="37.5" customHeight="1">
      <c r="A84" s="10" t="str">
        <f>HYPERLINK("https://goo.gl/BsqsJW","231")</f>
        <v>231</v>
      </c>
      <c r="B84" s="11" t="s">
        <v>61</v>
      </c>
      <c r="C84" s="6" t="s">
        <v>377</v>
      </c>
      <c r="D84" s="10"/>
      <c r="E84" s="10"/>
      <c r="F84" s="11"/>
      <c r="G84" s="27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ht="37.5" customHeight="1">
      <c r="A85" s="10" t="str">
        <f>HYPERLINK("https://goo.gl/J5To2E","232")</f>
        <v>232</v>
      </c>
      <c r="B85" s="11" t="s">
        <v>216</v>
      </c>
      <c r="C85" s="6" t="s">
        <v>378</v>
      </c>
      <c r="D85" s="10"/>
      <c r="E85" s="10" t="str">
        <f>HYPERLINK("https://goo.gl/TCN9Bj","701")</f>
        <v>701</v>
      </c>
      <c r="F85" s="11" t="s">
        <v>93</v>
      </c>
      <c r="G85" s="27" t="s">
        <v>5</v>
      </c>
      <c r="H85" s="9"/>
      <c r="I85" s="9"/>
      <c r="J85" s="9"/>
      <c r="K85" s="9"/>
      <c r="L85" s="9"/>
      <c r="M85" s="9"/>
      <c r="N85" s="9"/>
      <c r="O85" s="9"/>
      <c r="P85" s="9"/>
      <c r="Q85" s="9"/>
    </row>
    <row r="86" ht="37.5" customHeight="1">
      <c r="A86" s="4" t="s">
        <v>379</v>
      </c>
      <c r="B86" s="7" t="s">
        <v>380</v>
      </c>
      <c r="C86" s="20"/>
      <c r="D86" s="10"/>
      <c r="E86" s="10" t="str">
        <f>HYPERLINK("https://goo.gl/ta4ajA","702")</f>
        <v>702</v>
      </c>
      <c r="F86" s="23" t="s">
        <v>96</v>
      </c>
      <c r="G86" s="27" t="s">
        <v>5</v>
      </c>
      <c r="H86" s="9"/>
      <c r="I86" s="9"/>
      <c r="J86" s="9"/>
      <c r="K86" s="9"/>
      <c r="L86" s="9"/>
      <c r="M86" s="9"/>
      <c r="N86" s="9"/>
      <c r="O86" s="9"/>
      <c r="P86" s="9"/>
      <c r="Q86" s="9"/>
    </row>
    <row r="87" ht="37.5" customHeight="1">
      <c r="A87" s="10" t="str">
        <f>HYPERLINK("https://goo.gl/Tfj82m","236")</f>
        <v>236</v>
      </c>
      <c r="B87" s="11" t="s">
        <v>142</v>
      </c>
      <c r="C87" s="20"/>
      <c r="D87" s="10"/>
      <c r="E87" s="10" t="str">
        <f>HYPERLINK("https://goo.gl/g1xAbu","703")</f>
        <v>703</v>
      </c>
      <c r="F87" s="23" t="s">
        <v>157</v>
      </c>
      <c r="G87" s="27" t="s">
        <v>5</v>
      </c>
      <c r="H87" s="9"/>
      <c r="I87" s="9"/>
      <c r="J87" s="9"/>
      <c r="K87" s="9"/>
      <c r="L87" s="9"/>
      <c r="M87" s="9"/>
      <c r="N87" s="9"/>
      <c r="O87" s="9"/>
      <c r="P87" s="9"/>
      <c r="Q87" s="9"/>
    </row>
    <row r="88" ht="37.5" customHeight="1">
      <c r="A88" s="10" t="str">
        <f>HYPERLINK("https://goo.gl/uk4GFv","237")</f>
        <v>237</v>
      </c>
      <c r="B88" s="11" t="s">
        <v>140</v>
      </c>
      <c r="C88" s="6" t="s">
        <v>381</v>
      </c>
      <c r="D88" s="10"/>
      <c r="E88" s="10" t="str">
        <f>HYPERLINK("https://goo.gl/TAyZJF","704")</f>
        <v>704</v>
      </c>
      <c r="F88" s="11" t="s">
        <v>167</v>
      </c>
      <c r="G88" s="27" t="s">
        <v>5</v>
      </c>
      <c r="H88" s="9"/>
      <c r="I88" s="9"/>
      <c r="J88" s="9"/>
      <c r="K88" s="9"/>
      <c r="L88" s="9"/>
      <c r="M88" s="9"/>
      <c r="N88" s="9"/>
      <c r="O88" s="9"/>
      <c r="P88" s="9"/>
      <c r="Q88" s="9"/>
    </row>
    <row r="89" ht="37.5" customHeight="1">
      <c r="A89" s="10" t="str">
        <f>HYPERLINK("https://goo.gl/SYP9ob","238")</f>
        <v>238</v>
      </c>
      <c r="B89" s="11" t="s">
        <v>35</v>
      </c>
      <c r="C89" s="20"/>
      <c r="D89" s="10"/>
      <c r="E89" s="10" t="str">
        <f>HYPERLINK("https://goo.gl/bqsQSk","705")</f>
        <v>705</v>
      </c>
      <c r="F89" s="11" t="s">
        <v>168</v>
      </c>
      <c r="G89" s="27" t="s">
        <v>5</v>
      </c>
      <c r="H89" s="9"/>
      <c r="I89" s="9"/>
      <c r="J89" s="9"/>
      <c r="K89" s="9"/>
      <c r="L89" s="9"/>
      <c r="M89" s="9"/>
      <c r="N89" s="9"/>
      <c r="O89" s="9"/>
      <c r="P89" s="9"/>
      <c r="Q89" s="9"/>
    </row>
    <row r="90" ht="37.5" customHeight="1">
      <c r="A90" s="10" t="str">
        <f>HYPERLINK("https://goo.gl/86BXiR","243")</f>
        <v>243</v>
      </c>
      <c r="B90" s="11" t="s">
        <v>171</v>
      </c>
      <c r="C90" s="20"/>
      <c r="D90" s="10"/>
      <c r="E90" s="10" t="str">
        <f>HYPERLINK("https://goo.gl/MEam86","706")</f>
        <v>706</v>
      </c>
      <c r="F90" s="11" t="s">
        <v>149</v>
      </c>
      <c r="G90" s="27" t="s">
        <v>5</v>
      </c>
      <c r="H90" s="9"/>
      <c r="I90" s="9"/>
      <c r="J90" s="9"/>
      <c r="K90" s="9"/>
      <c r="L90" s="9"/>
      <c r="M90" s="9"/>
      <c r="N90" s="9"/>
      <c r="O90" s="9"/>
      <c r="P90" s="9"/>
      <c r="Q90" s="9"/>
    </row>
    <row r="91" ht="37.5" customHeight="1">
      <c r="A91" s="10" t="str">
        <f>HYPERLINK("https://goo.gl/iaB4kn","244")</f>
        <v>244</v>
      </c>
      <c r="B91" s="11" t="s">
        <v>38</v>
      </c>
      <c r="C91" s="20"/>
      <c r="D91" s="10"/>
      <c r="E91" s="10" t="str">
        <f>HYPERLINK("https://goo.gl/zMif93","707")</f>
        <v>707</v>
      </c>
      <c r="F91" s="11" t="s">
        <v>57</v>
      </c>
      <c r="G91" s="27" t="s">
        <v>5</v>
      </c>
      <c r="H91" s="9"/>
      <c r="I91" s="18"/>
      <c r="J91" s="9"/>
      <c r="K91" s="9"/>
      <c r="L91" s="9"/>
      <c r="M91" s="9"/>
      <c r="N91" s="9"/>
      <c r="O91" s="9"/>
      <c r="P91" s="9"/>
      <c r="Q91" s="9"/>
    </row>
    <row r="92" ht="37.5" customHeight="1">
      <c r="A92" s="10" t="str">
        <f>HYPERLINK("https://goo.gl/TKn32y","246")</f>
        <v>246</v>
      </c>
      <c r="B92" s="11" t="s">
        <v>26</v>
      </c>
      <c r="C92" s="6" t="s">
        <v>382</v>
      </c>
      <c r="D92" s="10"/>
      <c r="E92" s="10" t="str">
        <f>HYPERLINK("https://goo.gl/jgQwa8","708")</f>
        <v>708</v>
      </c>
      <c r="F92" s="11" t="s">
        <v>4</v>
      </c>
      <c r="G92" s="27" t="s">
        <v>5</v>
      </c>
      <c r="H92" s="9"/>
      <c r="I92" s="9"/>
      <c r="J92" s="9"/>
      <c r="K92" s="9"/>
      <c r="L92" s="9"/>
      <c r="M92" s="9"/>
      <c r="N92" s="9"/>
      <c r="O92" s="9"/>
      <c r="P92" s="9"/>
      <c r="Q92" s="9"/>
    </row>
    <row r="93" ht="37.5" customHeight="1">
      <c r="A93" s="10" t="str">
        <f>HYPERLINK("https://goo.gl/jhxHFh","252")</f>
        <v>252</v>
      </c>
      <c r="B93" s="11" t="s">
        <v>34</v>
      </c>
      <c r="C93" s="6" t="s">
        <v>383</v>
      </c>
      <c r="D93" s="10"/>
      <c r="E93" s="10" t="str">
        <f>HYPERLINK("https://goo.gl/iyUBUU","709")</f>
        <v>709</v>
      </c>
      <c r="F93" s="11" t="s">
        <v>20</v>
      </c>
      <c r="G93" s="27" t="s">
        <v>5</v>
      </c>
      <c r="H93" s="9"/>
      <c r="I93" s="9"/>
      <c r="J93" s="9"/>
      <c r="K93" s="9"/>
      <c r="L93" s="9"/>
      <c r="M93" s="9"/>
      <c r="N93" s="9"/>
      <c r="O93" s="9"/>
      <c r="P93" s="9"/>
      <c r="Q93" s="9"/>
    </row>
    <row r="94" ht="37.5" customHeight="1">
      <c r="A94" s="10" t="str">
        <f>HYPERLINK("https://goo.gl/DJgK7T","253")</f>
        <v>253</v>
      </c>
      <c r="B94" s="11" t="s">
        <v>138</v>
      </c>
      <c r="C94" s="20"/>
      <c r="D94" s="10"/>
      <c r="E94" s="10" t="str">
        <f>HYPERLINK("https://goo.gl/ACuVYq","710")</f>
        <v>710</v>
      </c>
      <c r="F94" s="11" t="s">
        <v>21</v>
      </c>
      <c r="G94" s="27" t="s">
        <v>5</v>
      </c>
      <c r="H94" s="9"/>
      <c r="I94" s="9"/>
      <c r="J94" s="9"/>
      <c r="K94" s="9"/>
      <c r="L94" s="9"/>
      <c r="M94" s="9"/>
      <c r="N94" s="9"/>
      <c r="O94" s="9"/>
      <c r="P94" s="9"/>
      <c r="Q94" s="9"/>
    </row>
    <row r="95" ht="37.5" customHeight="1">
      <c r="A95" s="10" t="str">
        <f>HYPERLINK("https://goo.gl/MWzrcX","254")</f>
        <v>254</v>
      </c>
      <c r="B95" s="11" t="s">
        <v>132</v>
      </c>
      <c r="C95" s="20"/>
      <c r="D95" s="10"/>
      <c r="E95" s="10" t="str">
        <f>HYPERLINK("https://goo.gl/UJwVzw","711")</f>
        <v>711</v>
      </c>
      <c r="F95" s="11" t="s">
        <v>8</v>
      </c>
      <c r="G95" s="27" t="s">
        <v>5</v>
      </c>
      <c r="H95" s="9"/>
      <c r="I95" s="9"/>
      <c r="J95" s="9"/>
      <c r="K95" s="9"/>
      <c r="L95" s="9"/>
      <c r="M95" s="9"/>
      <c r="N95" s="9"/>
      <c r="O95" s="9"/>
      <c r="P95" s="9"/>
      <c r="Q95" s="9"/>
    </row>
    <row r="96" ht="37.5" customHeight="1">
      <c r="A96" s="10" t="str">
        <f>HYPERLINK("https://goo.gl/QTiMLU","257")</f>
        <v>257</v>
      </c>
      <c r="B96" s="28" t="s">
        <v>27</v>
      </c>
      <c r="C96" s="20"/>
      <c r="D96" s="10"/>
      <c r="E96" s="10" t="str">
        <f>HYPERLINK("https://goo.gl/4XHdnX","712")</f>
        <v>712</v>
      </c>
      <c r="F96" s="11" t="s">
        <v>116</v>
      </c>
      <c r="G96" s="27" t="s">
        <v>5</v>
      </c>
      <c r="H96" s="9"/>
      <c r="I96" s="31"/>
      <c r="J96" s="9"/>
      <c r="K96" s="9"/>
      <c r="L96" s="9"/>
      <c r="M96" s="9"/>
      <c r="N96" s="9"/>
      <c r="O96" s="9"/>
      <c r="P96" s="9"/>
      <c r="Q96" s="9"/>
    </row>
    <row r="97" ht="37.5" customHeight="1">
      <c r="A97" s="10" t="str">
        <f>HYPERLINK("https://goo.gl/ygzjLv","259")</f>
        <v>259</v>
      </c>
      <c r="B97" s="11" t="s">
        <v>66</v>
      </c>
      <c r="C97" s="6" t="s">
        <v>384</v>
      </c>
      <c r="D97" s="10"/>
      <c r="E97" s="10" t="str">
        <f>HYPERLINK("https://goo.gl/2grzXQ","713")</f>
        <v>713</v>
      </c>
      <c r="F97" s="11" t="s">
        <v>121</v>
      </c>
      <c r="G97" s="27" t="s">
        <v>5</v>
      </c>
      <c r="H97" s="9"/>
      <c r="I97" s="9"/>
      <c r="J97" s="9"/>
      <c r="K97" s="9"/>
      <c r="L97" s="9"/>
      <c r="M97" s="9"/>
      <c r="N97" s="9"/>
      <c r="O97" s="9"/>
      <c r="P97" s="9"/>
      <c r="Q97" s="9"/>
    </row>
    <row r="98" ht="37.5" customHeight="1">
      <c r="A98" s="10" t="str">
        <f>HYPERLINK("https://goo.gl/tbRtLZ","260")</f>
        <v>260</v>
      </c>
      <c r="B98" s="11" t="s">
        <v>67</v>
      </c>
      <c r="C98" s="6" t="s">
        <v>385</v>
      </c>
      <c r="D98" s="10"/>
      <c r="E98" s="10" t="str">
        <f>HYPERLINK("https://goo.gl/t7ypey","714")</f>
        <v>714</v>
      </c>
      <c r="F98" s="11" t="s">
        <v>122</v>
      </c>
      <c r="G98" s="27" t="s">
        <v>5</v>
      </c>
      <c r="H98" s="9"/>
      <c r="I98" s="9"/>
      <c r="J98" s="9"/>
      <c r="K98" s="9"/>
      <c r="L98" s="9"/>
      <c r="M98" s="9"/>
      <c r="N98" s="9"/>
      <c r="O98" s="9"/>
      <c r="P98" s="9"/>
      <c r="Q98" s="9"/>
    </row>
    <row r="99" ht="37.5" customHeight="1">
      <c r="A99" s="10" t="str">
        <f>HYPERLINK("https://goo.gl/L1Veqe","262")</f>
        <v>262</v>
      </c>
      <c r="B99" s="11" t="s">
        <v>28</v>
      </c>
      <c r="C99" s="6" t="s">
        <v>386</v>
      </c>
      <c r="D99" s="10"/>
      <c r="E99" s="10" t="str">
        <f>HYPERLINK("https://goo.gl/KCXkY2","715")</f>
        <v>715</v>
      </c>
      <c r="F99" s="11" t="s">
        <v>203</v>
      </c>
      <c r="G99" s="27" t="s">
        <v>5</v>
      </c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ht="37.5" customHeight="1">
      <c r="A100" s="4" t="s">
        <v>387</v>
      </c>
      <c r="B100" s="7" t="s">
        <v>388</v>
      </c>
      <c r="C100" s="20"/>
      <c r="D100" s="4"/>
      <c r="E100" s="4" t="s">
        <v>389</v>
      </c>
      <c r="F100" s="11" t="s">
        <v>123</v>
      </c>
      <c r="G100" s="27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ht="37.5" customHeight="1">
      <c r="A101" s="4" t="s">
        <v>390</v>
      </c>
      <c r="B101" s="7" t="s">
        <v>391</v>
      </c>
      <c r="C101" s="6" t="s">
        <v>392</v>
      </c>
      <c r="D101" s="10"/>
      <c r="E101" s="10" t="str">
        <f>HYPERLINK("https://goo.gl/yJhgcx","717")</f>
        <v>717</v>
      </c>
      <c r="F101" s="11" t="s">
        <v>152</v>
      </c>
      <c r="G101" s="27"/>
      <c r="H101" s="9"/>
      <c r="I101" s="18"/>
      <c r="J101" s="9"/>
      <c r="K101" s="9"/>
      <c r="L101" s="9"/>
      <c r="M101" s="9"/>
      <c r="N101" s="9"/>
      <c r="O101" s="9"/>
      <c r="P101" s="9"/>
      <c r="Q101" s="9"/>
    </row>
    <row r="102" ht="37.5" customHeight="1">
      <c r="A102" s="4" t="s">
        <v>393</v>
      </c>
      <c r="B102" s="7" t="s">
        <v>394</v>
      </c>
      <c r="C102" s="20"/>
      <c r="D102" s="10"/>
      <c r="E102" s="10" t="str">
        <f>HYPERLINK("https://goo.gl/SDpgkG","718")</f>
        <v>718</v>
      </c>
      <c r="F102" s="7" t="s">
        <v>105</v>
      </c>
      <c r="G102" s="27" t="s">
        <v>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ht="37.5" customHeight="1">
      <c r="A103" s="10" t="str">
        <f>HYPERLINK("https://goo.gl/JnhEg4","267")</f>
        <v>267</v>
      </c>
      <c r="B103" s="11" t="s">
        <v>115</v>
      </c>
      <c r="C103" s="6" t="s">
        <v>395</v>
      </c>
      <c r="D103" s="10"/>
      <c r="E103" s="10" t="str">
        <f>HYPERLINK("https://goo.gl/pmv9g7","719")</f>
        <v>719</v>
      </c>
      <c r="F103" s="11" t="s">
        <v>106</v>
      </c>
      <c r="G103" s="27" t="s">
        <v>5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ht="37.5" customHeight="1">
      <c r="A104" s="10" t="str">
        <f>HYPERLINK("https://goo.gl/cNdR5c","268")</f>
        <v>268</v>
      </c>
      <c r="B104" s="7" t="s">
        <v>18</v>
      </c>
      <c r="C104" s="20"/>
      <c r="D104" s="10"/>
      <c r="E104" s="10" t="str">
        <f>HYPERLINK("https://goo.gl/ocYo2j","720")</f>
        <v>720</v>
      </c>
      <c r="F104" s="11" t="s">
        <v>155</v>
      </c>
      <c r="G104" s="27" t="s">
        <v>5</v>
      </c>
      <c r="H104" s="9"/>
      <c r="I104" s="9"/>
      <c r="J104" s="49"/>
      <c r="K104" s="9"/>
      <c r="L104" s="9"/>
      <c r="M104" s="9"/>
      <c r="N104" s="9"/>
      <c r="O104" s="9"/>
      <c r="P104" s="9"/>
      <c r="Q104" s="9"/>
    </row>
    <row r="105" ht="37.5" customHeight="1">
      <c r="A105" s="10" t="str">
        <f>HYPERLINK("https://goo.gl/gH1gmu","270")</f>
        <v>270</v>
      </c>
      <c r="B105" s="11" t="s">
        <v>153</v>
      </c>
      <c r="C105" s="6" t="s">
        <v>396</v>
      </c>
      <c r="D105" s="10"/>
      <c r="E105" s="10" t="str">
        <f>HYPERLINK("https://goo.gl/nR3UQb","721")</f>
        <v>721</v>
      </c>
      <c r="F105" s="11" t="s">
        <v>156</v>
      </c>
      <c r="G105" s="27" t="s">
        <v>5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ht="37.5" customHeight="1">
      <c r="A106" s="14" t="str">
        <f>HYPERLINK("https://tinyurl.com/v46vsf3","271")</f>
        <v>271</v>
      </c>
      <c r="B106" s="7" t="s">
        <v>68</v>
      </c>
      <c r="C106" s="20"/>
      <c r="D106" s="10"/>
      <c r="E106" s="10" t="str">
        <f>HYPERLINK("https://goo.gl/JtoJh9","722")</f>
        <v>722</v>
      </c>
      <c r="F106" s="11" t="s">
        <v>25</v>
      </c>
      <c r="G106" s="27" t="s">
        <v>5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ht="37.5" customHeight="1">
      <c r="A107" s="4" t="s">
        <v>397</v>
      </c>
      <c r="B107" s="7" t="s">
        <v>398</v>
      </c>
      <c r="C107" s="20"/>
      <c r="D107" s="10"/>
      <c r="E107" s="10" t="str">
        <f>HYPERLINK("https://goo.gl/GrMKdB","723")</f>
        <v>723</v>
      </c>
      <c r="F107" s="11" t="s">
        <v>84</v>
      </c>
      <c r="G107" s="27" t="s">
        <v>5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ht="37.5" customHeight="1">
      <c r="A108" s="4" t="s">
        <v>399</v>
      </c>
      <c r="B108" s="7" t="s">
        <v>241</v>
      </c>
      <c r="C108" s="20"/>
      <c r="D108" s="10"/>
      <c r="E108" s="10" t="str">
        <f>HYPERLINK("https://goo.gl/gpAciM","724")</f>
        <v>724</v>
      </c>
      <c r="F108" s="11" t="s">
        <v>91</v>
      </c>
      <c r="G108" s="27" t="s">
        <v>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ht="37.5" customHeight="1">
      <c r="A109" s="4" t="s">
        <v>400</v>
      </c>
      <c r="B109" s="7" t="s">
        <v>144</v>
      </c>
      <c r="C109" s="6" t="s">
        <v>401</v>
      </c>
      <c r="D109" s="10"/>
      <c r="E109" s="10" t="str">
        <f>HYPERLINK("https://goo.gl/vCCPGY","725")</f>
        <v>725</v>
      </c>
      <c r="F109" s="11" t="s">
        <v>92</v>
      </c>
      <c r="G109" s="27" t="s">
        <v>5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ht="37.5" customHeight="1">
      <c r="A110" s="4" t="s">
        <v>402</v>
      </c>
      <c r="B110" s="7" t="s">
        <v>403</v>
      </c>
      <c r="C110" s="6"/>
      <c r="D110" s="10"/>
      <c r="E110" s="10" t="str">
        <f>HYPERLINK("https://goo.gl/BTnvCw","726")</f>
        <v>726</v>
      </c>
      <c r="F110" s="11" t="s">
        <v>101</v>
      </c>
      <c r="G110" s="27" t="s">
        <v>5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ht="37.5" customHeight="1">
      <c r="A111" s="4" t="s">
        <v>404</v>
      </c>
      <c r="B111" s="7" t="s">
        <v>222</v>
      </c>
      <c r="C111" s="6" t="s">
        <v>405</v>
      </c>
      <c r="D111" s="10"/>
      <c r="E111" s="10" t="str">
        <f>HYPERLINK("https://goo.gl/feJZ8Q","728")</f>
        <v>728</v>
      </c>
      <c r="F111" s="11" t="s">
        <v>173</v>
      </c>
      <c r="G111" s="27" t="s">
        <v>5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ht="37.5" customHeight="1">
      <c r="A112" s="14" t="s">
        <v>406</v>
      </c>
      <c r="B112" s="11" t="s">
        <v>224</v>
      </c>
      <c r="C112" s="36" t="s">
        <v>407</v>
      </c>
      <c r="D112" s="10"/>
      <c r="E112" s="10" t="str">
        <f>HYPERLINK("https://goo.gl/vEA8Ne","729")</f>
        <v>729</v>
      </c>
      <c r="F112" s="11" t="s">
        <v>54</v>
      </c>
      <c r="G112" s="27" t="s">
        <v>5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ht="37.5" customHeight="1">
      <c r="A113" s="4" t="s">
        <v>408</v>
      </c>
      <c r="B113" s="11" t="s">
        <v>166</v>
      </c>
      <c r="C113" s="6" t="s">
        <v>409</v>
      </c>
      <c r="D113" s="10"/>
      <c r="E113" s="10" t="str">
        <f>HYPERLINK("https://goo.gl/LpdE2m","731")</f>
        <v>731</v>
      </c>
      <c r="F113" s="11" t="s">
        <v>164</v>
      </c>
      <c r="G113" s="27" t="s">
        <v>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ht="37.5" customHeight="1">
      <c r="A114" s="50">
        <v>279.0</v>
      </c>
      <c r="B114" s="7" t="s">
        <v>410</v>
      </c>
      <c r="C114" s="6"/>
      <c r="D114" s="10"/>
      <c r="E114" s="10" t="str">
        <f>HYPERLINK("https://goo.gl/TH7DKx","732")</f>
        <v>732</v>
      </c>
      <c r="F114" s="28" t="s">
        <v>102</v>
      </c>
      <c r="G114" s="27" t="s">
        <v>5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ht="37.5" customHeight="1">
      <c r="A115" s="14" t="s">
        <v>411</v>
      </c>
      <c r="B115" s="7" t="s">
        <v>131</v>
      </c>
      <c r="C115" s="6"/>
      <c r="D115" s="10"/>
      <c r="E115" s="10" t="str">
        <f>HYPERLINK("https://goo.gl/CikNAn","733")</f>
        <v>733</v>
      </c>
      <c r="F115" s="28" t="s">
        <v>110</v>
      </c>
      <c r="G115" s="27" t="s">
        <v>5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ht="37.5" customHeight="1">
      <c r="A116" s="51">
        <v>281.0</v>
      </c>
      <c r="B116" s="7" t="s">
        <v>412</v>
      </c>
      <c r="C116" s="6"/>
      <c r="D116" s="10"/>
      <c r="E116" s="10" t="str">
        <f>HYPERLINK("https://goo.gl/oU78Ra","734")</f>
        <v>734</v>
      </c>
      <c r="F116" s="52" t="s">
        <v>413</v>
      </c>
      <c r="G116" s="27" t="s">
        <v>5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ht="37.5" customHeight="1">
      <c r="A117" s="51">
        <v>283.0</v>
      </c>
      <c r="B117" s="7" t="s">
        <v>239</v>
      </c>
      <c r="C117" s="6"/>
      <c r="D117" s="10"/>
      <c r="E117" s="4" t="s">
        <v>414</v>
      </c>
      <c r="F117" s="28" t="s">
        <v>37</v>
      </c>
      <c r="G117" s="27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ht="37.5" customHeight="1">
      <c r="A118" s="51">
        <v>284.0</v>
      </c>
      <c r="B118" s="7" t="s">
        <v>77</v>
      </c>
      <c r="C118" s="6"/>
      <c r="D118" s="10"/>
      <c r="E118" s="14" t="s">
        <v>415</v>
      </c>
      <c r="F118" s="37" t="s">
        <v>416</v>
      </c>
      <c r="G118" s="27" t="s">
        <v>5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ht="37.5" customHeight="1">
      <c r="A119" s="51">
        <v>285.0</v>
      </c>
      <c r="B119" s="7" t="s">
        <v>417</v>
      </c>
      <c r="D119" s="10"/>
      <c r="E119" s="10" t="str">
        <f>HYPERLINK("https://goo.gl/Bu2AcS","737")</f>
        <v>737</v>
      </c>
      <c r="F119" s="37" t="s">
        <v>418</v>
      </c>
      <c r="G119" s="53" t="s">
        <v>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ht="37.5" customHeight="1">
      <c r="D120" s="10"/>
      <c r="E120" s="4" t="s">
        <v>419</v>
      </c>
      <c r="F120" s="28" t="s">
        <v>161</v>
      </c>
      <c r="G120" s="27" t="s">
        <v>5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ht="37.5" customHeight="1">
      <c r="D121" s="10"/>
      <c r="E121" s="54" t="str">
        <f>HYPERLINK("https://goo.gl/476FV9","739")</f>
        <v>739</v>
      </c>
      <c r="F121" s="28" t="s">
        <v>194</v>
      </c>
      <c r="G121" s="55" t="s">
        <v>5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ht="37.5" customHeight="1">
      <c r="D122" s="10"/>
      <c r="E122" s="32" t="str">
        <f>HYPERLINK("https://goo.gl/hoRkkV","740")</f>
        <v>740</v>
      </c>
      <c r="F122" s="56" t="s">
        <v>221</v>
      </c>
      <c r="G122" s="55" t="s">
        <v>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ht="37.5" customHeight="1">
      <c r="D123" s="10"/>
      <c r="E123" s="44">
        <v>741.0</v>
      </c>
      <c r="F123" s="56" t="s">
        <v>420</v>
      </c>
      <c r="G123" s="55" t="s">
        <v>5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ht="37.5" customHeight="1">
      <c r="E124" s="44"/>
      <c r="F124" s="56"/>
      <c r="G124" s="55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ht="37.5" customHeight="1">
      <c r="D125" s="10"/>
      <c r="F125" s="57"/>
      <c r="G125" s="45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ht="37.5" customHeight="1">
      <c r="D126" s="10"/>
      <c r="F126" s="57"/>
      <c r="G126" s="45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ht="37.5" customHeight="1">
      <c r="A127" s="48"/>
      <c r="D127" s="4"/>
      <c r="F127" s="57"/>
      <c r="G127" s="45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ht="37.5" customHeight="1">
      <c r="D128" s="10"/>
      <c r="F128" s="57"/>
      <c r="G128" s="45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ht="37.5" customHeight="1">
      <c r="A129" s="11"/>
      <c r="B129" s="58" t="s">
        <v>421</v>
      </c>
      <c r="C129" s="6" t="s">
        <v>251</v>
      </c>
      <c r="D129" s="10"/>
      <c r="F129" s="57"/>
      <c r="G129" s="45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ht="37.5" customHeight="1">
      <c r="A130" s="11"/>
      <c r="B130" s="57" t="str">
        <f>HYPERLINK("https://goo.gl/4BA7ZX","葉建呈")</f>
        <v>葉建呈</v>
      </c>
      <c r="C130" s="57"/>
      <c r="D130" s="4"/>
      <c r="F130" s="57"/>
      <c r="G130" s="45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ht="37.5" customHeight="1">
      <c r="A131" s="11"/>
      <c r="B131" s="57" t="str">
        <f>HYPERLINK("https://goo.gl/Hu7Ptv","陳樂樂")</f>
        <v>陳樂樂</v>
      </c>
      <c r="C131" s="57"/>
      <c r="D131" s="54"/>
      <c r="F131" s="57"/>
      <c r="G131" s="45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ht="37.5" customHeight="1">
      <c r="A132" s="11"/>
      <c r="B132" s="57" t="str">
        <f>HYPERLINK("https://goo.gl/Pk9a4o","莊棨陽")</f>
        <v>莊棨陽</v>
      </c>
      <c r="C132" s="57"/>
      <c r="D132" s="34"/>
      <c r="E132" s="48"/>
      <c r="F132" s="57"/>
      <c r="G132" s="16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ht="37.5" customHeight="1">
      <c r="A133" s="11"/>
      <c r="B133" s="57" t="str">
        <f>HYPERLINK("https://goo.gl/QuZPY6","温梓軒")</f>
        <v>温梓軒</v>
      </c>
      <c r="C133" s="57"/>
      <c r="D133" s="48"/>
      <c r="E133" s="59"/>
      <c r="F133" s="60"/>
      <c r="G133" s="61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ht="33.0" customHeight="1">
      <c r="A134" s="62"/>
      <c r="B134" s="57" t="str">
        <f>HYPERLINK("https://goo.gl/Wp4gvV","張秀明")</f>
        <v>張秀明</v>
      </c>
      <c r="C134" s="57"/>
      <c r="D134" s="63"/>
      <c r="E134" s="34"/>
      <c r="F134" s="64"/>
      <c r="G134" s="45"/>
      <c r="H134" s="65"/>
      <c r="I134" s="65"/>
      <c r="J134" s="65"/>
      <c r="K134" s="65"/>
      <c r="L134" s="65"/>
      <c r="M134" s="65"/>
      <c r="N134" s="65"/>
      <c r="O134" s="65"/>
      <c r="P134" s="65"/>
      <c r="Q134" s="65"/>
    </row>
    <row r="135">
      <c r="A135" s="62"/>
      <c r="B135" s="57" t="str">
        <f>HYPERLINK("https://goo.gl/xqVccV","楊寶瑜")</f>
        <v>楊寶瑜</v>
      </c>
      <c r="C135" s="57"/>
      <c r="D135" s="63"/>
      <c r="E135" s="63"/>
      <c r="F135" s="63"/>
      <c r="G135" s="27"/>
      <c r="H135" s="65"/>
      <c r="I135" s="65"/>
      <c r="J135" s="65"/>
      <c r="K135" s="65"/>
      <c r="L135" s="65"/>
      <c r="M135" s="65"/>
      <c r="N135" s="65"/>
      <c r="O135" s="65"/>
      <c r="P135" s="65"/>
      <c r="Q135" s="65"/>
    </row>
    <row r="136">
      <c r="A136" s="62"/>
      <c r="B136" s="57" t="str">
        <f>HYPERLINK("https://goo.gl/yNjX4G","戴國明")</f>
        <v>戴國明</v>
      </c>
      <c r="C136" s="57"/>
      <c r="D136" s="63"/>
      <c r="E136" s="63"/>
      <c r="F136" s="63"/>
      <c r="G136" s="27"/>
      <c r="H136" s="65"/>
      <c r="I136" s="65"/>
      <c r="J136" s="65"/>
      <c r="K136" s="65"/>
      <c r="L136" s="65"/>
      <c r="M136" s="65"/>
      <c r="N136" s="65"/>
      <c r="O136" s="65"/>
      <c r="P136" s="65"/>
      <c r="Q136" s="65"/>
    </row>
    <row r="137">
      <c r="A137" s="62"/>
      <c r="B137" s="57" t="str">
        <f>HYPERLINK("https://tinyurl.com/ygkojxty","葉唐建")</f>
        <v>葉唐建</v>
      </c>
      <c r="C137" s="57"/>
      <c r="D137" s="63"/>
      <c r="E137" s="63"/>
      <c r="F137" s="63"/>
      <c r="G137" s="27"/>
      <c r="H137" s="65"/>
      <c r="I137" s="65"/>
      <c r="J137" s="65"/>
      <c r="K137" s="65"/>
      <c r="L137" s="65"/>
      <c r="M137" s="65"/>
      <c r="N137" s="65"/>
      <c r="O137" s="65"/>
      <c r="P137" s="65"/>
      <c r="Q137" s="65"/>
    </row>
    <row r="138">
      <c r="A138" s="62"/>
      <c r="B138" s="63"/>
      <c r="C138" s="27"/>
      <c r="D138" s="63"/>
      <c r="E138" s="63"/>
      <c r="F138" s="63"/>
      <c r="G138" s="27"/>
      <c r="H138" s="65"/>
      <c r="I138" s="65"/>
      <c r="J138" s="65"/>
      <c r="K138" s="65"/>
      <c r="L138" s="65"/>
      <c r="M138" s="65"/>
      <c r="N138" s="65"/>
      <c r="O138" s="65"/>
      <c r="P138" s="65"/>
      <c r="Q138" s="65"/>
    </row>
    <row r="139">
      <c r="A139" s="62"/>
      <c r="B139" s="63"/>
      <c r="C139" s="27"/>
      <c r="D139" s="63"/>
      <c r="E139" s="63"/>
      <c r="F139" s="63"/>
      <c r="G139" s="27"/>
      <c r="H139" s="65"/>
      <c r="I139" s="65"/>
      <c r="J139" s="65"/>
      <c r="K139" s="65"/>
      <c r="L139" s="65"/>
      <c r="M139" s="65"/>
      <c r="N139" s="65"/>
      <c r="O139" s="65"/>
      <c r="P139" s="65"/>
      <c r="Q139" s="65"/>
    </row>
    <row r="140">
      <c r="A140" s="62"/>
      <c r="B140" s="63"/>
      <c r="C140" s="27"/>
      <c r="D140" s="63"/>
      <c r="E140" s="63"/>
      <c r="F140" s="63"/>
      <c r="G140" s="27"/>
      <c r="H140" s="65"/>
      <c r="I140" s="65"/>
      <c r="J140" s="65"/>
      <c r="K140" s="65"/>
      <c r="L140" s="65"/>
      <c r="M140" s="65"/>
      <c r="N140" s="65"/>
      <c r="O140" s="65"/>
      <c r="P140" s="65"/>
      <c r="Q140" s="65"/>
    </row>
    <row r="141">
      <c r="A141" s="62"/>
      <c r="B141" s="63"/>
      <c r="C141" s="27"/>
      <c r="D141" s="63"/>
      <c r="E141" s="63"/>
      <c r="F141" s="63"/>
      <c r="G141" s="27"/>
      <c r="H141" s="65"/>
      <c r="I141" s="65"/>
      <c r="J141" s="65"/>
      <c r="K141" s="65"/>
      <c r="L141" s="65"/>
      <c r="M141" s="65"/>
      <c r="N141" s="65"/>
      <c r="O141" s="65"/>
      <c r="P141" s="65"/>
      <c r="Q141" s="65"/>
    </row>
    <row r="142">
      <c r="A142" s="62"/>
      <c r="B142" s="66"/>
      <c r="C142" s="27"/>
      <c r="D142" s="63"/>
      <c r="E142" s="63"/>
      <c r="F142" s="63"/>
      <c r="G142" s="27"/>
      <c r="H142" s="65"/>
      <c r="I142" s="65"/>
      <c r="J142" s="65"/>
      <c r="K142" s="65"/>
      <c r="L142" s="65"/>
      <c r="M142" s="65"/>
      <c r="N142" s="65"/>
      <c r="O142" s="65"/>
      <c r="P142" s="65"/>
      <c r="Q142" s="65"/>
    </row>
    <row r="143">
      <c r="A143" s="62"/>
      <c r="B143" s="63"/>
      <c r="C143" s="27"/>
      <c r="D143" s="63"/>
      <c r="E143" s="63"/>
      <c r="F143" s="63"/>
      <c r="G143" s="27"/>
      <c r="H143" s="65"/>
      <c r="I143" s="65"/>
      <c r="J143" s="65"/>
      <c r="K143" s="65"/>
      <c r="L143" s="65"/>
      <c r="M143" s="65"/>
      <c r="N143" s="65"/>
      <c r="O143" s="65"/>
      <c r="P143" s="65"/>
      <c r="Q143" s="65"/>
    </row>
    <row r="144">
      <c r="A144" s="62"/>
      <c r="B144" s="63"/>
      <c r="C144" s="27"/>
      <c r="D144" s="63"/>
      <c r="E144" s="63"/>
      <c r="F144" s="63"/>
      <c r="G144" s="27"/>
      <c r="H144" s="65"/>
      <c r="I144" s="65"/>
      <c r="J144" s="65"/>
      <c r="K144" s="65"/>
      <c r="L144" s="65"/>
      <c r="M144" s="65"/>
      <c r="N144" s="65"/>
      <c r="O144" s="65"/>
      <c r="P144" s="65"/>
      <c r="Q144" s="65"/>
    </row>
    <row r="145">
      <c r="A145" s="62"/>
      <c r="B145" s="63"/>
      <c r="C145" s="27"/>
      <c r="D145" s="63"/>
      <c r="E145" s="63"/>
      <c r="F145" s="63"/>
      <c r="G145" s="27"/>
      <c r="H145" s="65"/>
      <c r="I145" s="65"/>
      <c r="J145" s="65"/>
      <c r="K145" s="65"/>
      <c r="L145" s="65"/>
      <c r="M145" s="65"/>
      <c r="N145" s="65"/>
      <c r="O145" s="65"/>
      <c r="P145" s="65"/>
      <c r="Q145" s="65"/>
    </row>
    <row r="146">
      <c r="A146" s="62"/>
      <c r="B146" s="66"/>
      <c r="C146" s="27"/>
      <c r="D146" s="63"/>
      <c r="E146" s="63"/>
      <c r="F146" s="63"/>
      <c r="G146" s="27"/>
      <c r="H146" s="65"/>
      <c r="I146" s="65"/>
      <c r="J146" s="65"/>
      <c r="K146" s="65"/>
      <c r="L146" s="65"/>
      <c r="M146" s="65"/>
      <c r="N146" s="65"/>
      <c r="O146" s="65"/>
      <c r="P146" s="65"/>
      <c r="Q146" s="65"/>
    </row>
    <row r="147">
      <c r="A147" s="62"/>
      <c r="B147" s="66"/>
      <c r="C147" s="27"/>
      <c r="D147" s="63"/>
      <c r="E147" s="63"/>
      <c r="F147" s="63"/>
      <c r="G147" s="27"/>
      <c r="H147" s="65"/>
      <c r="I147" s="65"/>
      <c r="J147" s="65"/>
      <c r="K147" s="65"/>
      <c r="L147" s="65"/>
      <c r="M147" s="65"/>
      <c r="N147" s="65"/>
      <c r="O147" s="65"/>
      <c r="P147" s="65"/>
      <c r="Q147" s="65"/>
    </row>
    <row r="148">
      <c r="A148" s="62"/>
      <c r="B148" s="63"/>
      <c r="C148" s="27"/>
      <c r="D148" s="63"/>
      <c r="E148" s="63"/>
      <c r="F148" s="63"/>
      <c r="G148" s="27"/>
      <c r="H148" s="65"/>
      <c r="I148" s="65"/>
      <c r="J148" s="65"/>
      <c r="K148" s="65"/>
      <c r="L148" s="65"/>
      <c r="M148" s="65"/>
      <c r="N148" s="65"/>
      <c r="O148" s="65"/>
      <c r="P148" s="65"/>
      <c r="Q148" s="65"/>
    </row>
    <row r="149">
      <c r="A149" s="62"/>
      <c r="B149" s="63"/>
      <c r="C149" s="27"/>
      <c r="D149" s="63"/>
      <c r="E149" s="63"/>
      <c r="F149" s="63"/>
      <c r="G149" s="27"/>
      <c r="H149" s="65"/>
      <c r="I149" s="65"/>
      <c r="J149" s="65"/>
      <c r="K149" s="65"/>
      <c r="L149" s="65"/>
      <c r="M149" s="65"/>
      <c r="N149" s="65"/>
      <c r="O149" s="65"/>
      <c r="P149" s="65"/>
      <c r="Q149" s="65"/>
    </row>
    <row r="150">
      <c r="A150" s="62"/>
      <c r="B150" s="63"/>
      <c r="C150" s="27"/>
      <c r="D150" s="63"/>
      <c r="E150" s="63"/>
      <c r="F150" s="63"/>
      <c r="G150" s="27"/>
      <c r="H150" s="65"/>
      <c r="I150" s="65"/>
      <c r="J150" s="65"/>
      <c r="K150" s="65"/>
      <c r="L150" s="65"/>
      <c r="M150" s="65"/>
      <c r="N150" s="65"/>
      <c r="O150" s="65"/>
      <c r="P150" s="65"/>
      <c r="Q150" s="65"/>
    </row>
    <row r="151">
      <c r="A151" s="62"/>
      <c r="B151" s="63"/>
      <c r="C151" s="27"/>
      <c r="D151" s="63"/>
      <c r="E151" s="63"/>
      <c r="F151" s="63"/>
      <c r="G151" s="27"/>
      <c r="H151" s="65"/>
      <c r="I151" s="65"/>
      <c r="J151" s="65"/>
      <c r="K151" s="65"/>
      <c r="L151" s="65"/>
      <c r="M151" s="65"/>
      <c r="N151" s="65"/>
      <c r="O151" s="65"/>
      <c r="P151" s="65"/>
      <c r="Q151" s="65"/>
    </row>
    <row r="152">
      <c r="A152" s="62"/>
      <c r="B152" s="63"/>
      <c r="C152" s="27"/>
      <c r="D152" s="63"/>
      <c r="E152" s="63"/>
      <c r="F152" s="63"/>
      <c r="G152" s="27"/>
      <c r="H152" s="65"/>
      <c r="I152" s="65"/>
      <c r="J152" s="65"/>
      <c r="K152" s="65"/>
      <c r="L152" s="65"/>
      <c r="M152" s="65"/>
      <c r="N152" s="65"/>
      <c r="O152" s="65"/>
      <c r="P152" s="65"/>
      <c r="Q152" s="65"/>
    </row>
    <row r="153">
      <c r="A153" s="62"/>
      <c r="B153" s="63"/>
      <c r="C153" s="27"/>
      <c r="D153" s="63"/>
      <c r="E153" s="63"/>
      <c r="F153" s="63"/>
      <c r="G153" s="27"/>
      <c r="H153" s="65"/>
      <c r="I153" s="65"/>
      <c r="J153" s="65"/>
      <c r="K153" s="65"/>
      <c r="L153" s="65"/>
      <c r="M153" s="65"/>
      <c r="N153" s="65"/>
      <c r="O153" s="65"/>
      <c r="P153" s="65"/>
      <c r="Q153" s="65"/>
    </row>
    <row r="154">
      <c r="A154" s="62"/>
      <c r="B154" s="63"/>
      <c r="C154" s="27"/>
      <c r="D154" s="63"/>
      <c r="E154" s="63"/>
      <c r="F154" s="63"/>
      <c r="G154" s="27"/>
      <c r="H154" s="65"/>
      <c r="I154" s="65"/>
      <c r="J154" s="65"/>
      <c r="K154" s="65"/>
      <c r="L154" s="65"/>
      <c r="M154" s="65"/>
      <c r="N154" s="65"/>
      <c r="O154" s="65"/>
      <c r="P154" s="65"/>
      <c r="Q154" s="65"/>
    </row>
    <row r="155">
      <c r="A155" s="62"/>
      <c r="B155" s="63"/>
      <c r="C155" s="27"/>
      <c r="D155" s="63"/>
      <c r="E155" s="63"/>
      <c r="F155" s="63"/>
      <c r="G155" s="27"/>
      <c r="H155" s="65"/>
      <c r="I155" s="65"/>
      <c r="J155" s="65"/>
      <c r="K155" s="65"/>
      <c r="L155" s="65"/>
      <c r="M155" s="65"/>
      <c r="N155" s="65"/>
      <c r="O155" s="65"/>
      <c r="P155" s="65"/>
      <c r="Q155" s="65"/>
    </row>
    <row r="156">
      <c r="A156" s="62"/>
      <c r="B156" s="63"/>
      <c r="C156" s="27"/>
      <c r="D156" s="63"/>
      <c r="E156" s="63"/>
      <c r="F156" s="63"/>
      <c r="G156" s="27"/>
      <c r="H156" s="65"/>
      <c r="I156" s="65"/>
      <c r="J156" s="65"/>
      <c r="K156" s="65"/>
      <c r="L156" s="65"/>
      <c r="M156" s="65"/>
      <c r="N156" s="65"/>
      <c r="O156" s="65"/>
      <c r="P156" s="65"/>
      <c r="Q156" s="65"/>
    </row>
    <row r="157">
      <c r="A157" s="62"/>
      <c r="B157" s="63"/>
      <c r="C157" s="27"/>
      <c r="D157" s="63"/>
      <c r="E157" s="63"/>
      <c r="F157" s="63"/>
      <c r="G157" s="27"/>
      <c r="H157" s="65"/>
      <c r="I157" s="65"/>
      <c r="J157" s="65"/>
      <c r="K157" s="65"/>
      <c r="L157" s="65"/>
      <c r="M157" s="65"/>
      <c r="N157" s="65"/>
      <c r="O157" s="65"/>
      <c r="P157" s="65"/>
      <c r="Q157" s="65"/>
    </row>
    <row r="158">
      <c r="A158" s="62"/>
      <c r="B158" s="63"/>
      <c r="C158" s="27"/>
      <c r="D158" s="63"/>
      <c r="E158" s="63"/>
      <c r="F158" s="63"/>
      <c r="G158" s="27"/>
      <c r="H158" s="65"/>
      <c r="I158" s="65"/>
      <c r="J158" s="65"/>
      <c r="K158" s="65"/>
      <c r="L158" s="65"/>
      <c r="M158" s="65"/>
      <c r="N158" s="65"/>
      <c r="O158" s="65"/>
      <c r="P158" s="65"/>
      <c r="Q158" s="65"/>
    </row>
    <row r="159">
      <c r="A159" s="62"/>
      <c r="B159" s="63"/>
      <c r="C159" s="27"/>
      <c r="D159" s="63"/>
      <c r="E159" s="63"/>
      <c r="F159" s="63"/>
      <c r="G159" s="27"/>
      <c r="H159" s="65"/>
      <c r="I159" s="65"/>
      <c r="J159" s="65"/>
      <c r="K159" s="65"/>
      <c r="L159" s="65"/>
      <c r="M159" s="65"/>
      <c r="N159" s="65"/>
      <c r="O159" s="65"/>
      <c r="P159" s="65"/>
      <c r="Q159" s="65"/>
    </row>
    <row r="160">
      <c r="A160" s="62"/>
      <c r="B160" s="63"/>
      <c r="C160" s="27"/>
      <c r="D160" s="63"/>
      <c r="E160" s="63"/>
      <c r="F160" s="63"/>
      <c r="G160" s="27"/>
      <c r="H160" s="65"/>
      <c r="I160" s="65"/>
      <c r="J160" s="65"/>
      <c r="K160" s="65"/>
      <c r="L160" s="65"/>
      <c r="M160" s="65"/>
      <c r="N160" s="65"/>
      <c r="O160" s="65"/>
      <c r="P160" s="65"/>
      <c r="Q160" s="65"/>
    </row>
    <row r="161">
      <c r="A161" s="62"/>
      <c r="B161" s="63"/>
      <c r="C161" s="27"/>
      <c r="D161" s="63"/>
      <c r="E161" s="63"/>
      <c r="F161" s="63"/>
      <c r="G161" s="27"/>
      <c r="H161" s="65"/>
      <c r="I161" s="65"/>
      <c r="J161" s="65"/>
      <c r="K161" s="65"/>
      <c r="L161" s="65"/>
      <c r="M161" s="65"/>
      <c r="N161" s="65"/>
      <c r="O161" s="65"/>
      <c r="P161" s="65"/>
      <c r="Q161" s="65"/>
    </row>
    <row r="162">
      <c r="A162" s="62"/>
      <c r="B162" s="63"/>
      <c r="C162" s="27"/>
      <c r="D162" s="63"/>
      <c r="E162" s="63"/>
      <c r="F162" s="63"/>
      <c r="G162" s="27"/>
      <c r="H162" s="65"/>
      <c r="I162" s="65"/>
      <c r="J162" s="65"/>
      <c r="K162" s="65"/>
      <c r="L162" s="65"/>
      <c r="M162" s="65"/>
      <c r="N162" s="65"/>
      <c r="O162" s="65"/>
      <c r="P162" s="65"/>
      <c r="Q162" s="65"/>
    </row>
    <row r="163">
      <c r="A163" s="62"/>
      <c r="B163" s="63"/>
      <c r="C163" s="27"/>
      <c r="D163" s="63"/>
      <c r="E163" s="63"/>
      <c r="F163" s="63"/>
      <c r="G163" s="27"/>
      <c r="H163" s="65"/>
      <c r="I163" s="65"/>
      <c r="J163" s="65"/>
      <c r="K163" s="65"/>
      <c r="L163" s="65"/>
      <c r="M163" s="65"/>
      <c r="N163" s="65"/>
      <c r="O163" s="65"/>
      <c r="P163" s="65"/>
      <c r="Q163" s="65"/>
    </row>
    <row r="164">
      <c r="A164" s="62"/>
      <c r="B164" s="63"/>
      <c r="C164" s="27"/>
      <c r="D164" s="63"/>
      <c r="E164" s="63"/>
      <c r="F164" s="63"/>
      <c r="G164" s="27"/>
      <c r="H164" s="65"/>
      <c r="I164" s="65"/>
      <c r="J164" s="65"/>
      <c r="K164" s="65"/>
      <c r="L164" s="65"/>
      <c r="M164" s="65"/>
      <c r="N164" s="65"/>
      <c r="O164" s="65"/>
      <c r="P164" s="65"/>
      <c r="Q164" s="65"/>
    </row>
    <row r="165">
      <c r="A165" s="62"/>
      <c r="B165" s="63"/>
      <c r="C165" s="27"/>
      <c r="D165" s="63"/>
      <c r="E165" s="63"/>
      <c r="F165" s="63"/>
      <c r="G165" s="27"/>
      <c r="H165" s="65"/>
      <c r="I165" s="65"/>
      <c r="J165" s="65"/>
      <c r="K165" s="65"/>
      <c r="L165" s="65"/>
      <c r="M165" s="65"/>
      <c r="N165" s="65"/>
      <c r="O165" s="65"/>
      <c r="P165" s="65"/>
      <c r="Q165" s="65"/>
    </row>
    <row r="166">
      <c r="A166" s="62"/>
      <c r="B166" s="63"/>
      <c r="C166" s="27"/>
      <c r="D166" s="63"/>
      <c r="E166" s="63"/>
      <c r="F166" s="63"/>
      <c r="G166" s="27"/>
      <c r="H166" s="65"/>
      <c r="I166" s="65"/>
      <c r="J166" s="65"/>
      <c r="K166" s="65"/>
      <c r="L166" s="65"/>
      <c r="M166" s="65"/>
      <c r="N166" s="65"/>
      <c r="O166" s="65"/>
      <c r="P166" s="65"/>
      <c r="Q166" s="65"/>
    </row>
    <row r="167">
      <c r="A167" s="62"/>
      <c r="B167" s="63"/>
      <c r="C167" s="27"/>
      <c r="D167" s="63"/>
      <c r="E167" s="63"/>
      <c r="F167" s="63"/>
      <c r="G167" s="27"/>
      <c r="H167" s="65"/>
      <c r="I167" s="65"/>
      <c r="J167" s="65"/>
      <c r="K167" s="65"/>
      <c r="L167" s="65"/>
      <c r="M167" s="65"/>
      <c r="N167" s="65"/>
      <c r="O167" s="65"/>
      <c r="P167" s="65"/>
      <c r="Q167" s="65"/>
    </row>
    <row r="168">
      <c r="A168" s="62"/>
      <c r="B168" s="63"/>
      <c r="C168" s="27"/>
      <c r="D168" s="63"/>
      <c r="E168" s="63"/>
      <c r="F168" s="63"/>
      <c r="G168" s="27"/>
      <c r="H168" s="65"/>
      <c r="I168" s="65"/>
      <c r="J168" s="65"/>
      <c r="K168" s="65"/>
      <c r="L168" s="65"/>
      <c r="M168" s="65"/>
      <c r="N168" s="65"/>
      <c r="O168" s="65"/>
      <c r="P168" s="65"/>
      <c r="Q168" s="65"/>
    </row>
    <row r="169">
      <c r="A169" s="62"/>
      <c r="B169" s="63"/>
      <c r="C169" s="27"/>
      <c r="D169" s="63"/>
      <c r="E169" s="63"/>
      <c r="F169" s="63"/>
      <c r="G169" s="27"/>
      <c r="H169" s="65"/>
      <c r="I169" s="65"/>
      <c r="J169" s="65"/>
      <c r="K169" s="65"/>
      <c r="L169" s="65"/>
      <c r="M169" s="65"/>
      <c r="N169" s="65"/>
      <c r="O169" s="65"/>
      <c r="P169" s="65"/>
      <c r="Q169" s="65"/>
    </row>
    <row r="170">
      <c r="A170" s="62"/>
      <c r="B170" s="63"/>
      <c r="C170" s="27"/>
      <c r="D170" s="63"/>
      <c r="E170" s="63"/>
      <c r="F170" s="63"/>
      <c r="G170" s="27"/>
      <c r="H170" s="65"/>
      <c r="I170" s="65"/>
      <c r="J170" s="65"/>
      <c r="K170" s="65"/>
      <c r="L170" s="65"/>
      <c r="M170" s="65"/>
      <c r="N170" s="65"/>
      <c r="O170" s="65"/>
      <c r="P170" s="65"/>
      <c r="Q170" s="65"/>
    </row>
    <row r="171">
      <c r="A171" s="62"/>
      <c r="B171" s="63"/>
      <c r="C171" s="27"/>
      <c r="D171" s="63"/>
      <c r="E171" s="63"/>
      <c r="F171" s="63"/>
      <c r="G171" s="27"/>
      <c r="H171" s="65"/>
      <c r="I171" s="65"/>
      <c r="J171" s="65"/>
      <c r="K171" s="65"/>
      <c r="L171" s="65"/>
      <c r="M171" s="65"/>
      <c r="N171" s="65"/>
      <c r="O171" s="65"/>
      <c r="P171" s="65"/>
      <c r="Q171" s="65"/>
    </row>
    <row r="172">
      <c r="A172" s="62"/>
      <c r="B172" s="63"/>
      <c r="C172" s="27"/>
      <c r="D172" s="63"/>
      <c r="E172" s="63"/>
      <c r="F172" s="63"/>
      <c r="G172" s="27"/>
      <c r="H172" s="65"/>
      <c r="I172" s="65"/>
      <c r="J172" s="65"/>
      <c r="K172" s="65"/>
      <c r="L172" s="65"/>
      <c r="M172" s="65"/>
      <c r="N172" s="65"/>
      <c r="O172" s="65"/>
      <c r="P172" s="65"/>
      <c r="Q172" s="65"/>
    </row>
    <row r="173">
      <c r="A173" s="62"/>
      <c r="B173" s="63"/>
      <c r="C173" s="27"/>
      <c r="D173" s="63"/>
      <c r="E173" s="63"/>
      <c r="F173" s="63"/>
      <c r="G173" s="27"/>
      <c r="H173" s="65"/>
      <c r="I173" s="65"/>
      <c r="J173" s="65"/>
      <c r="K173" s="65"/>
      <c r="L173" s="65"/>
      <c r="M173" s="65"/>
      <c r="N173" s="65"/>
      <c r="O173" s="65"/>
      <c r="P173" s="65"/>
      <c r="Q173" s="65"/>
    </row>
    <row r="174">
      <c r="A174" s="62"/>
      <c r="B174" s="66"/>
      <c r="C174" s="27"/>
      <c r="D174" s="63"/>
      <c r="E174" s="63"/>
      <c r="F174" s="63"/>
      <c r="G174" s="27"/>
      <c r="H174" s="65"/>
      <c r="I174" s="65"/>
      <c r="J174" s="65"/>
      <c r="K174" s="65"/>
      <c r="L174" s="65"/>
      <c r="M174" s="65"/>
      <c r="N174" s="65"/>
      <c r="O174" s="65"/>
      <c r="P174" s="65"/>
      <c r="Q174" s="65"/>
    </row>
    <row r="175">
      <c r="A175" s="62"/>
      <c r="B175" s="66"/>
      <c r="C175" s="27"/>
      <c r="D175" s="63"/>
      <c r="E175" s="63"/>
      <c r="F175" s="63"/>
      <c r="G175" s="27"/>
      <c r="H175" s="65"/>
      <c r="I175" s="65"/>
      <c r="J175" s="65"/>
      <c r="K175" s="65"/>
      <c r="L175" s="65"/>
      <c r="M175" s="65"/>
      <c r="N175" s="65"/>
      <c r="O175" s="65"/>
      <c r="P175" s="65"/>
      <c r="Q175" s="65"/>
    </row>
    <row r="176">
      <c r="A176" s="62"/>
      <c r="B176" s="66"/>
      <c r="C176" s="27"/>
      <c r="D176" s="63"/>
      <c r="E176" s="63"/>
      <c r="F176" s="63"/>
      <c r="G176" s="27"/>
      <c r="H176" s="65"/>
      <c r="I176" s="65"/>
      <c r="J176" s="65"/>
      <c r="K176" s="65"/>
      <c r="L176" s="65"/>
      <c r="M176" s="65"/>
      <c r="N176" s="65"/>
      <c r="O176" s="65"/>
      <c r="P176" s="65"/>
      <c r="Q176" s="65"/>
    </row>
    <row r="177">
      <c r="A177" s="62"/>
      <c r="B177" s="66"/>
      <c r="C177" s="27"/>
      <c r="D177" s="63"/>
      <c r="E177" s="63"/>
      <c r="F177" s="63"/>
      <c r="G177" s="27"/>
      <c r="H177" s="65"/>
      <c r="I177" s="65"/>
      <c r="J177" s="65"/>
      <c r="K177" s="65"/>
      <c r="L177" s="65"/>
      <c r="M177" s="65"/>
      <c r="N177" s="65"/>
      <c r="O177" s="65"/>
      <c r="P177" s="65"/>
      <c r="Q177" s="65"/>
    </row>
    <row r="178">
      <c r="A178" s="62"/>
      <c r="B178" s="66"/>
      <c r="C178" s="27"/>
      <c r="D178" s="63"/>
      <c r="E178" s="63"/>
      <c r="F178" s="63"/>
      <c r="G178" s="27"/>
      <c r="H178" s="65"/>
      <c r="I178" s="65"/>
      <c r="J178" s="65"/>
      <c r="K178" s="65"/>
      <c r="L178" s="65"/>
      <c r="M178" s="65"/>
      <c r="N178" s="65"/>
      <c r="O178" s="65"/>
      <c r="P178" s="65"/>
      <c r="Q178" s="65"/>
    </row>
    <row r="179">
      <c r="A179" s="62"/>
      <c r="B179" s="66"/>
      <c r="C179" s="27"/>
      <c r="D179" s="63"/>
      <c r="E179" s="63"/>
      <c r="F179" s="63"/>
      <c r="G179" s="27"/>
      <c r="H179" s="65"/>
      <c r="I179" s="65"/>
      <c r="J179" s="65"/>
      <c r="K179" s="65"/>
      <c r="L179" s="65"/>
      <c r="M179" s="65"/>
      <c r="N179" s="65"/>
      <c r="O179" s="65"/>
      <c r="P179" s="65"/>
      <c r="Q179" s="65"/>
    </row>
    <row r="180">
      <c r="A180" s="63"/>
      <c r="B180" s="63"/>
      <c r="C180" s="27"/>
      <c r="D180" s="63"/>
      <c r="E180" s="63"/>
      <c r="F180" s="63"/>
      <c r="G180" s="27"/>
      <c r="H180" s="65"/>
      <c r="I180" s="65"/>
      <c r="J180" s="65"/>
      <c r="K180" s="65"/>
      <c r="L180" s="65"/>
      <c r="M180" s="65"/>
      <c r="N180" s="65"/>
      <c r="O180" s="65"/>
      <c r="P180" s="65"/>
      <c r="Q180" s="65"/>
    </row>
    <row r="181">
      <c r="A181" s="63"/>
      <c r="B181" s="63"/>
      <c r="C181" s="27"/>
      <c r="D181" s="63"/>
      <c r="E181" s="63"/>
      <c r="F181" s="63"/>
      <c r="G181" s="27"/>
      <c r="H181" s="65"/>
      <c r="I181" s="65"/>
      <c r="J181" s="65"/>
      <c r="K181" s="65"/>
      <c r="L181" s="65"/>
      <c r="M181" s="65"/>
      <c r="N181" s="65"/>
      <c r="O181" s="65"/>
      <c r="P181" s="65"/>
      <c r="Q181" s="65"/>
    </row>
    <row r="182">
      <c r="A182" s="63"/>
      <c r="B182" s="63"/>
      <c r="C182" s="27"/>
      <c r="D182" s="63"/>
      <c r="E182" s="63"/>
      <c r="F182" s="63"/>
      <c r="G182" s="27"/>
      <c r="H182" s="65"/>
      <c r="I182" s="65"/>
      <c r="J182" s="65"/>
      <c r="K182" s="65"/>
      <c r="L182" s="65"/>
      <c r="M182" s="65"/>
      <c r="N182" s="65"/>
      <c r="O182" s="65"/>
      <c r="P182" s="65"/>
      <c r="Q182" s="65"/>
    </row>
    <row r="183">
      <c r="A183" s="63"/>
      <c r="B183" s="63"/>
      <c r="C183" s="27"/>
      <c r="D183" s="63"/>
      <c r="E183" s="63"/>
      <c r="F183" s="63"/>
      <c r="G183" s="27"/>
      <c r="H183" s="65"/>
      <c r="I183" s="65"/>
      <c r="J183" s="65"/>
      <c r="K183" s="65"/>
      <c r="L183" s="65"/>
      <c r="M183" s="65"/>
      <c r="N183" s="65"/>
      <c r="O183" s="65"/>
      <c r="P183" s="65"/>
      <c r="Q183" s="65"/>
    </row>
    <row r="184">
      <c r="A184" s="63"/>
      <c r="B184" s="63"/>
      <c r="C184" s="27"/>
      <c r="D184" s="63"/>
      <c r="E184" s="63"/>
      <c r="F184" s="63"/>
      <c r="G184" s="27"/>
      <c r="H184" s="65"/>
      <c r="I184" s="65"/>
      <c r="J184" s="65"/>
      <c r="K184" s="65"/>
      <c r="L184" s="65"/>
      <c r="M184" s="65"/>
      <c r="N184" s="65"/>
      <c r="O184" s="65"/>
      <c r="P184" s="65"/>
      <c r="Q184" s="65"/>
    </row>
    <row r="185">
      <c r="A185" s="63"/>
      <c r="B185" s="63"/>
      <c r="C185" s="27"/>
      <c r="D185" s="63"/>
      <c r="E185" s="63"/>
      <c r="F185" s="63"/>
      <c r="G185" s="27"/>
      <c r="H185" s="65"/>
      <c r="I185" s="65"/>
      <c r="J185" s="65"/>
      <c r="K185" s="65"/>
      <c r="L185" s="65"/>
      <c r="M185" s="65"/>
      <c r="N185" s="65"/>
      <c r="O185" s="65"/>
      <c r="P185" s="65"/>
      <c r="Q185" s="65"/>
    </row>
    <row r="186">
      <c r="A186" s="63"/>
      <c r="B186" s="63"/>
      <c r="C186" s="27"/>
      <c r="D186" s="63"/>
      <c r="E186" s="63"/>
      <c r="F186" s="63"/>
      <c r="G186" s="27"/>
      <c r="H186" s="65"/>
      <c r="I186" s="65"/>
      <c r="J186" s="65"/>
      <c r="K186" s="65"/>
      <c r="L186" s="65"/>
      <c r="M186" s="65"/>
      <c r="N186" s="65"/>
      <c r="O186" s="65"/>
      <c r="P186" s="65"/>
      <c r="Q186" s="65"/>
    </row>
    <row r="187">
      <c r="A187" s="63"/>
      <c r="B187" s="63"/>
      <c r="C187" s="27"/>
      <c r="D187" s="63"/>
      <c r="E187" s="63"/>
      <c r="F187" s="63"/>
      <c r="G187" s="27"/>
      <c r="H187" s="65"/>
      <c r="I187" s="65"/>
      <c r="J187" s="65"/>
      <c r="K187" s="65"/>
      <c r="L187" s="65"/>
      <c r="M187" s="65"/>
      <c r="N187" s="65"/>
      <c r="O187" s="65"/>
      <c r="P187" s="65"/>
      <c r="Q187" s="65"/>
    </row>
    <row r="188">
      <c r="A188" s="63"/>
      <c r="B188" s="63"/>
      <c r="C188" s="27"/>
      <c r="D188" s="63"/>
      <c r="E188" s="63"/>
      <c r="F188" s="63"/>
      <c r="G188" s="27"/>
      <c r="H188" s="65"/>
      <c r="I188" s="65"/>
      <c r="J188" s="65"/>
      <c r="K188" s="65"/>
      <c r="L188" s="65"/>
      <c r="M188" s="65"/>
      <c r="N188" s="65"/>
      <c r="O188" s="65"/>
      <c r="P188" s="65"/>
      <c r="Q188" s="65"/>
    </row>
    <row r="189">
      <c r="A189" s="63"/>
      <c r="B189" s="63"/>
      <c r="C189" s="27"/>
      <c r="D189" s="63"/>
      <c r="E189" s="63"/>
      <c r="F189" s="63"/>
      <c r="G189" s="27"/>
      <c r="H189" s="65"/>
      <c r="I189" s="65"/>
      <c r="J189" s="65"/>
      <c r="K189" s="65"/>
      <c r="L189" s="65"/>
      <c r="M189" s="65"/>
      <c r="N189" s="65"/>
      <c r="O189" s="65"/>
      <c r="P189" s="65"/>
      <c r="Q189" s="65"/>
    </row>
    <row r="190">
      <c r="A190" s="63"/>
      <c r="B190" s="63"/>
      <c r="C190" s="27"/>
      <c r="D190" s="63"/>
      <c r="E190" s="63"/>
      <c r="F190" s="63"/>
      <c r="G190" s="27"/>
      <c r="H190" s="65"/>
      <c r="I190" s="65"/>
      <c r="J190" s="65"/>
      <c r="K190" s="65"/>
      <c r="L190" s="65"/>
      <c r="M190" s="65"/>
      <c r="N190" s="65"/>
      <c r="O190" s="65"/>
      <c r="P190" s="65"/>
      <c r="Q190" s="65"/>
    </row>
    <row r="191">
      <c r="A191" s="63"/>
      <c r="B191" s="63"/>
      <c r="C191" s="27"/>
      <c r="D191" s="63"/>
      <c r="E191" s="63"/>
      <c r="F191" s="63"/>
      <c r="G191" s="27"/>
      <c r="H191" s="65"/>
      <c r="I191" s="65"/>
      <c r="J191" s="65"/>
      <c r="K191" s="65"/>
      <c r="L191" s="65"/>
      <c r="M191" s="65"/>
      <c r="N191" s="65"/>
      <c r="O191" s="65"/>
      <c r="P191" s="65"/>
      <c r="Q191" s="65"/>
    </row>
    <row r="192">
      <c r="A192" s="63"/>
      <c r="B192" s="63"/>
      <c r="C192" s="27"/>
      <c r="D192" s="63"/>
      <c r="E192" s="63"/>
      <c r="F192" s="63"/>
      <c r="G192" s="27"/>
      <c r="H192" s="65"/>
      <c r="I192" s="65"/>
      <c r="J192" s="65"/>
      <c r="K192" s="65"/>
      <c r="L192" s="65"/>
      <c r="M192" s="65"/>
      <c r="N192" s="65"/>
      <c r="O192" s="65"/>
      <c r="P192" s="65"/>
      <c r="Q192" s="65"/>
    </row>
    <row r="193">
      <c r="A193" s="63"/>
      <c r="B193" s="63"/>
      <c r="C193" s="27"/>
      <c r="D193" s="63"/>
      <c r="E193" s="63"/>
      <c r="F193" s="63"/>
      <c r="G193" s="27"/>
      <c r="H193" s="65"/>
      <c r="I193" s="65"/>
      <c r="J193" s="65"/>
      <c r="K193" s="65"/>
      <c r="L193" s="65"/>
      <c r="M193" s="65"/>
      <c r="N193" s="65"/>
      <c r="O193" s="65"/>
      <c r="P193" s="65"/>
      <c r="Q193" s="65"/>
    </row>
    <row r="194">
      <c r="A194" s="63"/>
      <c r="B194" s="63"/>
      <c r="C194" s="27"/>
      <c r="D194" s="63"/>
      <c r="E194" s="63"/>
      <c r="F194" s="63"/>
      <c r="G194" s="27"/>
      <c r="H194" s="65"/>
      <c r="I194" s="65"/>
      <c r="J194" s="65"/>
      <c r="K194" s="65"/>
      <c r="L194" s="65"/>
      <c r="M194" s="65"/>
      <c r="N194" s="65"/>
      <c r="O194" s="65"/>
      <c r="P194" s="65"/>
      <c r="Q194" s="65"/>
    </row>
    <row r="195">
      <c r="A195" s="63"/>
      <c r="B195" s="63"/>
      <c r="C195" s="27"/>
      <c r="D195" s="63"/>
      <c r="E195" s="63"/>
      <c r="F195" s="63"/>
      <c r="G195" s="27"/>
      <c r="H195" s="65"/>
      <c r="I195" s="65"/>
      <c r="J195" s="65"/>
      <c r="K195" s="65"/>
      <c r="L195" s="65"/>
      <c r="M195" s="65"/>
      <c r="N195" s="65"/>
      <c r="O195" s="65"/>
      <c r="P195" s="65"/>
      <c r="Q195" s="65"/>
    </row>
    <row r="196">
      <c r="A196" s="63"/>
      <c r="B196" s="63"/>
      <c r="C196" s="27"/>
      <c r="D196" s="63"/>
      <c r="E196" s="63"/>
      <c r="F196" s="63"/>
      <c r="G196" s="27"/>
      <c r="H196" s="65"/>
      <c r="I196" s="65"/>
      <c r="J196" s="65"/>
      <c r="K196" s="65"/>
      <c r="L196" s="65"/>
      <c r="M196" s="65"/>
      <c r="N196" s="65"/>
      <c r="O196" s="65"/>
      <c r="P196" s="65"/>
      <c r="Q196" s="65"/>
    </row>
    <row r="197">
      <c r="A197" s="63"/>
      <c r="B197" s="63"/>
      <c r="C197" s="27"/>
      <c r="D197" s="63"/>
      <c r="E197" s="63"/>
      <c r="F197" s="63"/>
      <c r="G197" s="27"/>
      <c r="H197" s="65"/>
      <c r="I197" s="65"/>
      <c r="J197" s="65"/>
      <c r="K197" s="65"/>
      <c r="L197" s="65"/>
      <c r="M197" s="65"/>
      <c r="N197" s="65"/>
      <c r="O197" s="65"/>
      <c r="P197" s="65"/>
      <c r="Q197" s="65"/>
    </row>
    <row r="198">
      <c r="A198" s="63"/>
      <c r="B198" s="63"/>
      <c r="C198" s="27"/>
      <c r="D198" s="63"/>
      <c r="E198" s="63"/>
      <c r="F198" s="63"/>
      <c r="G198" s="27"/>
      <c r="H198" s="65"/>
      <c r="I198" s="65"/>
      <c r="J198" s="65"/>
      <c r="K198" s="65"/>
      <c r="L198" s="65"/>
      <c r="M198" s="65"/>
      <c r="N198" s="65"/>
      <c r="O198" s="65"/>
      <c r="P198" s="65"/>
      <c r="Q198" s="65"/>
    </row>
    <row r="199">
      <c r="A199" s="63"/>
      <c r="B199" s="63"/>
      <c r="C199" s="27"/>
      <c r="D199" s="63"/>
      <c r="E199" s="63"/>
      <c r="F199" s="63"/>
      <c r="G199" s="27"/>
      <c r="H199" s="65"/>
      <c r="I199" s="65"/>
      <c r="J199" s="65"/>
      <c r="K199" s="65"/>
      <c r="L199" s="65"/>
      <c r="M199" s="65"/>
      <c r="N199" s="65"/>
      <c r="O199" s="65"/>
      <c r="P199" s="65"/>
      <c r="Q199" s="65"/>
    </row>
    <row r="200">
      <c r="A200" s="63"/>
      <c r="B200" s="63"/>
      <c r="C200" s="27"/>
      <c r="D200" s="63"/>
      <c r="E200" s="63"/>
      <c r="F200" s="63"/>
      <c r="G200" s="27"/>
      <c r="H200" s="65"/>
      <c r="I200" s="65"/>
      <c r="J200" s="65"/>
      <c r="K200" s="65"/>
      <c r="L200" s="65"/>
      <c r="M200" s="65"/>
      <c r="N200" s="65"/>
      <c r="O200" s="65"/>
      <c r="P200" s="65"/>
      <c r="Q200" s="65"/>
    </row>
    <row r="201">
      <c r="A201" s="63"/>
      <c r="B201" s="63"/>
      <c r="C201" s="27"/>
      <c r="D201" s="63"/>
      <c r="E201" s="63"/>
      <c r="F201" s="63"/>
      <c r="G201" s="27"/>
      <c r="H201" s="65"/>
      <c r="I201" s="65"/>
      <c r="J201" s="65"/>
      <c r="K201" s="65"/>
      <c r="L201" s="65"/>
      <c r="M201" s="65"/>
      <c r="N201" s="65"/>
      <c r="O201" s="65"/>
      <c r="P201" s="65"/>
      <c r="Q201" s="65"/>
    </row>
    <row r="202">
      <c r="A202" s="63"/>
      <c r="B202" s="63"/>
      <c r="C202" s="27"/>
      <c r="D202" s="63"/>
      <c r="E202" s="63"/>
      <c r="F202" s="63"/>
      <c r="G202" s="27"/>
      <c r="H202" s="65"/>
      <c r="I202" s="65"/>
      <c r="J202" s="65"/>
      <c r="K202" s="65"/>
      <c r="L202" s="65"/>
      <c r="M202" s="65"/>
      <c r="N202" s="65"/>
      <c r="O202" s="65"/>
      <c r="P202" s="65"/>
      <c r="Q202" s="65"/>
    </row>
    <row r="203">
      <c r="A203" s="63"/>
      <c r="B203" s="63"/>
      <c r="C203" s="27"/>
      <c r="D203" s="63"/>
      <c r="E203" s="63"/>
      <c r="F203" s="63"/>
      <c r="G203" s="27"/>
      <c r="H203" s="65"/>
      <c r="I203" s="65"/>
      <c r="J203" s="65"/>
      <c r="K203" s="65"/>
      <c r="L203" s="65"/>
      <c r="M203" s="65"/>
      <c r="N203" s="65"/>
      <c r="O203" s="65"/>
      <c r="P203" s="65"/>
      <c r="Q203" s="65"/>
    </row>
    <row r="204">
      <c r="A204" s="63"/>
      <c r="B204" s="63"/>
      <c r="C204" s="27"/>
      <c r="D204" s="63"/>
      <c r="E204" s="63"/>
      <c r="F204" s="63"/>
      <c r="G204" s="27"/>
      <c r="H204" s="65"/>
      <c r="I204" s="65"/>
      <c r="J204" s="65"/>
      <c r="K204" s="65"/>
      <c r="L204" s="65"/>
      <c r="M204" s="65"/>
      <c r="N204" s="65"/>
      <c r="O204" s="65"/>
      <c r="P204" s="65"/>
      <c r="Q204" s="65"/>
    </row>
    <row r="205">
      <c r="A205" s="63"/>
      <c r="B205" s="63"/>
      <c r="C205" s="27"/>
      <c r="D205" s="63"/>
      <c r="E205" s="63"/>
      <c r="F205" s="63"/>
      <c r="G205" s="27"/>
      <c r="H205" s="65"/>
      <c r="I205" s="65"/>
      <c r="J205" s="65"/>
      <c r="K205" s="65"/>
      <c r="L205" s="65"/>
      <c r="M205" s="65"/>
      <c r="N205" s="65"/>
      <c r="O205" s="65"/>
      <c r="P205" s="65"/>
      <c r="Q205" s="65"/>
    </row>
    <row r="206">
      <c r="A206" s="63"/>
      <c r="B206" s="63"/>
      <c r="C206" s="27"/>
      <c r="D206" s="63"/>
      <c r="E206" s="63"/>
      <c r="F206" s="63"/>
      <c r="G206" s="27"/>
      <c r="H206" s="65"/>
      <c r="I206" s="65"/>
      <c r="J206" s="65"/>
      <c r="K206" s="65"/>
      <c r="L206" s="65"/>
      <c r="M206" s="65"/>
      <c r="N206" s="65"/>
      <c r="O206" s="65"/>
      <c r="P206" s="65"/>
      <c r="Q206" s="65"/>
    </row>
    <row r="207">
      <c r="A207" s="63"/>
      <c r="B207" s="63"/>
      <c r="C207" s="27"/>
      <c r="D207" s="63"/>
      <c r="E207" s="63"/>
      <c r="F207" s="63"/>
      <c r="G207" s="27"/>
      <c r="H207" s="65"/>
      <c r="I207" s="65"/>
      <c r="J207" s="65"/>
      <c r="K207" s="65"/>
      <c r="L207" s="65"/>
      <c r="M207" s="65"/>
      <c r="N207" s="65"/>
      <c r="O207" s="65"/>
      <c r="P207" s="65"/>
      <c r="Q207" s="65"/>
    </row>
    <row r="208">
      <c r="A208" s="63"/>
      <c r="B208" s="63"/>
      <c r="C208" s="27"/>
      <c r="D208" s="63"/>
      <c r="E208" s="63"/>
      <c r="F208" s="63"/>
      <c r="G208" s="27"/>
      <c r="H208" s="65"/>
      <c r="I208" s="65"/>
      <c r="J208" s="65"/>
      <c r="K208" s="65"/>
      <c r="L208" s="65"/>
      <c r="M208" s="65"/>
      <c r="N208" s="65"/>
      <c r="O208" s="65"/>
      <c r="P208" s="65"/>
      <c r="Q208" s="65"/>
    </row>
    <row r="209">
      <c r="A209" s="63"/>
      <c r="B209" s="63"/>
      <c r="C209" s="27"/>
      <c r="D209" s="63"/>
      <c r="E209" s="63"/>
      <c r="F209" s="63"/>
      <c r="G209" s="27"/>
      <c r="H209" s="65"/>
      <c r="I209" s="65"/>
      <c r="J209" s="65"/>
      <c r="K209" s="65"/>
      <c r="L209" s="65"/>
      <c r="M209" s="65"/>
      <c r="N209" s="65"/>
      <c r="O209" s="65"/>
      <c r="P209" s="65"/>
      <c r="Q209" s="65"/>
    </row>
    <row r="210">
      <c r="A210" s="63"/>
      <c r="B210" s="63"/>
      <c r="C210" s="27"/>
      <c r="D210" s="63"/>
      <c r="E210" s="63"/>
      <c r="F210" s="63"/>
      <c r="G210" s="27"/>
      <c r="H210" s="65"/>
      <c r="I210" s="65"/>
      <c r="J210" s="65"/>
      <c r="K210" s="65"/>
      <c r="L210" s="65"/>
      <c r="M210" s="65"/>
      <c r="N210" s="65"/>
      <c r="O210" s="65"/>
      <c r="P210" s="65"/>
      <c r="Q210" s="65"/>
    </row>
    <row r="211">
      <c r="A211" s="63"/>
      <c r="B211" s="63"/>
      <c r="C211" s="27"/>
      <c r="D211" s="63"/>
      <c r="E211" s="63"/>
      <c r="F211" s="63"/>
      <c r="G211" s="27"/>
      <c r="H211" s="65"/>
      <c r="I211" s="65"/>
      <c r="J211" s="65"/>
      <c r="K211" s="65"/>
      <c r="L211" s="65"/>
      <c r="M211" s="65"/>
      <c r="N211" s="65"/>
      <c r="O211" s="65"/>
      <c r="P211" s="65"/>
      <c r="Q211" s="65"/>
    </row>
    <row r="212">
      <c r="A212" s="63"/>
      <c r="B212" s="63"/>
      <c r="C212" s="27"/>
      <c r="D212" s="63"/>
      <c r="E212" s="63"/>
      <c r="F212" s="63"/>
      <c r="G212" s="27"/>
      <c r="H212" s="65"/>
      <c r="I212" s="65"/>
      <c r="J212" s="65"/>
      <c r="K212" s="65"/>
      <c r="L212" s="65"/>
      <c r="M212" s="65"/>
      <c r="N212" s="65"/>
      <c r="O212" s="65"/>
      <c r="P212" s="65"/>
      <c r="Q212" s="65"/>
    </row>
    <row r="213">
      <c r="A213" s="63"/>
      <c r="B213" s="63"/>
      <c r="C213" s="27"/>
      <c r="D213" s="63"/>
      <c r="E213" s="63"/>
      <c r="F213" s="63"/>
      <c r="G213" s="27"/>
      <c r="H213" s="65"/>
      <c r="I213" s="65"/>
      <c r="J213" s="65"/>
      <c r="K213" s="65"/>
      <c r="L213" s="65"/>
      <c r="M213" s="65"/>
      <c r="N213" s="65"/>
      <c r="O213" s="65"/>
      <c r="P213" s="65"/>
      <c r="Q213" s="65"/>
    </row>
    <row r="214">
      <c r="A214" s="63"/>
      <c r="B214" s="63"/>
      <c r="C214" s="27"/>
      <c r="D214" s="63"/>
      <c r="E214" s="63"/>
      <c r="F214" s="63"/>
      <c r="G214" s="27"/>
      <c r="H214" s="65"/>
      <c r="I214" s="65"/>
      <c r="J214" s="65"/>
      <c r="K214" s="65"/>
      <c r="L214" s="65"/>
      <c r="M214" s="65"/>
      <c r="N214" s="65"/>
      <c r="O214" s="65"/>
      <c r="P214" s="65"/>
      <c r="Q214" s="65"/>
    </row>
    <row r="215">
      <c r="A215" s="63"/>
      <c r="B215" s="63"/>
      <c r="C215" s="27"/>
      <c r="D215" s="63"/>
      <c r="E215" s="63"/>
      <c r="F215" s="63"/>
      <c r="G215" s="27"/>
      <c r="H215" s="65"/>
      <c r="I215" s="65"/>
      <c r="J215" s="65"/>
      <c r="K215" s="65"/>
      <c r="L215" s="65"/>
      <c r="M215" s="65"/>
      <c r="N215" s="65"/>
      <c r="O215" s="65"/>
      <c r="P215" s="65"/>
      <c r="Q215" s="65"/>
    </row>
    <row r="216">
      <c r="A216" s="63"/>
      <c r="B216" s="63"/>
      <c r="C216" s="27"/>
      <c r="D216" s="63"/>
      <c r="E216" s="63"/>
      <c r="F216" s="63"/>
      <c r="G216" s="27"/>
      <c r="H216" s="65"/>
      <c r="I216" s="65"/>
      <c r="J216" s="65"/>
      <c r="K216" s="65"/>
      <c r="L216" s="65"/>
      <c r="M216" s="65"/>
      <c r="N216" s="65"/>
      <c r="O216" s="65"/>
      <c r="P216" s="65"/>
      <c r="Q216" s="65"/>
    </row>
    <row r="217">
      <c r="A217" s="63"/>
      <c r="B217" s="63"/>
      <c r="C217" s="27"/>
      <c r="D217" s="63"/>
      <c r="E217" s="63"/>
      <c r="F217" s="63"/>
      <c r="G217" s="27"/>
      <c r="H217" s="65"/>
      <c r="I217" s="65"/>
      <c r="J217" s="65"/>
      <c r="K217" s="65"/>
      <c r="L217" s="65"/>
      <c r="M217" s="65"/>
      <c r="N217" s="65"/>
      <c r="O217" s="65"/>
      <c r="P217" s="65"/>
      <c r="Q217" s="65"/>
    </row>
    <row r="218">
      <c r="A218" s="63"/>
      <c r="B218" s="63"/>
      <c r="C218" s="27"/>
      <c r="D218" s="63"/>
      <c r="E218" s="63"/>
      <c r="F218" s="63"/>
      <c r="G218" s="27"/>
      <c r="H218" s="65"/>
      <c r="I218" s="65"/>
      <c r="J218" s="65"/>
      <c r="K218" s="65"/>
      <c r="L218" s="65"/>
      <c r="M218" s="65"/>
      <c r="N218" s="65"/>
      <c r="O218" s="65"/>
      <c r="P218" s="65"/>
      <c r="Q218" s="65"/>
    </row>
    <row r="219">
      <c r="A219" s="63"/>
      <c r="B219" s="63"/>
      <c r="C219" s="27"/>
      <c r="D219" s="63"/>
      <c r="E219" s="63"/>
      <c r="F219" s="63"/>
      <c r="G219" s="27"/>
      <c r="H219" s="65"/>
      <c r="I219" s="65"/>
      <c r="J219" s="65"/>
      <c r="K219" s="65"/>
      <c r="L219" s="65"/>
      <c r="M219" s="65"/>
      <c r="N219" s="65"/>
      <c r="O219" s="65"/>
      <c r="P219" s="65"/>
      <c r="Q219" s="65"/>
    </row>
    <row r="220">
      <c r="A220" s="63"/>
      <c r="B220" s="63"/>
      <c r="C220" s="27"/>
      <c r="D220" s="63"/>
      <c r="E220" s="63"/>
      <c r="F220" s="63"/>
      <c r="G220" s="27"/>
      <c r="H220" s="65"/>
      <c r="I220" s="65"/>
      <c r="J220" s="65"/>
      <c r="K220" s="65"/>
      <c r="L220" s="65"/>
      <c r="M220" s="65"/>
      <c r="N220" s="65"/>
      <c r="O220" s="65"/>
      <c r="P220" s="65"/>
      <c r="Q220" s="65"/>
    </row>
    <row r="221">
      <c r="A221" s="63"/>
      <c r="B221" s="63"/>
      <c r="C221" s="27"/>
      <c r="D221" s="63"/>
      <c r="E221" s="63"/>
      <c r="F221" s="63"/>
      <c r="G221" s="27"/>
      <c r="H221" s="65"/>
      <c r="I221" s="65"/>
      <c r="J221" s="65"/>
      <c r="K221" s="65"/>
      <c r="L221" s="65"/>
      <c r="M221" s="65"/>
      <c r="N221" s="65"/>
      <c r="O221" s="65"/>
      <c r="P221" s="65"/>
      <c r="Q221" s="65"/>
    </row>
    <row r="222">
      <c r="A222" s="63"/>
      <c r="B222" s="63"/>
      <c r="C222" s="27"/>
      <c r="D222" s="63"/>
      <c r="E222" s="63"/>
      <c r="F222" s="63"/>
      <c r="G222" s="27"/>
      <c r="H222" s="65"/>
      <c r="I222" s="65"/>
      <c r="J222" s="65"/>
      <c r="K222" s="65"/>
      <c r="L222" s="65"/>
      <c r="M222" s="65"/>
      <c r="N222" s="65"/>
      <c r="O222" s="65"/>
      <c r="P222" s="65"/>
      <c r="Q222" s="65"/>
    </row>
    <row r="223">
      <c r="A223" s="63"/>
      <c r="B223" s="63"/>
      <c r="C223" s="27"/>
      <c r="D223" s="63"/>
      <c r="E223" s="63"/>
      <c r="F223" s="63"/>
      <c r="G223" s="27"/>
      <c r="H223" s="65"/>
      <c r="I223" s="65"/>
      <c r="J223" s="65"/>
      <c r="K223" s="65"/>
      <c r="L223" s="65"/>
      <c r="M223" s="65"/>
      <c r="N223" s="65"/>
      <c r="O223" s="65"/>
      <c r="P223" s="65"/>
      <c r="Q223" s="65"/>
    </row>
    <row r="224">
      <c r="A224" s="63"/>
      <c r="B224" s="63"/>
      <c r="C224" s="27"/>
      <c r="D224" s="63"/>
      <c r="E224" s="63"/>
      <c r="F224" s="63"/>
      <c r="G224" s="27"/>
      <c r="H224" s="65"/>
      <c r="I224" s="65"/>
      <c r="J224" s="65"/>
      <c r="K224" s="65"/>
      <c r="L224" s="65"/>
      <c r="M224" s="65"/>
      <c r="N224" s="65"/>
      <c r="O224" s="65"/>
      <c r="P224" s="65"/>
      <c r="Q224" s="65"/>
    </row>
    <row r="225">
      <c r="A225" s="63"/>
      <c r="B225" s="63"/>
      <c r="C225" s="27"/>
      <c r="D225" s="63"/>
      <c r="E225" s="63"/>
      <c r="F225" s="63"/>
      <c r="G225" s="27"/>
      <c r="H225" s="65"/>
      <c r="I225" s="65"/>
      <c r="J225" s="65"/>
      <c r="K225" s="65"/>
      <c r="L225" s="65"/>
      <c r="M225" s="65"/>
      <c r="N225" s="65"/>
      <c r="O225" s="65"/>
      <c r="P225" s="65"/>
      <c r="Q225" s="65"/>
    </row>
    <row r="226">
      <c r="A226" s="63"/>
      <c r="B226" s="63"/>
      <c r="C226" s="27"/>
      <c r="D226" s="63"/>
      <c r="E226" s="63"/>
      <c r="F226" s="63"/>
      <c r="G226" s="27"/>
      <c r="H226" s="65"/>
      <c r="I226" s="65"/>
      <c r="J226" s="65"/>
      <c r="K226" s="65"/>
      <c r="L226" s="65"/>
      <c r="M226" s="65"/>
      <c r="N226" s="65"/>
      <c r="O226" s="65"/>
      <c r="P226" s="65"/>
      <c r="Q226" s="65"/>
    </row>
    <row r="227">
      <c r="A227" s="63"/>
      <c r="B227" s="63"/>
      <c r="C227" s="27"/>
      <c r="D227" s="63"/>
      <c r="E227" s="63"/>
      <c r="F227" s="63"/>
      <c r="G227" s="27"/>
      <c r="H227" s="65"/>
      <c r="I227" s="65"/>
      <c r="J227" s="65"/>
      <c r="K227" s="65"/>
      <c r="L227" s="65"/>
      <c r="M227" s="65"/>
      <c r="N227" s="65"/>
      <c r="O227" s="65"/>
      <c r="P227" s="65"/>
      <c r="Q227" s="65"/>
    </row>
    <row r="228">
      <c r="A228" s="63"/>
      <c r="B228" s="63"/>
      <c r="C228" s="27"/>
      <c r="D228" s="63"/>
      <c r="E228" s="63"/>
      <c r="F228" s="63"/>
      <c r="G228" s="27"/>
      <c r="H228" s="65"/>
      <c r="I228" s="65"/>
      <c r="J228" s="65"/>
      <c r="K228" s="65"/>
      <c r="L228" s="65"/>
      <c r="M228" s="65"/>
      <c r="N228" s="65"/>
      <c r="O228" s="65"/>
      <c r="P228" s="65"/>
      <c r="Q228" s="65"/>
    </row>
    <row r="229">
      <c r="A229" s="63"/>
      <c r="B229" s="63"/>
      <c r="C229" s="27"/>
      <c r="D229" s="63"/>
      <c r="E229" s="63"/>
      <c r="F229" s="63"/>
      <c r="G229" s="27"/>
      <c r="H229" s="65"/>
      <c r="I229" s="65"/>
      <c r="J229" s="65"/>
      <c r="K229" s="65"/>
      <c r="L229" s="65"/>
      <c r="M229" s="65"/>
      <c r="N229" s="65"/>
      <c r="O229" s="65"/>
      <c r="P229" s="65"/>
      <c r="Q229" s="65"/>
    </row>
    <row r="230">
      <c r="A230" s="63"/>
      <c r="B230" s="63"/>
      <c r="C230" s="27"/>
      <c r="D230" s="63"/>
      <c r="E230" s="63"/>
      <c r="F230" s="63"/>
      <c r="G230" s="27"/>
      <c r="H230" s="65"/>
      <c r="I230" s="65"/>
      <c r="J230" s="65"/>
      <c r="K230" s="65"/>
      <c r="L230" s="65"/>
      <c r="M230" s="65"/>
      <c r="N230" s="65"/>
      <c r="O230" s="65"/>
      <c r="P230" s="65"/>
      <c r="Q230" s="65"/>
    </row>
    <row r="231">
      <c r="A231" s="63"/>
      <c r="B231" s="63"/>
      <c r="C231" s="27"/>
      <c r="D231" s="63"/>
      <c r="E231" s="63"/>
      <c r="F231" s="63"/>
      <c r="G231" s="27"/>
      <c r="H231" s="65"/>
      <c r="I231" s="65"/>
      <c r="J231" s="65"/>
      <c r="K231" s="65"/>
      <c r="L231" s="65"/>
      <c r="M231" s="65"/>
      <c r="N231" s="65"/>
      <c r="O231" s="65"/>
      <c r="P231" s="65"/>
      <c r="Q231" s="65"/>
    </row>
    <row r="232">
      <c r="A232" s="63"/>
      <c r="B232" s="63"/>
      <c r="C232" s="27"/>
      <c r="D232" s="63"/>
      <c r="E232" s="63"/>
      <c r="F232" s="63"/>
      <c r="G232" s="27"/>
      <c r="H232" s="65"/>
      <c r="I232" s="65"/>
      <c r="J232" s="65"/>
      <c r="K232" s="65"/>
      <c r="L232" s="65"/>
      <c r="M232" s="65"/>
      <c r="N232" s="65"/>
      <c r="O232" s="65"/>
      <c r="P232" s="65"/>
      <c r="Q232" s="65"/>
    </row>
    <row r="233">
      <c r="A233" s="63"/>
      <c r="B233" s="63"/>
      <c r="C233" s="27"/>
      <c r="D233" s="63"/>
      <c r="E233" s="63"/>
      <c r="F233" s="63"/>
      <c r="G233" s="27"/>
      <c r="H233" s="65"/>
      <c r="I233" s="65"/>
      <c r="J233" s="65"/>
      <c r="K233" s="65"/>
      <c r="L233" s="65"/>
      <c r="M233" s="65"/>
      <c r="N233" s="65"/>
      <c r="O233" s="65"/>
      <c r="P233" s="65"/>
      <c r="Q233" s="65"/>
    </row>
    <row r="234">
      <c r="A234" s="63"/>
      <c r="B234" s="63"/>
      <c r="C234" s="27"/>
      <c r="D234" s="63"/>
      <c r="E234" s="63"/>
      <c r="F234" s="63"/>
      <c r="G234" s="27"/>
      <c r="H234" s="65"/>
      <c r="I234" s="65"/>
      <c r="J234" s="65"/>
      <c r="K234" s="65"/>
      <c r="L234" s="65"/>
      <c r="M234" s="65"/>
      <c r="N234" s="65"/>
      <c r="O234" s="65"/>
      <c r="P234" s="65"/>
      <c r="Q234" s="65"/>
    </row>
    <row r="235">
      <c r="A235" s="63"/>
      <c r="B235" s="63"/>
      <c r="C235" s="27"/>
      <c r="D235" s="63"/>
      <c r="E235" s="63"/>
      <c r="F235" s="63"/>
      <c r="G235" s="27"/>
      <c r="H235" s="65"/>
      <c r="I235" s="65"/>
      <c r="J235" s="65"/>
      <c r="K235" s="65"/>
      <c r="L235" s="65"/>
      <c r="M235" s="65"/>
      <c r="N235" s="65"/>
      <c r="O235" s="65"/>
      <c r="P235" s="65"/>
      <c r="Q235" s="65"/>
    </row>
    <row r="236">
      <c r="A236" s="63"/>
      <c r="B236" s="63"/>
      <c r="C236" s="27"/>
      <c r="D236" s="63"/>
      <c r="E236" s="63"/>
      <c r="F236" s="63"/>
      <c r="G236" s="27"/>
      <c r="H236" s="65"/>
      <c r="I236" s="65"/>
      <c r="J236" s="65"/>
      <c r="K236" s="65"/>
      <c r="L236" s="65"/>
      <c r="M236" s="65"/>
      <c r="N236" s="65"/>
      <c r="O236" s="65"/>
      <c r="P236" s="65"/>
      <c r="Q236" s="65"/>
    </row>
    <row r="237">
      <c r="A237" s="63"/>
      <c r="B237" s="63"/>
      <c r="C237" s="27"/>
      <c r="D237" s="63"/>
      <c r="E237" s="63"/>
      <c r="F237" s="63"/>
      <c r="G237" s="27"/>
      <c r="H237" s="65"/>
      <c r="I237" s="65"/>
      <c r="J237" s="65"/>
      <c r="K237" s="65"/>
      <c r="L237" s="65"/>
      <c r="M237" s="65"/>
      <c r="N237" s="65"/>
      <c r="O237" s="65"/>
      <c r="P237" s="65"/>
      <c r="Q237" s="65"/>
    </row>
    <row r="238">
      <c r="A238" s="63"/>
      <c r="B238" s="63"/>
      <c r="C238" s="27"/>
      <c r="D238" s="63"/>
      <c r="E238" s="63"/>
      <c r="F238" s="63"/>
      <c r="G238" s="27"/>
      <c r="H238" s="65"/>
      <c r="I238" s="65"/>
      <c r="J238" s="65"/>
      <c r="K238" s="65"/>
      <c r="L238" s="65"/>
      <c r="M238" s="65"/>
      <c r="N238" s="65"/>
      <c r="O238" s="65"/>
      <c r="P238" s="65"/>
      <c r="Q238" s="65"/>
    </row>
    <row r="239">
      <c r="A239" s="63"/>
      <c r="B239" s="63"/>
      <c r="C239" s="27"/>
      <c r="D239" s="63"/>
      <c r="E239" s="63"/>
      <c r="F239" s="63"/>
      <c r="G239" s="27"/>
      <c r="H239" s="65"/>
      <c r="I239" s="65"/>
      <c r="J239" s="65"/>
      <c r="K239" s="65"/>
      <c r="L239" s="65"/>
      <c r="M239" s="65"/>
      <c r="N239" s="65"/>
      <c r="O239" s="65"/>
      <c r="P239" s="65"/>
      <c r="Q239" s="65"/>
    </row>
    <row r="240">
      <c r="A240" s="63"/>
      <c r="B240" s="63"/>
      <c r="C240" s="27"/>
      <c r="D240" s="63"/>
      <c r="E240" s="63"/>
      <c r="F240" s="63"/>
      <c r="G240" s="27"/>
      <c r="H240" s="65"/>
      <c r="I240" s="65"/>
      <c r="J240" s="65"/>
      <c r="K240" s="65"/>
      <c r="L240" s="65"/>
      <c r="M240" s="65"/>
      <c r="N240" s="65"/>
      <c r="O240" s="65"/>
      <c r="P240" s="65"/>
      <c r="Q240" s="65"/>
    </row>
    <row r="241">
      <c r="A241" s="63"/>
      <c r="B241" s="63"/>
      <c r="C241" s="27"/>
      <c r="D241" s="63"/>
      <c r="E241" s="63"/>
      <c r="F241" s="63"/>
      <c r="G241" s="27"/>
      <c r="H241" s="65"/>
      <c r="I241" s="65"/>
      <c r="J241" s="65"/>
      <c r="K241" s="65"/>
      <c r="L241" s="65"/>
      <c r="M241" s="65"/>
      <c r="N241" s="65"/>
      <c r="O241" s="65"/>
      <c r="P241" s="65"/>
      <c r="Q241" s="65"/>
    </row>
    <row r="242">
      <c r="A242" s="63"/>
      <c r="B242" s="63"/>
      <c r="C242" s="27"/>
      <c r="D242" s="63"/>
      <c r="E242" s="63"/>
      <c r="F242" s="63"/>
      <c r="G242" s="27"/>
      <c r="H242" s="65"/>
      <c r="I242" s="65"/>
      <c r="J242" s="65"/>
      <c r="K242" s="65"/>
      <c r="L242" s="65"/>
      <c r="M242" s="65"/>
      <c r="N242" s="65"/>
      <c r="O242" s="65"/>
      <c r="P242" s="65"/>
      <c r="Q242" s="65"/>
    </row>
    <row r="243">
      <c r="A243" s="63"/>
      <c r="B243" s="63"/>
      <c r="C243" s="27"/>
      <c r="D243" s="63"/>
      <c r="E243" s="63"/>
      <c r="F243" s="63"/>
      <c r="G243" s="27"/>
      <c r="H243" s="65"/>
      <c r="I243" s="65"/>
      <c r="J243" s="65"/>
      <c r="K243" s="65"/>
      <c r="L243" s="65"/>
      <c r="M243" s="65"/>
      <c r="N243" s="65"/>
      <c r="O243" s="65"/>
      <c r="P243" s="65"/>
      <c r="Q243" s="65"/>
    </row>
    <row r="244">
      <c r="A244" s="63"/>
      <c r="B244" s="63"/>
      <c r="C244" s="27"/>
      <c r="D244" s="63"/>
      <c r="E244" s="63"/>
      <c r="F244" s="63"/>
      <c r="G244" s="27"/>
      <c r="H244" s="65"/>
      <c r="I244" s="65"/>
      <c r="J244" s="65"/>
      <c r="K244" s="65"/>
      <c r="L244" s="65"/>
      <c r="M244" s="65"/>
      <c r="N244" s="65"/>
      <c r="O244" s="65"/>
      <c r="P244" s="65"/>
      <c r="Q244" s="65"/>
    </row>
    <row r="245">
      <c r="A245" s="63"/>
      <c r="B245" s="63"/>
      <c r="C245" s="27"/>
      <c r="D245" s="63"/>
      <c r="E245" s="63"/>
      <c r="F245" s="63"/>
      <c r="G245" s="27"/>
      <c r="H245" s="65"/>
      <c r="I245" s="65"/>
      <c r="J245" s="65"/>
      <c r="K245" s="65"/>
      <c r="L245" s="65"/>
      <c r="M245" s="65"/>
      <c r="N245" s="65"/>
      <c r="O245" s="65"/>
      <c r="P245" s="65"/>
      <c r="Q245" s="65"/>
    </row>
    <row r="246">
      <c r="A246" s="63"/>
      <c r="B246" s="63"/>
      <c r="C246" s="27"/>
      <c r="D246" s="63"/>
      <c r="E246" s="63"/>
      <c r="F246" s="63"/>
      <c r="G246" s="27"/>
      <c r="H246" s="65"/>
      <c r="I246" s="65"/>
      <c r="J246" s="65"/>
      <c r="K246" s="65"/>
      <c r="L246" s="65"/>
      <c r="M246" s="65"/>
      <c r="N246" s="65"/>
      <c r="O246" s="65"/>
      <c r="P246" s="65"/>
      <c r="Q246" s="65"/>
    </row>
    <row r="247">
      <c r="A247" s="63"/>
      <c r="B247" s="63"/>
      <c r="C247" s="27"/>
      <c r="D247" s="63"/>
      <c r="E247" s="63"/>
      <c r="F247" s="63"/>
      <c r="G247" s="27"/>
      <c r="H247" s="65"/>
      <c r="I247" s="65"/>
      <c r="J247" s="65"/>
      <c r="K247" s="65"/>
      <c r="L247" s="65"/>
      <c r="M247" s="65"/>
      <c r="N247" s="65"/>
      <c r="O247" s="65"/>
      <c r="P247" s="65"/>
      <c r="Q247" s="65"/>
    </row>
    <row r="248">
      <c r="A248" s="63"/>
      <c r="B248" s="63"/>
      <c r="C248" s="27"/>
      <c r="D248" s="63"/>
      <c r="E248" s="63"/>
      <c r="F248" s="63"/>
      <c r="G248" s="27"/>
      <c r="H248" s="65"/>
      <c r="I248" s="65"/>
      <c r="J248" s="65"/>
      <c r="K248" s="65"/>
      <c r="L248" s="65"/>
      <c r="M248" s="65"/>
      <c r="N248" s="65"/>
      <c r="O248" s="65"/>
      <c r="P248" s="65"/>
      <c r="Q248" s="65"/>
    </row>
    <row r="249">
      <c r="A249" s="63"/>
      <c r="B249" s="63"/>
      <c r="C249" s="27"/>
      <c r="D249" s="63"/>
      <c r="E249" s="63"/>
      <c r="F249" s="63"/>
      <c r="G249" s="27"/>
      <c r="H249" s="65"/>
      <c r="I249" s="65"/>
      <c r="J249" s="65"/>
      <c r="K249" s="65"/>
      <c r="L249" s="65"/>
      <c r="M249" s="65"/>
      <c r="N249" s="65"/>
      <c r="O249" s="65"/>
      <c r="P249" s="65"/>
      <c r="Q249" s="65"/>
    </row>
    <row r="250">
      <c r="A250" s="63"/>
      <c r="B250" s="63"/>
      <c r="C250" s="27"/>
      <c r="D250" s="63"/>
      <c r="E250" s="63"/>
      <c r="F250" s="63"/>
      <c r="G250" s="27"/>
      <c r="H250" s="65"/>
      <c r="I250" s="65"/>
      <c r="J250" s="65"/>
      <c r="K250" s="65"/>
      <c r="L250" s="65"/>
      <c r="M250" s="65"/>
      <c r="N250" s="65"/>
      <c r="O250" s="65"/>
      <c r="P250" s="65"/>
      <c r="Q250" s="65"/>
    </row>
    <row r="251">
      <c r="A251" s="63"/>
      <c r="B251" s="63"/>
      <c r="C251" s="27"/>
      <c r="D251" s="63"/>
      <c r="E251" s="63"/>
      <c r="F251" s="63"/>
      <c r="G251" s="27"/>
      <c r="H251" s="65"/>
      <c r="I251" s="65"/>
      <c r="J251" s="65"/>
      <c r="K251" s="65"/>
      <c r="L251" s="65"/>
      <c r="M251" s="65"/>
      <c r="N251" s="65"/>
      <c r="O251" s="65"/>
      <c r="P251" s="65"/>
      <c r="Q251" s="65"/>
    </row>
    <row r="252">
      <c r="A252" s="63"/>
      <c r="B252" s="63"/>
      <c r="C252" s="27"/>
      <c r="D252" s="63"/>
      <c r="E252" s="63"/>
      <c r="F252" s="63"/>
      <c r="G252" s="27"/>
      <c r="H252" s="65"/>
      <c r="I252" s="65"/>
      <c r="J252" s="65"/>
      <c r="K252" s="65"/>
      <c r="L252" s="65"/>
      <c r="M252" s="65"/>
      <c r="N252" s="65"/>
      <c r="O252" s="65"/>
      <c r="P252" s="65"/>
      <c r="Q252" s="65"/>
    </row>
    <row r="253">
      <c r="A253" s="63"/>
      <c r="B253" s="63"/>
      <c r="C253" s="27"/>
      <c r="D253" s="63"/>
      <c r="E253" s="63"/>
      <c r="F253" s="63"/>
      <c r="G253" s="27"/>
      <c r="H253" s="65"/>
      <c r="I253" s="65"/>
      <c r="J253" s="65"/>
      <c r="K253" s="65"/>
      <c r="L253" s="65"/>
      <c r="M253" s="65"/>
      <c r="N253" s="65"/>
      <c r="O253" s="65"/>
      <c r="P253" s="65"/>
      <c r="Q253" s="65"/>
    </row>
    <row r="254">
      <c r="A254" s="63"/>
      <c r="B254" s="63"/>
      <c r="C254" s="27"/>
      <c r="D254" s="63"/>
      <c r="E254" s="63"/>
      <c r="F254" s="63"/>
      <c r="G254" s="27"/>
      <c r="H254" s="65"/>
      <c r="I254" s="65"/>
      <c r="J254" s="65"/>
      <c r="K254" s="65"/>
      <c r="L254" s="65"/>
      <c r="M254" s="65"/>
      <c r="N254" s="65"/>
      <c r="O254" s="65"/>
      <c r="P254" s="65"/>
      <c r="Q254" s="65"/>
    </row>
    <row r="255">
      <c r="A255" s="63"/>
      <c r="B255" s="63"/>
      <c r="C255" s="27"/>
      <c r="D255" s="63"/>
      <c r="E255" s="63"/>
      <c r="F255" s="63"/>
      <c r="G255" s="27"/>
      <c r="H255" s="65"/>
      <c r="I255" s="65"/>
      <c r="J255" s="65"/>
      <c r="K255" s="65"/>
      <c r="L255" s="65"/>
      <c r="M255" s="65"/>
      <c r="N255" s="65"/>
      <c r="O255" s="65"/>
      <c r="P255" s="65"/>
      <c r="Q255" s="65"/>
    </row>
    <row r="256">
      <c r="A256" s="63"/>
      <c r="B256" s="63"/>
      <c r="C256" s="27"/>
      <c r="D256" s="63"/>
      <c r="E256" s="63"/>
      <c r="F256" s="63"/>
      <c r="G256" s="27"/>
      <c r="H256" s="65"/>
      <c r="I256" s="65"/>
      <c r="J256" s="65"/>
      <c r="K256" s="65"/>
      <c r="L256" s="65"/>
      <c r="M256" s="65"/>
      <c r="N256" s="65"/>
      <c r="O256" s="65"/>
      <c r="P256" s="65"/>
      <c r="Q256" s="65"/>
    </row>
    <row r="257">
      <c r="A257" s="63"/>
      <c r="B257" s="63"/>
      <c r="C257" s="27"/>
      <c r="D257" s="63"/>
      <c r="E257" s="63"/>
      <c r="F257" s="63"/>
      <c r="G257" s="27"/>
      <c r="H257" s="65"/>
      <c r="I257" s="65"/>
      <c r="J257" s="65"/>
      <c r="K257" s="65"/>
      <c r="L257" s="65"/>
      <c r="M257" s="65"/>
      <c r="N257" s="65"/>
      <c r="O257" s="65"/>
      <c r="P257" s="65"/>
      <c r="Q257" s="65"/>
    </row>
    <row r="258">
      <c r="A258" s="63"/>
      <c r="B258" s="63"/>
      <c r="C258" s="27"/>
      <c r="D258" s="63"/>
      <c r="E258" s="63"/>
      <c r="F258" s="63"/>
      <c r="G258" s="27"/>
      <c r="H258" s="65"/>
      <c r="I258" s="65"/>
      <c r="J258" s="65"/>
      <c r="K258" s="65"/>
      <c r="L258" s="65"/>
      <c r="M258" s="65"/>
      <c r="N258" s="65"/>
      <c r="O258" s="65"/>
      <c r="P258" s="65"/>
      <c r="Q258" s="65"/>
    </row>
    <row r="259">
      <c r="A259" s="63"/>
      <c r="B259" s="63"/>
      <c r="C259" s="27"/>
      <c r="D259" s="63"/>
      <c r="E259" s="63"/>
      <c r="F259" s="63"/>
      <c r="G259" s="27"/>
      <c r="H259" s="65"/>
      <c r="I259" s="65"/>
      <c r="J259" s="65"/>
      <c r="K259" s="65"/>
      <c r="L259" s="65"/>
      <c r="M259" s="65"/>
      <c r="N259" s="65"/>
      <c r="O259" s="65"/>
      <c r="P259" s="65"/>
      <c r="Q259" s="65"/>
    </row>
    <row r="260">
      <c r="A260" s="63"/>
      <c r="B260" s="63"/>
      <c r="C260" s="27"/>
      <c r="D260" s="63"/>
      <c r="E260" s="63"/>
      <c r="F260" s="63"/>
      <c r="G260" s="27"/>
      <c r="H260" s="65"/>
      <c r="I260" s="65"/>
      <c r="J260" s="65"/>
      <c r="K260" s="65"/>
      <c r="L260" s="65"/>
      <c r="M260" s="65"/>
      <c r="N260" s="65"/>
      <c r="O260" s="65"/>
      <c r="P260" s="65"/>
      <c r="Q260" s="65"/>
    </row>
    <row r="261">
      <c r="A261" s="63"/>
      <c r="B261" s="63"/>
      <c r="C261" s="27"/>
      <c r="D261" s="63"/>
      <c r="E261" s="63"/>
      <c r="F261" s="63"/>
      <c r="G261" s="27"/>
      <c r="H261" s="65"/>
      <c r="I261" s="65"/>
      <c r="J261" s="65"/>
      <c r="K261" s="65"/>
      <c r="L261" s="65"/>
      <c r="M261" s="65"/>
      <c r="N261" s="65"/>
      <c r="O261" s="65"/>
      <c r="P261" s="65"/>
      <c r="Q261" s="65"/>
    </row>
    <row r="262">
      <c r="A262" s="63"/>
      <c r="B262" s="63"/>
      <c r="C262" s="27"/>
      <c r="D262" s="63"/>
      <c r="E262" s="63"/>
      <c r="F262" s="63"/>
      <c r="G262" s="27"/>
      <c r="H262" s="65"/>
      <c r="I262" s="65"/>
      <c r="J262" s="65"/>
      <c r="K262" s="65"/>
      <c r="L262" s="65"/>
      <c r="M262" s="65"/>
      <c r="N262" s="65"/>
      <c r="O262" s="65"/>
      <c r="P262" s="65"/>
      <c r="Q262" s="65"/>
    </row>
    <row r="263">
      <c r="A263" s="63"/>
      <c r="B263" s="63"/>
      <c r="C263" s="27"/>
      <c r="D263" s="63"/>
      <c r="E263" s="63"/>
      <c r="F263" s="63"/>
      <c r="G263" s="27"/>
      <c r="H263" s="65"/>
      <c r="I263" s="65"/>
      <c r="J263" s="65"/>
      <c r="K263" s="65"/>
      <c r="L263" s="65"/>
      <c r="M263" s="65"/>
      <c r="N263" s="65"/>
      <c r="O263" s="65"/>
      <c r="P263" s="65"/>
      <c r="Q263" s="65"/>
    </row>
    <row r="264">
      <c r="A264" s="63"/>
      <c r="B264" s="63"/>
      <c r="C264" s="27"/>
      <c r="D264" s="63"/>
      <c r="E264" s="63"/>
      <c r="F264" s="63"/>
      <c r="G264" s="27"/>
      <c r="H264" s="65"/>
      <c r="I264" s="65"/>
      <c r="J264" s="65"/>
      <c r="K264" s="65"/>
      <c r="L264" s="65"/>
      <c r="M264" s="65"/>
      <c r="N264" s="65"/>
      <c r="O264" s="65"/>
      <c r="P264" s="65"/>
      <c r="Q264" s="65"/>
    </row>
    <row r="265">
      <c r="A265" s="63"/>
      <c r="B265" s="63"/>
      <c r="C265" s="27"/>
      <c r="D265" s="63"/>
      <c r="E265" s="63"/>
      <c r="F265" s="63"/>
      <c r="G265" s="27"/>
      <c r="H265" s="65"/>
      <c r="I265" s="65"/>
      <c r="J265" s="65"/>
      <c r="K265" s="65"/>
      <c r="L265" s="65"/>
      <c r="M265" s="65"/>
      <c r="N265" s="65"/>
      <c r="O265" s="65"/>
      <c r="P265" s="65"/>
      <c r="Q265" s="65"/>
    </row>
    <row r="266">
      <c r="A266" s="63"/>
      <c r="B266" s="63"/>
      <c r="C266" s="27"/>
      <c r="D266" s="63"/>
      <c r="E266" s="63"/>
      <c r="F266" s="63"/>
      <c r="G266" s="27"/>
      <c r="H266" s="65"/>
      <c r="I266" s="65"/>
      <c r="J266" s="65"/>
      <c r="K266" s="65"/>
      <c r="L266" s="65"/>
      <c r="M266" s="65"/>
      <c r="N266" s="65"/>
      <c r="O266" s="65"/>
      <c r="P266" s="65"/>
      <c r="Q266" s="65"/>
    </row>
    <row r="267">
      <c r="A267" s="63"/>
      <c r="B267" s="63"/>
      <c r="C267" s="27"/>
      <c r="D267" s="63"/>
      <c r="E267" s="63"/>
      <c r="F267" s="63"/>
      <c r="G267" s="27"/>
      <c r="H267" s="65"/>
      <c r="I267" s="65"/>
      <c r="J267" s="65"/>
      <c r="K267" s="65"/>
      <c r="L267" s="65"/>
      <c r="M267" s="65"/>
      <c r="N267" s="65"/>
      <c r="O267" s="65"/>
      <c r="P267" s="65"/>
      <c r="Q267" s="65"/>
    </row>
    <row r="268">
      <c r="A268" s="63"/>
      <c r="B268" s="63"/>
      <c r="C268" s="27"/>
      <c r="D268" s="63"/>
      <c r="E268" s="63"/>
      <c r="F268" s="63"/>
      <c r="G268" s="27"/>
      <c r="H268" s="65"/>
      <c r="I268" s="65"/>
      <c r="J268" s="65"/>
      <c r="K268" s="65"/>
      <c r="L268" s="65"/>
      <c r="M268" s="65"/>
      <c r="N268" s="65"/>
      <c r="O268" s="65"/>
      <c r="P268" s="65"/>
      <c r="Q268" s="65"/>
    </row>
    <row r="269">
      <c r="A269" s="63"/>
      <c r="B269" s="63"/>
      <c r="C269" s="27"/>
      <c r="D269" s="63"/>
      <c r="E269" s="63"/>
      <c r="F269" s="63"/>
      <c r="G269" s="27"/>
      <c r="H269" s="65"/>
      <c r="I269" s="65"/>
      <c r="J269" s="65"/>
      <c r="K269" s="65"/>
      <c r="L269" s="65"/>
      <c r="M269" s="65"/>
      <c r="N269" s="65"/>
      <c r="O269" s="65"/>
      <c r="P269" s="65"/>
      <c r="Q269" s="65"/>
    </row>
    <row r="270">
      <c r="A270" s="63"/>
      <c r="B270" s="63"/>
      <c r="C270" s="27"/>
      <c r="D270" s="63"/>
      <c r="E270" s="63"/>
      <c r="F270" s="63"/>
      <c r="G270" s="27"/>
      <c r="H270" s="65"/>
      <c r="I270" s="65"/>
      <c r="J270" s="65"/>
      <c r="K270" s="65"/>
      <c r="L270" s="65"/>
      <c r="M270" s="65"/>
      <c r="N270" s="65"/>
      <c r="O270" s="65"/>
      <c r="P270" s="65"/>
      <c r="Q270" s="65"/>
    </row>
    <row r="271">
      <c r="A271" s="63"/>
      <c r="B271" s="63"/>
      <c r="C271" s="27"/>
      <c r="D271" s="63"/>
      <c r="E271" s="63"/>
      <c r="F271" s="63"/>
      <c r="G271" s="27"/>
      <c r="H271" s="65"/>
      <c r="I271" s="65"/>
      <c r="J271" s="65"/>
      <c r="K271" s="65"/>
      <c r="L271" s="65"/>
      <c r="M271" s="65"/>
      <c r="N271" s="65"/>
      <c r="O271" s="65"/>
      <c r="P271" s="65"/>
      <c r="Q271" s="65"/>
    </row>
    <row r="272">
      <c r="A272" s="63"/>
      <c r="B272" s="63"/>
      <c r="C272" s="27"/>
      <c r="D272" s="63"/>
      <c r="E272" s="63"/>
      <c r="F272" s="63"/>
      <c r="G272" s="27"/>
      <c r="H272" s="65"/>
      <c r="I272" s="65"/>
      <c r="J272" s="65"/>
      <c r="K272" s="65"/>
      <c r="L272" s="65"/>
      <c r="M272" s="65"/>
      <c r="N272" s="65"/>
      <c r="O272" s="65"/>
      <c r="P272" s="65"/>
      <c r="Q272" s="65"/>
    </row>
    <row r="273">
      <c r="A273" s="63"/>
      <c r="B273" s="63"/>
      <c r="C273" s="27"/>
      <c r="D273" s="63"/>
      <c r="E273" s="63"/>
      <c r="F273" s="63"/>
      <c r="G273" s="27"/>
      <c r="H273" s="65"/>
      <c r="I273" s="65"/>
      <c r="J273" s="65"/>
      <c r="K273" s="65"/>
      <c r="L273" s="65"/>
      <c r="M273" s="65"/>
      <c r="N273" s="65"/>
      <c r="O273" s="65"/>
      <c r="P273" s="65"/>
      <c r="Q273" s="65"/>
    </row>
    <row r="274">
      <c r="A274" s="63"/>
      <c r="B274" s="63"/>
      <c r="C274" s="27"/>
      <c r="D274" s="63"/>
      <c r="E274" s="63"/>
      <c r="F274" s="63"/>
      <c r="G274" s="27"/>
      <c r="H274" s="65"/>
      <c r="I274" s="65"/>
      <c r="J274" s="65"/>
      <c r="K274" s="65"/>
      <c r="L274" s="65"/>
      <c r="M274" s="65"/>
      <c r="N274" s="65"/>
      <c r="O274" s="65"/>
      <c r="P274" s="65"/>
      <c r="Q274" s="65"/>
    </row>
    <row r="275">
      <c r="A275" s="63"/>
      <c r="B275" s="63"/>
      <c r="C275" s="27"/>
      <c r="D275" s="63"/>
      <c r="E275" s="63"/>
      <c r="F275" s="63"/>
      <c r="G275" s="27"/>
      <c r="H275" s="65"/>
      <c r="I275" s="65"/>
      <c r="J275" s="65"/>
      <c r="K275" s="65"/>
      <c r="L275" s="65"/>
      <c r="M275" s="65"/>
      <c r="N275" s="65"/>
      <c r="O275" s="65"/>
      <c r="P275" s="65"/>
      <c r="Q275" s="65"/>
    </row>
    <row r="276">
      <c r="A276" s="63"/>
      <c r="B276" s="63"/>
      <c r="C276" s="27"/>
      <c r="D276" s="63"/>
      <c r="E276" s="63"/>
      <c r="F276" s="63"/>
      <c r="G276" s="27"/>
      <c r="H276" s="65"/>
      <c r="I276" s="65"/>
      <c r="J276" s="65"/>
      <c r="K276" s="65"/>
      <c r="L276" s="65"/>
      <c r="M276" s="65"/>
      <c r="N276" s="65"/>
      <c r="O276" s="65"/>
      <c r="P276" s="65"/>
      <c r="Q276" s="65"/>
    </row>
    <row r="277">
      <c r="A277" s="63"/>
      <c r="B277" s="63"/>
      <c r="C277" s="27"/>
      <c r="D277" s="63"/>
      <c r="E277" s="63"/>
      <c r="F277" s="63"/>
      <c r="G277" s="27"/>
      <c r="H277" s="65"/>
      <c r="I277" s="65"/>
      <c r="J277" s="65"/>
      <c r="K277" s="65"/>
      <c r="L277" s="65"/>
      <c r="M277" s="65"/>
      <c r="N277" s="65"/>
      <c r="O277" s="65"/>
      <c r="P277" s="65"/>
      <c r="Q277" s="65"/>
    </row>
    <row r="278">
      <c r="A278" s="63"/>
      <c r="B278" s="63"/>
      <c r="C278" s="27"/>
      <c r="D278" s="63"/>
      <c r="E278" s="63"/>
      <c r="F278" s="63"/>
      <c r="G278" s="27"/>
      <c r="H278" s="65"/>
      <c r="I278" s="65"/>
      <c r="J278" s="65"/>
      <c r="K278" s="65"/>
      <c r="L278" s="65"/>
      <c r="M278" s="65"/>
      <c r="N278" s="65"/>
      <c r="O278" s="65"/>
      <c r="P278" s="65"/>
      <c r="Q278" s="65"/>
    </row>
    <row r="279">
      <c r="A279" s="63"/>
      <c r="B279" s="63"/>
      <c r="C279" s="27"/>
      <c r="D279" s="63"/>
      <c r="E279" s="63"/>
      <c r="F279" s="63"/>
      <c r="G279" s="27"/>
      <c r="H279" s="65"/>
      <c r="I279" s="65"/>
      <c r="J279" s="65"/>
      <c r="K279" s="65"/>
      <c r="L279" s="65"/>
      <c r="M279" s="65"/>
      <c r="N279" s="65"/>
      <c r="O279" s="65"/>
      <c r="P279" s="65"/>
      <c r="Q279" s="65"/>
    </row>
    <row r="280">
      <c r="A280" s="63"/>
      <c r="B280" s="63"/>
      <c r="C280" s="27"/>
      <c r="D280" s="63"/>
      <c r="E280" s="63"/>
      <c r="F280" s="63"/>
      <c r="G280" s="27"/>
      <c r="H280" s="65"/>
      <c r="I280" s="65"/>
      <c r="J280" s="65"/>
      <c r="K280" s="65"/>
      <c r="L280" s="65"/>
      <c r="M280" s="65"/>
      <c r="N280" s="65"/>
      <c r="O280" s="65"/>
      <c r="P280" s="65"/>
      <c r="Q280" s="65"/>
    </row>
    <row r="281">
      <c r="A281" s="63"/>
      <c r="B281" s="63"/>
      <c r="C281" s="27"/>
      <c r="D281" s="63"/>
      <c r="E281" s="63"/>
      <c r="F281" s="63"/>
      <c r="G281" s="27"/>
      <c r="H281" s="65"/>
      <c r="I281" s="65"/>
      <c r="J281" s="65"/>
      <c r="K281" s="65"/>
      <c r="L281" s="65"/>
      <c r="M281" s="65"/>
      <c r="N281" s="65"/>
      <c r="O281" s="65"/>
      <c r="P281" s="65"/>
      <c r="Q281" s="65"/>
    </row>
    <row r="282">
      <c r="A282" s="63"/>
      <c r="B282" s="63"/>
      <c r="C282" s="27"/>
      <c r="D282" s="63"/>
      <c r="E282" s="63"/>
      <c r="F282" s="63"/>
      <c r="G282" s="27"/>
      <c r="H282" s="65"/>
      <c r="I282" s="65"/>
      <c r="J282" s="65"/>
      <c r="K282" s="65"/>
      <c r="L282" s="65"/>
      <c r="M282" s="65"/>
      <c r="N282" s="65"/>
      <c r="O282" s="65"/>
      <c r="P282" s="65"/>
      <c r="Q282" s="65"/>
    </row>
    <row r="283">
      <c r="A283" s="63"/>
      <c r="B283" s="63"/>
      <c r="C283" s="27"/>
      <c r="D283" s="63"/>
      <c r="E283" s="63"/>
      <c r="F283" s="63"/>
      <c r="G283" s="27"/>
      <c r="H283" s="65"/>
      <c r="I283" s="65"/>
      <c r="J283" s="65"/>
      <c r="K283" s="65"/>
      <c r="L283" s="65"/>
      <c r="M283" s="65"/>
      <c r="N283" s="65"/>
      <c r="O283" s="65"/>
      <c r="P283" s="65"/>
      <c r="Q283" s="65"/>
    </row>
    <row r="284">
      <c r="A284" s="63"/>
      <c r="B284" s="63"/>
      <c r="C284" s="27"/>
      <c r="D284" s="63"/>
      <c r="E284" s="63"/>
      <c r="F284" s="63"/>
      <c r="G284" s="27"/>
      <c r="H284" s="65"/>
      <c r="I284" s="65"/>
      <c r="J284" s="65"/>
      <c r="K284" s="65"/>
      <c r="L284" s="65"/>
      <c r="M284" s="65"/>
      <c r="N284" s="65"/>
      <c r="O284" s="65"/>
      <c r="P284" s="65"/>
      <c r="Q284" s="65"/>
    </row>
    <row r="285">
      <c r="A285" s="63"/>
      <c r="B285" s="63"/>
      <c r="C285" s="27"/>
      <c r="D285" s="63"/>
      <c r="E285" s="63"/>
      <c r="F285" s="63"/>
      <c r="G285" s="27"/>
      <c r="H285" s="65"/>
      <c r="I285" s="65"/>
      <c r="J285" s="65"/>
      <c r="K285" s="65"/>
      <c r="L285" s="65"/>
      <c r="M285" s="65"/>
      <c r="N285" s="65"/>
      <c r="O285" s="65"/>
      <c r="P285" s="65"/>
      <c r="Q285" s="65"/>
    </row>
    <row r="286">
      <c r="A286" s="63"/>
      <c r="B286" s="63"/>
      <c r="C286" s="27"/>
      <c r="D286" s="63"/>
      <c r="E286" s="63"/>
      <c r="F286" s="63"/>
      <c r="G286" s="27"/>
      <c r="H286" s="65"/>
      <c r="I286" s="65"/>
      <c r="J286" s="65"/>
      <c r="K286" s="65"/>
      <c r="L286" s="65"/>
      <c r="M286" s="65"/>
      <c r="N286" s="65"/>
      <c r="O286" s="65"/>
      <c r="P286" s="65"/>
      <c r="Q286" s="65"/>
    </row>
    <row r="287">
      <c r="A287" s="63"/>
      <c r="B287" s="63"/>
      <c r="C287" s="27"/>
      <c r="D287" s="63"/>
      <c r="E287" s="63"/>
      <c r="F287" s="63"/>
      <c r="G287" s="27"/>
      <c r="H287" s="65"/>
      <c r="I287" s="65"/>
      <c r="J287" s="65"/>
      <c r="K287" s="65"/>
      <c r="L287" s="65"/>
      <c r="M287" s="65"/>
      <c r="N287" s="65"/>
      <c r="O287" s="65"/>
      <c r="P287" s="65"/>
      <c r="Q287" s="65"/>
    </row>
    <row r="288">
      <c r="A288" s="63"/>
      <c r="B288" s="63"/>
      <c r="C288" s="27"/>
      <c r="D288" s="63"/>
      <c r="E288" s="63"/>
      <c r="F288" s="63"/>
      <c r="G288" s="27"/>
      <c r="H288" s="65"/>
      <c r="I288" s="65"/>
      <c r="J288" s="65"/>
      <c r="K288" s="65"/>
      <c r="L288" s="65"/>
      <c r="M288" s="65"/>
      <c r="N288" s="65"/>
      <c r="O288" s="65"/>
      <c r="P288" s="65"/>
      <c r="Q288" s="65"/>
    </row>
    <row r="289">
      <c r="A289" s="63"/>
      <c r="B289" s="63"/>
      <c r="C289" s="27"/>
      <c r="D289" s="63"/>
      <c r="E289" s="63"/>
      <c r="F289" s="63"/>
      <c r="G289" s="27"/>
      <c r="H289" s="65"/>
      <c r="I289" s="65"/>
      <c r="J289" s="65"/>
      <c r="K289" s="65"/>
      <c r="L289" s="65"/>
      <c r="M289" s="65"/>
      <c r="N289" s="65"/>
      <c r="O289" s="65"/>
      <c r="P289" s="65"/>
      <c r="Q289" s="65"/>
    </row>
    <row r="290">
      <c r="A290" s="63"/>
      <c r="B290" s="63"/>
      <c r="C290" s="27"/>
      <c r="D290" s="63"/>
      <c r="E290" s="63"/>
      <c r="F290" s="63"/>
      <c r="G290" s="27"/>
      <c r="H290" s="65"/>
      <c r="I290" s="65"/>
      <c r="J290" s="65"/>
      <c r="K290" s="65"/>
      <c r="L290" s="65"/>
      <c r="M290" s="65"/>
      <c r="N290" s="65"/>
      <c r="O290" s="65"/>
      <c r="P290" s="65"/>
      <c r="Q290" s="65"/>
    </row>
    <row r="291">
      <c r="A291" s="63"/>
      <c r="B291" s="63"/>
      <c r="C291" s="27"/>
      <c r="D291" s="63"/>
      <c r="E291" s="63"/>
      <c r="F291" s="63"/>
      <c r="G291" s="27"/>
      <c r="H291" s="65"/>
      <c r="I291" s="65"/>
      <c r="J291" s="65"/>
      <c r="K291" s="65"/>
      <c r="L291" s="65"/>
      <c r="M291" s="65"/>
      <c r="N291" s="65"/>
      <c r="O291" s="65"/>
      <c r="P291" s="65"/>
      <c r="Q291" s="65"/>
    </row>
    <row r="292">
      <c r="A292" s="63"/>
      <c r="B292" s="63"/>
      <c r="C292" s="27"/>
      <c r="D292" s="63"/>
      <c r="E292" s="63"/>
      <c r="F292" s="63"/>
      <c r="G292" s="27"/>
      <c r="H292" s="65"/>
      <c r="I292" s="65"/>
      <c r="J292" s="65"/>
      <c r="K292" s="65"/>
      <c r="L292" s="65"/>
      <c r="M292" s="65"/>
      <c r="N292" s="65"/>
      <c r="O292" s="65"/>
      <c r="P292" s="65"/>
      <c r="Q292" s="65"/>
    </row>
    <row r="293">
      <c r="A293" s="63"/>
      <c r="B293" s="63"/>
      <c r="C293" s="27"/>
      <c r="D293" s="63"/>
      <c r="E293" s="63"/>
      <c r="F293" s="63"/>
      <c r="G293" s="27"/>
      <c r="H293" s="65"/>
      <c r="I293" s="65"/>
      <c r="J293" s="65"/>
      <c r="K293" s="65"/>
      <c r="L293" s="65"/>
      <c r="M293" s="65"/>
      <c r="N293" s="65"/>
      <c r="O293" s="65"/>
      <c r="P293" s="65"/>
      <c r="Q293" s="65"/>
    </row>
    <row r="294">
      <c r="A294" s="63"/>
      <c r="B294" s="63"/>
      <c r="C294" s="27"/>
      <c r="D294" s="63"/>
      <c r="E294" s="63"/>
      <c r="F294" s="63"/>
      <c r="G294" s="27"/>
      <c r="H294" s="65"/>
      <c r="I294" s="65"/>
      <c r="J294" s="65"/>
      <c r="K294" s="65"/>
      <c r="L294" s="65"/>
      <c r="M294" s="65"/>
      <c r="N294" s="65"/>
      <c r="O294" s="65"/>
      <c r="P294" s="65"/>
      <c r="Q294" s="65"/>
    </row>
    <row r="295">
      <c r="A295" s="63"/>
      <c r="B295" s="63"/>
      <c r="C295" s="27"/>
      <c r="D295" s="63"/>
      <c r="E295" s="63"/>
      <c r="F295" s="63"/>
      <c r="G295" s="27"/>
      <c r="H295" s="65"/>
      <c r="I295" s="65"/>
      <c r="J295" s="65"/>
      <c r="K295" s="65"/>
      <c r="L295" s="65"/>
      <c r="M295" s="65"/>
      <c r="N295" s="65"/>
      <c r="O295" s="65"/>
      <c r="P295" s="65"/>
      <c r="Q295" s="65"/>
    </row>
    <row r="296">
      <c r="A296" s="63"/>
      <c r="B296" s="63"/>
      <c r="C296" s="27"/>
      <c r="D296" s="63"/>
      <c r="E296" s="63"/>
      <c r="F296" s="63"/>
      <c r="G296" s="27"/>
      <c r="H296" s="65"/>
      <c r="I296" s="65"/>
      <c r="J296" s="65"/>
      <c r="K296" s="65"/>
      <c r="L296" s="65"/>
      <c r="M296" s="65"/>
      <c r="N296" s="65"/>
      <c r="O296" s="65"/>
      <c r="P296" s="65"/>
      <c r="Q296" s="65"/>
    </row>
    <row r="297">
      <c r="A297" s="63"/>
      <c r="B297" s="63"/>
      <c r="C297" s="27"/>
      <c r="D297" s="63"/>
      <c r="E297" s="63"/>
      <c r="F297" s="63"/>
      <c r="G297" s="27"/>
      <c r="H297" s="65"/>
      <c r="I297" s="65"/>
      <c r="J297" s="65"/>
      <c r="K297" s="65"/>
      <c r="L297" s="65"/>
      <c r="M297" s="65"/>
      <c r="N297" s="65"/>
      <c r="O297" s="65"/>
      <c r="P297" s="65"/>
      <c r="Q297" s="65"/>
    </row>
    <row r="298">
      <c r="A298" s="63"/>
      <c r="B298" s="63"/>
      <c r="C298" s="27"/>
      <c r="D298" s="63"/>
      <c r="E298" s="63"/>
      <c r="F298" s="63"/>
      <c r="G298" s="27"/>
      <c r="H298" s="65"/>
      <c r="I298" s="65"/>
      <c r="J298" s="65"/>
      <c r="K298" s="65"/>
      <c r="L298" s="65"/>
      <c r="M298" s="65"/>
      <c r="N298" s="65"/>
      <c r="O298" s="65"/>
      <c r="P298" s="65"/>
      <c r="Q298" s="65"/>
    </row>
    <row r="299">
      <c r="A299" s="63"/>
      <c r="B299" s="63"/>
      <c r="C299" s="27"/>
      <c r="D299" s="63"/>
      <c r="E299" s="63"/>
      <c r="F299" s="63"/>
      <c r="G299" s="27"/>
      <c r="H299" s="65"/>
      <c r="I299" s="65"/>
      <c r="J299" s="65"/>
      <c r="K299" s="65"/>
      <c r="L299" s="65"/>
      <c r="M299" s="65"/>
      <c r="N299" s="65"/>
      <c r="O299" s="65"/>
      <c r="P299" s="65"/>
      <c r="Q299" s="65"/>
    </row>
    <row r="300">
      <c r="A300" s="63"/>
      <c r="B300" s="63"/>
      <c r="C300" s="27"/>
      <c r="D300" s="63"/>
      <c r="E300" s="63"/>
      <c r="F300" s="63"/>
      <c r="G300" s="27"/>
      <c r="H300" s="65"/>
      <c r="I300" s="65"/>
      <c r="J300" s="65"/>
      <c r="K300" s="65"/>
      <c r="L300" s="65"/>
      <c r="M300" s="65"/>
      <c r="N300" s="65"/>
      <c r="O300" s="65"/>
      <c r="P300" s="65"/>
      <c r="Q300" s="65"/>
    </row>
    <row r="301">
      <c r="A301" s="63"/>
      <c r="B301" s="63"/>
      <c r="C301" s="27"/>
      <c r="D301" s="63"/>
      <c r="E301" s="63"/>
      <c r="F301" s="63"/>
      <c r="G301" s="27"/>
      <c r="H301" s="65"/>
      <c r="I301" s="65"/>
      <c r="J301" s="65"/>
      <c r="K301" s="65"/>
      <c r="L301" s="65"/>
      <c r="M301" s="65"/>
      <c r="N301" s="65"/>
      <c r="O301" s="65"/>
      <c r="P301" s="65"/>
      <c r="Q301" s="65"/>
    </row>
    <row r="302">
      <c r="A302" s="63"/>
      <c r="B302" s="63"/>
      <c r="C302" s="27"/>
      <c r="D302" s="63"/>
      <c r="E302" s="63"/>
      <c r="F302" s="63"/>
      <c r="G302" s="27"/>
      <c r="H302" s="65"/>
      <c r="I302" s="65"/>
      <c r="J302" s="65"/>
      <c r="K302" s="65"/>
      <c r="L302" s="65"/>
      <c r="M302" s="65"/>
      <c r="N302" s="65"/>
      <c r="O302" s="65"/>
      <c r="P302" s="65"/>
      <c r="Q302" s="65"/>
    </row>
    <row r="303">
      <c r="A303" s="63"/>
      <c r="B303" s="63"/>
      <c r="C303" s="27"/>
      <c r="D303" s="63"/>
      <c r="E303" s="63"/>
      <c r="F303" s="63"/>
      <c r="G303" s="27"/>
      <c r="H303" s="65"/>
      <c r="I303" s="65"/>
      <c r="J303" s="65"/>
      <c r="K303" s="65"/>
      <c r="L303" s="65"/>
      <c r="M303" s="65"/>
      <c r="N303" s="65"/>
      <c r="O303" s="65"/>
      <c r="P303" s="65"/>
      <c r="Q303" s="65"/>
    </row>
    <row r="304">
      <c r="A304" s="63"/>
      <c r="B304" s="63"/>
      <c r="C304" s="27"/>
      <c r="D304" s="63"/>
      <c r="E304" s="63"/>
      <c r="F304" s="63"/>
      <c r="G304" s="27"/>
      <c r="H304" s="65"/>
      <c r="I304" s="65"/>
      <c r="J304" s="65"/>
      <c r="K304" s="65"/>
      <c r="L304" s="65"/>
      <c r="M304" s="65"/>
      <c r="N304" s="65"/>
      <c r="O304" s="65"/>
      <c r="P304" s="65"/>
      <c r="Q304" s="65"/>
    </row>
    <row r="305">
      <c r="A305" s="63"/>
      <c r="B305" s="63"/>
      <c r="C305" s="27"/>
      <c r="D305" s="63"/>
      <c r="E305" s="63"/>
      <c r="F305" s="63"/>
      <c r="G305" s="27"/>
      <c r="H305" s="65"/>
      <c r="I305" s="65"/>
      <c r="J305" s="65"/>
      <c r="K305" s="65"/>
      <c r="L305" s="65"/>
      <c r="M305" s="65"/>
      <c r="N305" s="65"/>
      <c r="O305" s="65"/>
      <c r="P305" s="65"/>
      <c r="Q305" s="65"/>
    </row>
    <row r="306">
      <c r="A306" s="63"/>
      <c r="B306" s="63"/>
      <c r="C306" s="27"/>
      <c r="D306" s="63"/>
      <c r="E306" s="63"/>
      <c r="F306" s="63"/>
      <c r="G306" s="27"/>
      <c r="H306" s="65"/>
      <c r="I306" s="65"/>
      <c r="J306" s="65"/>
      <c r="K306" s="65"/>
      <c r="L306" s="65"/>
      <c r="M306" s="65"/>
      <c r="N306" s="65"/>
      <c r="O306" s="65"/>
      <c r="P306" s="65"/>
      <c r="Q306" s="65"/>
    </row>
    <row r="307">
      <c r="A307" s="63"/>
      <c r="B307" s="63"/>
      <c r="C307" s="27"/>
      <c r="D307" s="63"/>
      <c r="E307" s="63"/>
      <c r="F307" s="63"/>
      <c r="G307" s="27"/>
      <c r="H307" s="65"/>
      <c r="I307" s="65"/>
      <c r="J307" s="65"/>
      <c r="K307" s="65"/>
      <c r="L307" s="65"/>
      <c r="M307" s="65"/>
      <c r="N307" s="65"/>
      <c r="O307" s="65"/>
      <c r="P307" s="65"/>
      <c r="Q307" s="65"/>
    </row>
    <row r="308">
      <c r="A308" s="63"/>
      <c r="B308" s="63"/>
      <c r="C308" s="27"/>
      <c r="D308" s="63"/>
      <c r="E308" s="63"/>
      <c r="F308" s="63"/>
      <c r="G308" s="27"/>
      <c r="H308" s="65"/>
      <c r="I308" s="65"/>
      <c r="J308" s="65"/>
      <c r="K308" s="65"/>
      <c r="L308" s="65"/>
      <c r="M308" s="65"/>
      <c r="N308" s="65"/>
      <c r="O308" s="65"/>
      <c r="P308" s="65"/>
      <c r="Q308" s="65"/>
    </row>
    <row r="309">
      <c r="A309" s="63"/>
      <c r="B309" s="63"/>
      <c r="C309" s="27"/>
      <c r="D309" s="63"/>
      <c r="E309" s="63"/>
      <c r="F309" s="63"/>
      <c r="G309" s="27"/>
      <c r="H309" s="65"/>
      <c r="I309" s="65"/>
      <c r="J309" s="65"/>
      <c r="K309" s="65"/>
      <c r="L309" s="65"/>
      <c r="M309" s="65"/>
      <c r="N309" s="65"/>
      <c r="O309" s="65"/>
      <c r="P309" s="65"/>
      <c r="Q309" s="65"/>
    </row>
    <row r="310">
      <c r="A310" s="63"/>
      <c r="B310" s="63"/>
      <c r="C310" s="27"/>
      <c r="D310" s="63"/>
      <c r="E310" s="63"/>
      <c r="F310" s="63"/>
      <c r="G310" s="27"/>
      <c r="H310" s="65"/>
      <c r="I310" s="65"/>
      <c r="J310" s="65"/>
      <c r="K310" s="65"/>
      <c r="L310" s="65"/>
      <c r="M310" s="65"/>
      <c r="N310" s="65"/>
      <c r="O310" s="65"/>
      <c r="P310" s="65"/>
      <c r="Q310" s="65"/>
    </row>
    <row r="311">
      <c r="A311" s="63"/>
      <c r="B311" s="63"/>
      <c r="C311" s="27"/>
      <c r="D311" s="63"/>
      <c r="E311" s="63"/>
      <c r="F311" s="63"/>
      <c r="G311" s="27"/>
      <c r="H311" s="65"/>
      <c r="I311" s="65"/>
      <c r="J311" s="65"/>
      <c r="K311" s="65"/>
      <c r="L311" s="65"/>
      <c r="M311" s="65"/>
      <c r="N311" s="65"/>
      <c r="O311" s="65"/>
      <c r="P311" s="65"/>
      <c r="Q311" s="65"/>
    </row>
    <row r="312">
      <c r="A312" s="63"/>
      <c r="B312" s="63"/>
      <c r="C312" s="27"/>
      <c r="D312" s="63"/>
      <c r="E312" s="63"/>
      <c r="F312" s="63"/>
      <c r="G312" s="27"/>
      <c r="H312" s="65"/>
      <c r="I312" s="65"/>
      <c r="J312" s="65"/>
      <c r="K312" s="65"/>
      <c r="L312" s="65"/>
      <c r="M312" s="65"/>
      <c r="N312" s="65"/>
      <c r="O312" s="65"/>
      <c r="P312" s="65"/>
      <c r="Q312" s="65"/>
    </row>
    <row r="313">
      <c r="A313" s="63"/>
      <c r="B313" s="63"/>
      <c r="C313" s="27"/>
      <c r="D313" s="63"/>
      <c r="E313" s="63"/>
      <c r="F313" s="63"/>
      <c r="G313" s="27"/>
      <c r="H313" s="65"/>
      <c r="I313" s="65"/>
      <c r="J313" s="65"/>
      <c r="K313" s="65"/>
      <c r="L313" s="65"/>
      <c r="M313" s="65"/>
      <c r="N313" s="65"/>
      <c r="O313" s="65"/>
      <c r="P313" s="65"/>
      <c r="Q313" s="65"/>
    </row>
    <row r="314">
      <c r="A314" s="63"/>
      <c r="B314" s="63"/>
      <c r="C314" s="27"/>
      <c r="D314" s="63"/>
      <c r="E314" s="63"/>
      <c r="F314" s="63"/>
      <c r="G314" s="27"/>
      <c r="H314" s="65"/>
      <c r="I314" s="65"/>
      <c r="J314" s="65"/>
      <c r="K314" s="65"/>
      <c r="L314" s="65"/>
      <c r="M314" s="65"/>
      <c r="N314" s="65"/>
      <c r="O314" s="65"/>
      <c r="P314" s="65"/>
      <c r="Q314" s="65"/>
    </row>
    <row r="315">
      <c r="A315" s="63"/>
      <c r="B315" s="63"/>
      <c r="C315" s="27"/>
      <c r="D315" s="63"/>
      <c r="E315" s="63"/>
      <c r="F315" s="63"/>
      <c r="G315" s="27"/>
      <c r="H315" s="65"/>
      <c r="I315" s="65"/>
      <c r="J315" s="65"/>
      <c r="K315" s="65"/>
      <c r="L315" s="65"/>
      <c r="M315" s="65"/>
      <c r="N315" s="65"/>
      <c r="O315" s="65"/>
      <c r="P315" s="65"/>
      <c r="Q315" s="65"/>
    </row>
    <row r="316">
      <c r="A316" s="63"/>
      <c r="B316" s="63"/>
      <c r="C316" s="27"/>
      <c r="D316" s="63"/>
      <c r="E316" s="63"/>
      <c r="F316" s="63"/>
      <c r="G316" s="27"/>
      <c r="H316" s="65"/>
      <c r="I316" s="65"/>
      <c r="J316" s="65"/>
      <c r="K316" s="65"/>
      <c r="L316" s="65"/>
      <c r="M316" s="65"/>
      <c r="N316" s="65"/>
      <c r="O316" s="65"/>
      <c r="P316" s="65"/>
      <c r="Q316" s="65"/>
    </row>
    <row r="317">
      <c r="A317" s="63"/>
      <c r="B317" s="63"/>
      <c r="C317" s="27"/>
      <c r="D317" s="63"/>
      <c r="E317" s="63"/>
      <c r="F317" s="63"/>
      <c r="G317" s="27"/>
      <c r="H317" s="65"/>
      <c r="I317" s="65"/>
      <c r="J317" s="65"/>
      <c r="K317" s="65"/>
      <c r="L317" s="65"/>
      <c r="M317" s="65"/>
      <c r="N317" s="65"/>
      <c r="O317" s="65"/>
      <c r="P317" s="65"/>
      <c r="Q317" s="65"/>
    </row>
    <row r="318">
      <c r="A318" s="63"/>
      <c r="B318" s="63"/>
      <c r="C318" s="27"/>
      <c r="D318" s="63"/>
      <c r="E318" s="63"/>
      <c r="F318" s="63"/>
      <c r="G318" s="27"/>
      <c r="H318" s="65"/>
      <c r="I318" s="65"/>
      <c r="J318" s="65"/>
      <c r="K318" s="65"/>
      <c r="L318" s="65"/>
      <c r="M318" s="65"/>
      <c r="N318" s="65"/>
      <c r="O318" s="65"/>
      <c r="P318" s="65"/>
      <c r="Q318" s="65"/>
    </row>
    <row r="319">
      <c r="A319" s="63"/>
      <c r="B319" s="63"/>
      <c r="C319" s="27"/>
      <c r="D319" s="63"/>
      <c r="E319" s="63"/>
      <c r="F319" s="63"/>
      <c r="G319" s="27"/>
      <c r="H319" s="65"/>
      <c r="I319" s="65"/>
      <c r="J319" s="65"/>
      <c r="K319" s="65"/>
      <c r="L319" s="65"/>
      <c r="M319" s="65"/>
      <c r="N319" s="65"/>
      <c r="O319" s="65"/>
      <c r="P319" s="65"/>
      <c r="Q319" s="65"/>
    </row>
    <row r="320">
      <c r="A320" s="63"/>
      <c r="B320" s="63"/>
      <c r="C320" s="27"/>
      <c r="D320" s="63"/>
      <c r="E320" s="63"/>
      <c r="F320" s="63"/>
      <c r="G320" s="27"/>
      <c r="H320" s="65"/>
      <c r="I320" s="65"/>
      <c r="J320" s="65"/>
      <c r="K320" s="65"/>
      <c r="L320" s="65"/>
      <c r="M320" s="65"/>
      <c r="N320" s="65"/>
      <c r="O320" s="65"/>
      <c r="P320" s="65"/>
      <c r="Q320" s="65"/>
    </row>
    <row r="321">
      <c r="A321" s="63"/>
      <c r="B321" s="63"/>
      <c r="C321" s="27"/>
      <c r="D321" s="63"/>
      <c r="E321" s="63"/>
      <c r="F321" s="63"/>
      <c r="G321" s="27"/>
      <c r="H321" s="65"/>
      <c r="I321" s="65"/>
      <c r="J321" s="65"/>
      <c r="K321" s="65"/>
      <c r="L321" s="65"/>
      <c r="M321" s="65"/>
      <c r="N321" s="65"/>
      <c r="O321" s="65"/>
      <c r="P321" s="65"/>
      <c r="Q321" s="65"/>
    </row>
    <row r="322">
      <c r="A322" s="63"/>
      <c r="B322" s="63"/>
      <c r="C322" s="27"/>
      <c r="D322" s="63"/>
      <c r="E322" s="63"/>
      <c r="F322" s="63"/>
      <c r="G322" s="27"/>
      <c r="H322" s="65"/>
      <c r="I322" s="65"/>
      <c r="J322" s="65"/>
      <c r="K322" s="65"/>
      <c r="L322" s="65"/>
      <c r="M322" s="65"/>
      <c r="N322" s="65"/>
      <c r="O322" s="65"/>
      <c r="P322" s="65"/>
      <c r="Q322" s="65"/>
    </row>
    <row r="323">
      <c r="A323" s="63"/>
      <c r="B323" s="63"/>
      <c r="C323" s="27"/>
      <c r="D323" s="63"/>
      <c r="E323" s="63"/>
      <c r="F323" s="63"/>
      <c r="G323" s="27"/>
      <c r="H323" s="65"/>
      <c r="I323" s="65"/>
      <c r="J323" s="65"/>
      <c r="K323" s="65"/>
      <c r="L323" s="65"/>
      <c r="M323" s="65"/>
      <c r="N323" s="65"/>
      <c r="O323" s="65"/>
      <c r="P323" s="65"/>
      <c r="Q323" s="65"/>
    </row>
    <row r="324">
      <c r="A324" s="63"/>
      <c r="B324" s="63"/>
      <c r="C324" s="27"/>
      <c r="D324" s="63"/>
      <c r="E324" s="63"/>
      <c r="F324" s="63"/>
      <c r="G324" s="27"/>
      <c r="H324" s="65"/>
      <c r="I324" s="65"/>
      <c r="J324" s="65"/>
      <c r="K324" s="65"/>
      <c r="L324" s="65"/>
      <c r="M324" s="65"/>
      <c r="N324" s="65"/>
      <c r="O324" s="65"/>
      <c r="P324" s="65"/>
      <c r="Q324" s="65"/>
    </row>
    <row r="325">
      <c r="A325" s="63"/>
      <c r="B325" s="63"/>
      <c r="C325" s="27"/>
      <c r="D325" s="63"/>
      <c r="E325" s="63"/>
      <c r="F325" s="63"/>
      <c r="G325" s="27"/>
      <c r="H325" s="65"/>
      <c r="I325" s="65"/>
      <c r="J325" s="65"/>
      <c r="K325" s="65"/>
      <c r="L325" s="65"/>
      <c r="M325" s="65"/>
      <c r="N325" s="65"/>
      <c r="O325" s="65"/>
      <c r="P325" s="65"/>
      <c r="Q325" s="65"/>
    </row>
    <row r="326">
      <c r="A326" s="63"/>
      <c r="B326" s="63"/>
      <c r="C326" s="27"/>
      <c r="D326" s="63"/>
      <c r="E326" s="63"/>
      <c r="F326" s="63"/>
      <c r="G326" s="27"/>
      <c r="H326" s="65"/>
      <c r="I326" s="65"/>
      <c r="J326" s="65"/>
      <c r="K326" s="65"/>
      <c r="L326" s="65"/>
      <c r="M326" s="65"/>
      <c r="N326" s="65"/>
      <c r="O326" s="65"/>
      <c r="P326" s="65"/>
      <c r="Q326" s="65"/>
    </row>
    <row r="327">
      <c r="A327" s="63"/>
      <c r="B327" s="63"/>
      <c r="C327" s="27"/>
      <c r="D327" s="63"/>
      <c r="E327" s="63"/>
      <c r="F327" s="63"/>
      <c r="G327" s="27"/>
      <c r="H327" s="65"/>
      <c r="I327" s="65"/>
      <c r="J327" s="65"/>
      <c r="K327" s="65"/>
      <c r="L327" s="65"/>
      <c r="M327" s="65"/>
      <c r="N327" s="65"/>
      <c r="O327" s="65"/>
      <c r="P327" s="65"/>
      <c r="Q327" s="65"/>
    </row>
    <row r="328">
      <c r="A328" s="63"/>
      <c r="B328" s="63"/>
      <c r="C328" s="27"/>
      <c r="D328" s="63"/>
      <c r="E328" s="63"/>
      <c r="F328" s="63"/>
      <c r="G328" s="27"/>
      <c r="H328" s="65"/>
      <c r="I328" s="65"/>
      <c r="J328" s="65"/>
      <c r="K328" s="65"/>
      <c r="L328" s="65"/>
      <c r="M328" s="65"/>
      <c r="N328" s="65"/>
      <c r="O328" s="65"/>
      <c r="P328" s="65"/>
      <c r="Q328" s="65"/>
    </row>
    <row r="329">
      <c r="A329" s="63"/>
      <c r="B329" s="63"/>
      <c r="C329" s="27"/>
      <c r="D329" s="63"/>
      <c r="E329" s="63"/>
      <c r="F329" s="63"/>
      <c r="G329" s="27"/>
      <c r="H329" s="65"/>
      <c r="I329" s="65"/>
      <c r="J329" s="65"/>
      <c r="K329" s="65"/>
      <c r="L329" s="65"/>
      <c r="M329" s="65"/>
      <c r="N329" s="65"/>
      <c r="O329" s="65"/>
      <c r="P329" s="65"/>
      <c r="Q329" s="65"/>
    </row>
    <row r="330">
      <c r="A330" s="63"/>
      <c r="B330" s="63"/>
      <c r="C330" s="27"/>
      <c r="D330" s="63"/>
      <c r="E330" s="63"/>
      <c r="F330" s="63"/>
      <c r="G330" s="27"/>
      <c r="H330" s="65"/>
      <c r="I330" s="65"/>
      <c r="J330" s="65"/>
      <c r="K330" s="65"/>
      <c r="L330" s="65"/>
      <c r="M330" s="65"/>
      <c r="N330" s="65"/>
      <c r="O330" s="65"/>
      <c r="P330" s="65"/>
      <c r="Q330" s="65"/>
    </row>
    <row r="331">
      <c r="A331" s="63"/>
      <c r="B331" s="63"/>
      <c r="C331" s="27"/>
      <c r="D331" s="63"/>
      <c r="E331" s="63"/>
      <c r="F331" s="63"/>
      <c r="G331" s="27"/>
      <c r="H331" s="65"/>
      <c r="I331" s="65"/>
      <c r="J331" s="65"/>
      <c r="K331" s="65"/>
      <c r="L331" s="65"/>
      <c r="M331" s="65"/>
      <c r="N331" s="65"/>
      <c r="O331" s="65"/>
      <c r="P331" s="65"/>
      <c r="Q331" s="65"/>
    </row>
    <row r="332">
      <c r="A332" s="63"/>
      <c r="B332" s="63"/>
      <c r="C332" s="27"/>
      <c r="D332" s="63"/>
      <c r="E332" s="63"/>
      <c r="F332" s="63"/>
      <c r="G332" s="27"/>
      <c r="H332" s="65"/>
      <c r="I332" s="65"/>
      <c r="J332" s="65"/>
      <c r="K332" s="65"/>
      <c r="L332" s="65"/>
      <c r="M332" s="65"/>
      <c r="N332" s="65"/>
      <c r="O332" s="65"/>
      <c r="P332" s="65"/>
      <c r="Q332" s="65"/>
    </row>
    <row r="333">
      <c r="A333" s="63"/>
      <c r="B333" s="63"/>
      <c r="C333" s="27"/>
      <c r="D333" s="63"/>
      <c r="E333" s="63"/>
      <c r="F333" s="63"/>
      <c r="G333" s="27"/>
      <c r="H333" s="65"/>
      <c r="I333" s="65"/>
      <c r="J333" s="65"/>
      <c r="K333" s="65"/>
      <c r="L333" s="65"/>
      <c r="M333" s="65"/>
      <c r="N333" s="65"/>
      <c r="O333" s="65"/>
      <c r="P333" s="65"/>
      <c r="Q333" s="65"/>
    </row>
    <row r="334">
      <c r="A334" s="63"/>
      <c r="B334" s="63"/>
      <c r="C334" s="27"/>
      <c r="D334" s="63"/>
      <c r="E334" s="63"/>
      <c r="F334" s="63"/>
      <c r="G334" s="27"/>
      <c r="H334" s="65"/>
      <c r="I334" s="65"/>
      <c r="J334" s="65"/>
      <c r="K334" s="65"/>
      <c r="L334" s="65"/>
      <c r="M334" s="65"/>
      <c r="N334" s="65"/>
      <c r="O334" s="65"/>
      <c r="P334" s="65"/>
      <c r="Q334" s="65"/>
    </row>
    <row r="335">
      <c r="A335" s="63"/>
      <c r="B335" s="63"/>
      <c r="C335" s="27"/>
      <c r="D335" s="63"/>
      <c r="E335" s="63"/>
      <c r="F335" s="63"/>
      <c r="G335" s="27"/>
      <c r="H335" s="65"/>
      <c r="I335" s="65"/>
      <c r="J335" s="65"/>
      <c r="K335" s="65"/>
      <c r="L335" s="65"/>
      <c r="M335" s="65"/>
      <c r="N335" s="65"/>
      <c r="O335" s="65"/>
      <c r="P335" s="65"/>
      <c r="Q335" s="65"/>
    </row>
    <row r="336">
      <c r="A336" s="63"/>
      <c r="B336" s="63"/>
      <c r="C336" s="27"/>
      <c r="D336" s="63"/>
      <c r="E336" s="63"/>
      <c r="F336" s="63"/>
      <c r="G336" s="27"/>
      <c r="H336" s="65"/>
      <c r="I336" s="65"/>
      <c r="J336" s="65"/>
      <c r="K336" s="65"/>
      <c r="L336" s="65"/>
      <c r="M336" s="65"/>
      <c r="N336" s="65"/>
      <c r="O336" s="65"/>
      <c r="P336" s="65"/>
      <c r="Q336" s="65"/>
    </row>
    <row r="337">
      <c r="A337" s="63"/>
      <c r="B337" s="63"/>
      <c r="C337" s="27"/>
      <c r="D337" s="63"/>
      <c r="E337" s="63"/>
      <c r="F337" s="63"/>
      <c r="G337" s="27"/>
      <c r="H337" s="65"/>
      <c r="I337" s="65"/>
      <c r="J337" s="65"/>
      <c r="K337" s="65"/>
      <c r="L337" s="65"/>
      <c r="M337" s="65"/>
      <c r="N337" s="65"/>
      <c r="O337" s="65"/>
      <c r="P337" s="65"/>
      <c r="Q337" s="65"/>
    </row>
    <row r="338">
      <c r="A338" s="63"/>
      <c r="B338" s="63"/>
      <c r="C338" s="27"/>
      <c r="D338" s="63"/>
      <c r="E338" s="63"/>
      <c r="F338" s="63"/>
      <c r="G338" s="27"/>
      <c r="H338" s="65"/>
      <c r="I338" s="65"/>
      <c r="J338" s="65"/>
      <c r="K338" s="65"/>
      <c r="L338" s="65"/>
      <c r="M338" s="65"/>
      <c r="N338" s="65"/>
      <c r="O338" s="65"/>
      <c r="P338" s="65"/>
      <c r="Q338" s="65"/>
    </row>
    <row r="339">
      <c r="A339" s="63"/>
      <c r="B339" s="63"/>
      <c r="C339" s="27"/>
      <c r="D339" s="63"/>
      <c r="E339" s="63"/>
      <c r="F339" s="63"/>
      <c r="G339" s="27"/>
      <c r="H339" s="65"/>
      <c r="I339" s="65"/>
      <c r="J339" s="65"/>
      <c r="K339" s="65"/>
      <c r="L339" s="65"/>
      <c r="M339" s="65"/>
      <c r="N339" s="65"/>
      <c r="O339" s="65"/>
      <c r="P339" s="65"/>
      <c r="Q339" s="65"/>
    </row>
    <row r="340">
      <c r="A340" s="63"/>
      <c r="B340" s="63"/>
      <c r="C340" s="27"/>
      <c r="D340" s="63"/>
      <c r="E340" s="63"/>
      <c r="F340" s="63"/>
      <c r="G340" s="27"/>
      <c r="H340" s="65"/>
      <c r="I340" s="65"/>
      <c r="J340" s="65"/>
      <c r="K340" s="65"/>
      <c r="L340" s="65"/>
      <c r="M340" s="65"/>
      <c r="N340" s="65"/>
      <c r="O340" s="65"/>
      <c r="P340" s="65"/>
      <c r="Q340" s="65"/>
    </row>
    <row r="341">
      <c r="A341" s="63"/>
      <c r="B341" s="63"/>
      <c r="C341" s="27"/>
      <c r="D341" s="63"/>
      <c r="E341" s="63"/>
      <c r="F341" s="63"/>
      <c r="G341" s="27"/>
      <c r="H341" s="65"/>
      <c r="I341" s="65"/>
      <c r="J341" s="65"/>
      <c r="K341" s="65"/>
      <c r="L341" s="65"/>
      <c r="M341" s="65"/>
      <c r="N341" s="65"/>
      <c r="O341" s="65"/>
      <c r="P341" s="65"/>
      <c r="Q341" s="65"/>
    </row>
    <row r="342">
      <c r="A342" s="63"/>
      <c r="B342" s="63"/>
      <c r="C342" s="27"/>
      <c r="D342" s="63"/>
      <c r="E342" s="63"/>
      <c r="F342" s="63"/>
      <c r="G342" s="27"/>
      <c r="H342" s="65"/>
      <c r="I342" s="65"/>
      <c r="J342" s="65"/>
      <c r="K342" s="65"/>
      <c r="L342" s="65"/>
      <c r="M342" s="65"/>
      <c r="N342" s="65"/>
      <c r="O342" s="65"/>
      <c r="P342" s="65"/>
      <c r="Q342" s="65"/>
    </row>
    <row r="343">
      <c r="A343" s="63"/>
      <c r="B343" s="63"/>
      <c r="C343" s="27"/>
      <c r="D343" s="63"/>
      <c r="E343" s="63"/>
      <c r="F343" s="63"/>
      <c r="G343" s="27"/>
      <c r="H343" s="65"/>
      <c r="I343" s="65"/>
      <c r="J343" s="65"/>
      <c r="K343" s="65"/>
      <c r="L343" s="65"/>
      <c r="M343" s="65"/>
      <c r="N343" s="65"/>
      <c r="O343" s="65"/>
      <c r="P343" s="65"/>
      <c r="Q343" s="65"/>
    </row>
    <row r="344">
      <c r="A344" s="63"/>
      <c r="B344" s="63"/>
      <c r="C344" s="27"/>
      <c r="D344" s="63"/>
      <c r="E344" s="63"/>
      <c r="F344" s="63"/>
      <c r="G344" s="27"/>
      <c r="H344" s="65"/>
      <c r="I344" s="65"/>
      <c r="J344" s="65"/>
      <c r="K344" s="65"/>
      <c r="L344" s="65"/>
      <c r="M344" s="65"/>
      <c r="N344" s="65"/>
      <c r="O344" s="65"/>
      <c r="P344" s="65"/>
      <c r="Q344" s="65"/>
    </row>
    <row r="345">
      <c r="A345" s="63"/>
      <c r="B345" s="63"/>
      <c r="C345" s="27"/>
      <c r="D345" s="63"/>
      <c r="E345" s="63"/>
      <c r="F345" s="63"/>
      <c r="G345" s="27"/>
      <c r="H345" s="65"/>
      <c r="I345" s="65"/>
      <c r="J345" s="65"/>
      <c r="K345" s="65"/>
      <c r="L345" s="65"/>
      <c r="M345" s="65"/>
      <c r="N345" s="65"/>
      <c r="O345" s="65"/>
      <c r="P345" s="65"/>
      <c r="Q345" s="65"/>
    </row>
    <row r="346">
      <c r="A346" s="63"/>
      <c r="B346" s="63"/>
      <c r="C346" s="27"/>
      <c r="D346" s="63"/>
      <c r="E346" s="63"/>
      <c r="F346" s="63"/>
      <c r="G346" s="27"/>
      <c r="H346" s="65"/>
      <c r="I346" s="65"/>
      <c r="J346" s="65"/>
      <c r="K346" s="65"/>
      <c r="L346" s="65"/>
      <c r="M346" s="65"/>
      <c r="N346" s="65"/>
      <c r="O346" s="65"/>
      <c r="P346" s="65"/>
      <c r="Q346" s="65"/>
    </row>
    <row r="347">
      <c r="A347" s="63"/>
      <c r="B347" s="63"/>
      <c r="C347" s="27"/>
      <c r="D347" s="63"/>
      <c r="E347" s="63"/>
      <c r="F347" s="63"/>
      <c r="G347" s="27"/>
      <c r="H347" s="65"/>
      <c r="I347" s="65"/>
      <c r="J347" s="65"/>
      <c r="K347" s="65"/>
      <c r="L347" s="65"/>
      <c r="M347" s="65"/>
      <c r="N347" s="65"/>
      <c r="O347" s="65"/>
      <c r="P347" s="65"/>
      <c r="Q347" s="65"/>
    </row>
    <row r="348">
      <c r="A348" s="63"/>
      <c r="B348" s="63"/>
      <c r="C348" s="27"/>
      <c r="D348" s="63"/>
      <c r="E348" s="63"/>
      <c r="F348" s="63"/>
      <c r="G348" s="27"/>
      <c r="H348" s="65"/>
      <c r="I348" s="65"/>
      <c r="J348" s="65"/>
      <c r="K348" s="65"/>
      <c r="L348" s="65"/>
      <c r="M348" s="65"/>
      <c r="N348" s="65"/>
      <c r="O348" s="65"/>
      <c r="P348" s="65"/>
      <c r="Q348" s="65"/>
    </row>
    <row r="349">
      <c r="A349" s="63"/>
      <c r="B349" s="63"/>
      <c r="C349" s="27"/>
      <c r="D349" s="63"/>
      <c r="E349" s="63"/>
      <c r="F349" s="63"/>
      <c r="G349" s="27"/>
      <c r="H349" s="65"/>
      <c r="I349" s="65"/>
      <c r="J349" s="65"/>
      <c r="K349" s="65"/>
      <c r="L349" s="65"/>
      <c r="M349" s="65"/>
      <c r="N349" s="65"/>
      <c r="O349" s="65"/>
      <c r="P349" s="65"/>
      <c r="Q349" s="65"/>
    </row>
    <row r="350">
      <c r="A350" s="63"/>
      <c r="B350" s="63"/>
      <c r="C350" s="27"/>
      <c r="D350" s="63"/>
      <c r="E350" s="63"/>
      <c r="F350" s="63"/>
      <c r="G350" s="27"/>
      <c r="H350" s="65"/>
      <c r="I350" s="65"/>
      <c r="J350" s="65"/>
      <c r="K350" s="65"/>
      <c r="L350" s="65"/>
      <c r="M350" s="65"/>
      <c r="N350" s="65"/>
      <c r="O350" s="65"/>
      <c r="P350" s="65"/>
      <c r="Q350" s="65"/>
    </row>
    <row r="351">
      <c r="A351" s="63"/>
      <c r="B351" s="63"/>
      <c r="C351" s="27"/>
      <c r="D351" s="63"/>
      <c r="E351" s="63"/>
      <c r="F351" s="63"/>
      <c r="G351" s="27"/>
      <c r="H351" s="65"/>
      <c r="I351" s="65"/>
      <c r="J351" s="65"/>
      <c r="K351" s="65"/>
      <c r="L351" s="65"/>
      <c r="M351" s="65"/>
      <c r="N351" s="65"/>
      <c r="O351" s="65"/>
      <c r="P351" s="65"/>
      <c r="Q351" s="65"/>
    </row>
    <row r="352">
      <c r="A352" s="63"/>
      <c r="B352" s="63"/>
      <c r="C352" s="27"/>
      <c r="D352" s="63"/>
      <c r="E352" s="63"/>
      <c r="F352" s="63"/>
      <c r="G352" s="27"/>
      <c r="H352" s="65"/>
      <c r="I352" s="65"/>
      <c r="J352" s="65"/>
      <c r="K352" s="65"/>
      <c r="L352" s="65"/>
      <c r="M352" s="65"/>
      <c r="N352" s="65"/>
      <c r="O352" s="65"/>
      <c r="P352" s="65"/>
      <c r="Q352" s="65"/>
    </row>
    <row r="353">
      <c r="A353" s="63"/>
      <c r="B353" s="63"/>
      <c r="C353" s="27"/>
      <c r="D353" s="63"/>
      <c r="E353" s="63"/>
      <c r="F353" s="63"/>
      <c r="G353" s="27"/>
      <c r="H353" s="65"/>
      <c r="I353" s="65"/>
      <c r="J353" s="65"/>
      <c r="K353" s="65"/>
      <c r="L353" s="65"/>
      <c r="M353" s="65"/>
      <c r="N353" s="65"/>
      <c r="O353" s="65"/>
      <c r="P353" s="65"/>
      <c r="Q353" s="65"/>
    </row>
    <row r="354">
      <c r="A354" s="63"/>
      <c r="B354" s="63"/>
      <c r="C354" s="27"/>
      <c r="D354" s="63"/>
      <c r="E354" s="63"/>
      <c r="F354" s="63"/>
      <c r="G354" s="27"/>
      <c r="H354" s="65"/>
      <c r="I354" s="65"/>
      <c r="J354" s="65"/>
      <c r="K354" s="65"/>
      <c r="L354" s="65"/>
      <c r="M354" s="65"/>
      <c r="N354" s="65"/>
      <c r="O354" s="65"/>
      <c r="P354" s="65"/>
      <c r="Q354" s="65"/>
    </row>
    <row r="355">
      <c r="A355" s="63"/>
      <c r="B355" s="63"/>
      <c r="C355" s="27"/>
      <c r="D355" s="63"/>
      <c r="E355" s="63"/>
      <c r="F355" s="63"/>
      <c r="G355" s="27"/>
      <c r="H355" s="65"/>
      <c r="I355" s="65"/>
      <c r="J355" s="65"/>
      <c r="K355" s="65"/>
      <c r="L355" s="65"/>
      <c r="M355" s="65"/>
      <c r="N355" s="65"/>
      <c r="O355" s="65"/>
      <c r="P355" s="65"/>
      <c r="Q355" s="65"/>
    </row>
    <row r="356">
      <c r="A356" s="63"/>
      <c r="B356" s="63"/>
      <c r="C356" s="27"/>
      <c r="D356" s="63"/>
      <c r="E356" s="63"/>
      <c r="F356" s="63"/>
      <c r="G356" s="27"/>
      <c r="H356" s="65"/>
      <c r="I356" s="65"/>
      <c r="J356" s="65"/>
      <c r="K356" s="65"/>
      <c r="L356" s="65"/>
      <c r="M356" s="65"/>
      <c r="N356" s="65"/>
      <c r="O356" s="65"/>
      <c r="P356" s="65"/>
      <c r="Q356" s="65"/>
    </row>
    <row r="357">
      <c r="A357" s="63"/>
      <c r="B357" s="63"/>
      <c r="C357" s="27"/>
      <c r="D357" s="63"/>
      <c r="E357" s="63"/>
      <c r="F357" s="63"/>
      <c r="G357" s="27"/>
      <c r="H357" s="65"/>
      <c r="I357" s="65"/>
      <c r="J357" s="65"/>
      <c r="K357" s="65"/>
      <c r="L357" s="65"/>
      <c r="M357" s="65"/>
      <c r="N357" s="65"/>
      <c r="O357" s="65"/>
      <c r="P357" s="65"/>
      <c r="Q357" s="65"/>
    </row>
    <row r="358">
      <c r="A358" s="63"/>
      <c r="B358" s="63"/>
      <c r="C358" s="27"/>
      <c r="D358" s="63"/>
      <c r="E358" s="63"/>
      <c r="F358" s="63"/>
      <c r="G358" s="27"/>
      <c r="H358" s="65"/>
      <c r="I358" s="65"/>
      <c r="J358" s="65"/>
      <c r="K358" s="65"/>
      <c r="L358" s="65"/>
      <c r="M358" s="65"/>
      <c r="N358" s="65"/>
      <c r="O358" s="65"/>
      <c r="P358" s="65"/>
      <c r="Q358" s="65"/>
    </row>
    <row r="359">
      <c r="A359" s="63"/>
      <c r="B359" s="63"/>
      <c r="C359" s="27"/>
      <c r="D359" s="63"/>
      <c r="E359" s="63"/>
      <c r="F359" s="63"/>
      <c r="G359" s="27"/>
      <c r="H359" s="65"/>
      <c r="I359" s="65"/>
      <c r="J359" s="65"/>
      <c r="K359" s="65"/>
      <c r="L359" s="65"/>
      <c r="M359" s="65"/>
      <c r="N359" s="65"/>
      <c r="O359" s="65"/>
      <c r="P359" s="65"/>
      <c r="Q359" s="65"/>
    </row>
    <row r="360">
      <c r="A360" s="63"/>
      <c r="B360" s="63"/>
      <c r="C360" s="27"/>
      <c r="D360" s="63"/>
      <c r="E360" s="63"/>
      <c r="F360" s="63"/>
      <c r="G360" s="27"/>
      <c r="H360" s="65"/>
      <c r="I360" s="65"/>
      <c r="J360" s="65"/>
      <c r="K360" s="65"/>
      <c r="L360" s="65"/>
      <c r="M360" s="65"/>
      <c r="N360" s="65"/>
      <c r="O360" s="65"/>
      <c r="P360" s="65"/>
      <c r="Q360" s="65"/>
    </row>
    <row r="361">
      <c r="A361" s="63"/>
      <c r="B361" s="63"/>
      <c r="C361" s="27"/>
      <c r="D361" s="63"/>
      <c r="E361" s="63"/>
      <c r="F361" s="63"/>
      <c r="G361" s="27"/>
      <c r="H361" s="65"/>
      <c r="I361" s="65"/>
      <c r="J361" s="65"/>
      <c r="K361" s="65"/>
      <c r="L361" s="65"/>
      <c r="M361" s="65"/>
      <c r="N361" s="65"/>
      <c r="O361" s="65"/>
      <c r="P361" s="65"/>
      <c r="Q361" s="65"/>
    </row>
    <row r="362">
      <c r="A362" s="63"/>
      <c r="B362" s="63"/>
      <c r="C362" s="27"/>
      <c r="D362" s="63"/>
      <c r="E362" s="63"/>
      <c r="F362" s="63"/>
      <c r="G362" s="27"/>
      <c r="H362" s="65"/>
      <c r="I362" s="65"/>
      <c r="J362" s="65"/>
      <c r="K362" s="65"/>
      <c r="L362" s="65"/>
      <c r="M362" s="65"/>
      <c r="N362" s="65"/>
      <c r="O362" s="65"/>
      <c r="P362" s="65"/>
      <c r="Q362" s="65"/>
    </row>
    <row r="363">
      <c r="A363" s="63"/>
      <c r="B363" s="63"/>
      <c r="C363" s="27"/>
      <c r="D363" s="63"/>
      <c r="E363" s="63"/>
      <c r="F363" s="63"/>
      <c r="G363" s="27"/>
      <c r="H363" s="65"/>
      <c r="I363" s="65"/>
      <c r="J363" s="65"/>
      <c r="K363" s="65"/>
      <c r="L363" s="65"/>
      <c r="M363" s="65"/>
      <c r="N363" s="65"/>
      <c r="O363" s="65"/>
      <c r="P363" s="65"/>
      <c r="Q363" s="65"/>
    </row>
    <row r="364">
      <c r="A364" s="63"/>
      <c r="B364" s="63"/>
      <c r="C364" s="27"/>
      <c r="D364" s="63"/>
      <c r="E364" s="63"/>
      <c r="F364" s="63"/>
      <c r="G364" s="27"/>
      <c r="H364" s="65"/>
      <c r="I364" s="65"/>
      <c r="J364" s="65"/>
      <c r="K364" s="65"/>
      <c r="L364" s="65"/>
      <c r="M364" s="65"/>
      <c r="N364" s="65"/>
      <c r="O364" s="65"/>
      <c r="P364" s="65"/>
      <c r="Q364" s="65"/>
    </row>
    <row r="365">
      <c r="A365" s="63"/>
      <c r="B365" s="63"/>
      <c r="C365" s="27"/>
      <c r="D365" s="63"/>
      <c r="E365" s="63"/>
      <c r="F365" s="63"/>
      <c r="G365" s="27"/>
      <c r="H365" s="65"/>
      <c r="I365" s="65"/>
      <c r="J365" s="65"/>
      <c r="K365" s="65"/>
      <c r="L365" s="65"/>
      <c r="M365" s="65"/>
      <c r="N365" s="65"/>
      <c r="O365" s="65"/>
      <c r="P365" s="65"/>
      <c r="Q365" s="65"/>
    </row>
    <row r="366">
      <c r="A366" s="63"/>
      <c r="B366" s="63"/>
      <c r="C366" s="27"/>
      <c r="D366" s="63"/>
      <c r="E366" s="63"/>
      <c r="F366" s="63"/>
      <c r="G366" s="27"/>
      <c r="H366" s="65"/>
      <c r="I366" s="65"/>
      <c r="J366" s="65"/>
      <c r="K366" s="65"/>
      <c r="L366" s="65"/>
      <c r="M366" s="65"/>
      <c r="N366" s="65"/>
      <c r="O366" s="65"/>
      <c r="P366" s="65"/>
      <c r="Q366" s="65"/>
    </row>
    <row r="367">
      <c r="A367" s="63"/>
      <c r="B367" s="63"/>
      <c r="C367" s="27"/>
      <c r="D367" s="63"/>
      <c r="E367" s="63"/>
      <c r="F367" s="63"/>
      <c r="G367" s="27"/>
      <c r="H367" s="65"/>
      <c r="I367" s="65"/>
      <c r="J367" s="65"/>
      <c r="K367" s="65"/>
      <c r="L367" s="65"/>
      <c r="M367" s="65"/>
      <c r="N367" s="65"/>
      <c r="O367" s="65"/>
      <c r="P367" s="65"/>
      <c r="Q367" s="65"/>
    </row>
    <row r="368">
      <c r="A368" s="63"/>
      <c r="B368" s="63"/>
      <c r="C368" s="27"/>
      <c r="D368" s="63"/>
      <c r="E368" s="63"/>
      <c r="F368" s="63"/>
      <c r="G368" s="27"/>
      <c r="H368" s="65"/>
      <c r="I368" s="65"/>
      <c r="J368" s="65"/>
      <c r="K368" s="65"/>
      <c r="L368" s="65"/>
      <c r="M368" s="65"/>
      <c r="N368" s="65"/>
      <c r="O368" s="65"/>
      <c r="P368" s="65"/>
      <c r="Q368" s="65"/>
    </row>
    <row r="369">
      <c r="A369" s="63"/>
      <c r="B369" s="63"/>
      <c r="C369" s="27"/>
      <c r="D369" s="63"/>
      <c r="E369" s="63"/>
      <c r="F369" s="63"/>
      <c r="G369" s="27"/>
      <c r="H369" s="65"/>
      <c r="I369" s="65"/>
      <c r="J369" s="65"/>
      <c r="K369" s="65"/>
      <c r="L369" s="65"/>
      <c r="M369" s="65"/>
      <c r="N369" s="65"/>
      <c r="O369" s="65"/>
      <c r="P369" s="65"/>
      <c r="Q369" s="65"/>
    </row>
    <row r="370">
      <c r="A370" s="63"/>
      <c r="B370" s="63"/>
      <c r="C370" s="27"/>
      <c r="D370" s="63"/>
      <c r="E370" s="63"/>
      <c r="F370" s="63"/>
      <c r="G370" s="27"/>
      <c r="H370" s="65"/>
      <c r="I370" s="65"/>
      <c r="J370" s="65"/>
      <c r="K370" s="65"/>
      <c r="L370" s="65"/>
      <c r="M370" s="65"/>
      <c r="N370" s="65"/>
      <c r="O370" s="65"/>
      <c r="P370" s="65"/>
      <c r="Q370" s="65"/>
    </row>
    <row r="371">
      <c r="A371" s="63"/>
      <c r="B371" s="63"/>
      <c r="C371" s="27"/>
      <c r="D371" s="63"/>
      <c r="E371" s="63"/>
      <c r="F371" s="63"/>
      <c r="G371" s="27"/>
      <c r="H371" s="65"/>
      <c r="I371" s="65"/>
      <c r="J371" s="65"/>
      <c r="K371" s="65"/>
      <c r="L371" s="65"/>
      <c r="M371" s="65"/>
      <c r="N371" s="65"/>
      <c r="O371" s="65"/>
      <c r="P371" s="65"/>
      <c r="Q371" s="65"/>
    </row>
    <row r="372">
      <c r="A372" s="63"/>
      <c r="B372" s="63"/>
      <c r="C372" s="27"/>
      <c r="D372" s="63"/>
      <c r="E372" s="63"/>
      <c r="F372" s="63"/>
      <c r="G372" s="27"/>
      <c r="H372" s="65"/>
      <c r="I372" s="65"/>
      <c r="J372" s="65"/>
      <c r="K372" s="65"/>
      <c r="L372" s="65"/>
      <c r="M372" s="65"/>
      <c r="N372" s="65"/>
      <c r="O372" s="65"/>
      <c r="P372" s="65"/>
      <c r="Q372" s="65"/>
    </row>
    <row r="373">
      <c r="A373" s="63"/>
      <c r="B373" s="63"/>
      <c r="C373" s="27"/>
      <c r="D373" s="63"/>
      <c r="E373" s="63"/>
      <c r="F373" s="63"/>
      <c r="G373" s="27"/>
      <c r="H373" s="65"/>
      <c r="I373" s="65"/>
      <c r="J373" s="65"/>
      <c r="K373" s="65"/>
      <c r="L373" s="65"/>
      <c r="M373" s="65"/>
      <c r="N373" s="65"/>
      <c r="O373" s="65"/>
      <c r="P373" s="65"/>
      <c r="Q373" s="65"/>
    </row>
    <row r="374">
      <c r="A374" s="63"/>
      <c r="B374" s="63"/>
      <c r="C374" s="27"/>
      <c r="D374" s="63"/>
      <c r="E374" s="63"/>
      <c r="F374" s="63"/>
      <c r="G374" s="27"/>
      <c r="H374" s="65"/>
      <c r="I374" s="65"/>
      <c r="J374" s="65"/>
      <c r="K374" s="65"/>
      <c r="L374" s="65"/>
      <c r="M374" s="65"/>
      <c r="N374" s="65"/>
      <c r="O374" s="65"/>
      <c r="P374" s="65"/>
      <c r="Q374" s="65"/>
    </row>
    <row r="375">
      <c r="A375" s="63"/>
      <c r="B375" s="63"/>
      <c r="C375" s="27"/>
      <c r="D375" s="63"/>
      <c r="E375" s="63"/>
      <c r="F375" s="63"/>
      <c r="G375" s="27"/>
      <c r="H375" s="65"/>
      <c r="I375" s="65"/>
      <c r="J375" s="65"/>
      <c r="K375" s="65"/>
      <c r="L375" s="65"/>
      <c r="M375" s="65"/>
      <c r="N375" s="65"/>
      <c r="O375" s="65"/>
      <c r="P375" s="65"/>
      <c r="Q375" s="65"/>
    </row>
    <row r="376">
      <c r="A376" s="63"/>
      <c r="B376" s="63"/>
      <c r="C376" s="27"/>
      <c r="D376" s="63"/>
      <c r="E376" s="63"/>
      <c r="F376" s="63"/>
      <c r="G376" s="27"/>
      <c r="H376" s="65"/>
      <c r="I376" s="65"/>
      <c r="J376" s="65"/>
      <c r="K376" s="65"/>
      <c r="L376" s="65"/>
      <c r="M376" s="65"/>
      <c r="N376" s="65"/>
      <c r="O376" s="65"/>
      <c r="P376" s="65"/>
      <c r="Q376" s="65"/>
    </row>
    <row r="377">
      <c r="A377" s="63"/>
      <c r="B377" s="63"/>
      <c r="C377" s="27"/>
      <c r="D377" s="63"/>
      <c r="E377" s="63"/>
      <c r="F377" s="63"/>
      <c r="G377" s="27"/>
      <c r="H377" s="65"/>
      <c r="I377" s="65"/>
      <c r="J377" s="65"/>
      <c r="K377" s="65"/>
      <c r="L377" s="65"/>
      <c r="M377" s="65"/>
      <c r="N377" s="65"/>
      <c r="O377" s="65"/>
      <c r="P377" s="65"/>
      <c r="Q377" s="65"/>
    </row>
    <row r="378">
      <c r="A378" s="63"/>
      <c r="B378" s="63"/>
      <c r="C378" s="27"/>
      <c r="D378" s="63"/>
      <c r="E378" s="63"/>
      <c r="F378" s="63"/>
      <c r="G378" s="27"/>
      <c r="H378" s="65"/>
      <c r="I378" s="65"/>
      <c r="J378" s="65"/>
      <c r="K378" s="65"/>
      <c r="L378" s="65"/>
      <c r="M378" s="65"/>
      <c r="N378" s="65"/>
      <c r="O378" s="65"/>
      <c r="P378" s="65"/>
      <c r="Q378" s="65"/>
    </row>
    <row r="379">
      <c r="A379" s="63"/>
      <c r="B379" s="63"/>
      <c r="C379" s="27"/>
      <c r="D379" s="63"/>
      <c r="E379" s="63"/>
      <c r="F379" s="63"/>
      <c r="G379" s="27"/>
      <c r="H379" s="65"/>
      <c r="I379" s="65"/>
      <c r="J379" s="65"/>
      <c r="K379" s="65"/>
      <c r="L379" s="65"/>
      <c r="M379" s="65"/>
      <c r="N379" s="65"/>
      <c r="O379" s="65"/>
      <c r="P379" s="65"/>
      <c r="Q379" s="65"/>
    </row>
    <row r="380">
      <c r="A380" s="63"/>
      <c r="B380" s="63"/>
      <c r="C380" s="27"/>
      <c r="D380" s="63"/>
      <c r="E380" s="63"/>
      <c r="F380" s="63"/>
      <c r="G380" s="27"/>
      <c r="H380" s="65"/>
      <c r="I380" s="65"/>
      <c r="J380" s="65"/>
      <c r="K380" s="65"/>
      <c r="L380" s="65"/>
      <c r="M380" s="65"/>
      <c r="N380" s="65"/>
      <c r="O380" s="65"/>
      <c r="P380" s="65"/>
      <c r="Q380" s="65"/>
    </row>
    <row r="381">
      <c r="A381" s="63"/>
      <c r="B381" s="63"/>
      <c r="C381" s="27"/>
      <c r="D381" s="63"/>
      <c r="E381" s="63"/>
      <c r="F381" s="63"/>
      <c r="G381" s="27"/>
      <c r="H381" s="65"/>
      <c r="I381" s="65"/>
      <c r="J381" s="65"/>
      <c r="K381" s="65"/>
      <c r="L381" s="65"/>
      <c r="M381" s="65"/>
      <c r="N381" s="65"/>
      <c r="O381" s="65"/>
      <c r="P381" s="65"/>
      <c r="Q381" s="65"/>
    </row>
    <row r="382">
      <c r="A382" s="63"/>
      <c r="B382" s="63"/>
      <c r="C382" s="27"/>
      <c r="D382" s="63"/>
      <c r="E382" s="63"/>
      <c r="F382" s="63"/>
      <c r="G382" s="27"/>
      <c r="H382" s="65"/>
      <c r="I382" s="65"/>
      <c r="J382" s="65"/>
      <c r="K382" s="65"/>
      <c r="L382" s="65"/>
      <c r="M382" s="65"/>
      <c r="N382" s="65"/>
      <c r="O382" s="65"/>
      <c r="P382" s="65"/>
      <c r="Q382" s="65"/>
    </row>
    <row r="383">
      <c r="A383" s="63"/>
      <c r="B383" s="63"/>
      <c r="C383" s="27"/>
      <c r="D383" s="63"/>
      <c r="E383" s="63"/>
      <c r="F383" s="63"/>
      <c r="G383" s="27"/>
      <c r="H383" s="65"/>
      <c r="I383" s="65"/>
      <c r="J383" s="65"/>
      <c r="K383" s="65"/>
      <c r="L383" s="65"/>
      <c r="M383" s="65"/>
      <c r="N383" s="65"/>
      <c r="O383" s="65"/>
      <c r="P383" s="65"/>
      <c r="Q383" s="65"/>
    </row>
    <row r="384">
      <c r="A384" s="63"/>
      <c r="B384" s="63"/>
      <c r="C384" s="27"/>
      <c r="D384" s="63"/>
      <c r="E384" s="63"/>
      <c r="F384" s="63"/>
      <c r="G384" s="27"/>
      <c r="H384" s="65"/>
      <c r="I384" s="65"/>
      <c r="J384" s="65"/>
      <c r="K384" s="65"/>
      <c r="L384" s="65"/>
      <c r="M384" s="65"/>
      <c r="N384" s="65"/>
      <c r="O384" s="65"/>
      <c r="P384" s="65"/>
      <c r="Q384" s="65"/>
    </row>
    <row r="385">
      <c r="A385" s="63"/>
      <c r="B385" s="63"/>
      <c r="C385" s="27"/>
      <c r="D385" s="63"/>
      <c r="E385" s="63"/>
      <c r="F385" s="63"/>
      <c r="G385" s="27"/>
      <c r="H385" s="65"/>
      <c r="I385" s="65"/>
      <c r="J385" s="65"/>
      <c r="K385" s="65"/>
      <c r="L385" s="65"/>
      <c r="M385" s="65"/>
      <c r="N385" s="65"/>
      <c r="O385" s="65"/>
      <c r="P385" s="65"/>
      <c r="Q385" s="65"/>
    </row>
    <row r="386">
      <c r="A386" s="63"/>
      <c r="B386" s="63"/>
      <c r="C386" s="27"/>
      <c r="D386" s="63"/>
      <c r="E386" s="63"/>
      <c r="F386" s="63"/>
      <c r="G386" s="27"/>
      <c r="H386" s="65"/>
      <c r="I386" s="65"/>
      <c r="J386" s="65"/>
      <c r="K386" s="65"/>
      <c r="L386" s="65"/>
      <c r="M386" s="65"/>
      <c r="N386" s="65"/>
      <c r="O386" s="65"/>
      <c r="P386" s="65"/>
      <c r="Q386" s="65"/>
    </row>
    <row r="387">
      <c r="A387" s="63"/>
      <c r="B387" s="63"/>
      <c r="C387" s="27"/>
      <c r="D387" s="63"/>
      <c r="E387" s="63"/>
      <c r="F387" s="63"/>
      <c r="G387" s="27"/>
      <c r="H387" s="65"/>
      <c r="I387" s="65"/>
      <c r="J387" s="65"/>
      <c r="K387" s="65"/>
      <c r="L387" s="65"/>
      <c r="M387" s="65"/>
      <c r="N387" s="65"/>
      <c r="O387" s="65"/>
      <c r="P387" s="65"/>
      <c r="Q387" s="65"/>
    </row>
    <row r="388">
      <c r="A388" s="63"/>
      <c r="B388" s="63"/>
      <c r="C388" s="27"/>
      <c r="D388" s="63"/>
      <c r="E388" s="63"/>
      <c r="F388" s="63"/>
      <c r="G388" s="27"/>
      <c r="H388" s="65"/>
      <c r="I388" s="65"/>
      <c r="J388" s="65"/>
      <c r="K388" s="65"/>
      <c r="L388" s="65"/>
      <c r="M388" s="65"/>
      <c r="N388" s="65"/>
      <c r="O388" s="65"/>
      <c r="P388" s="65"/>
      <c r="Q388" s="65"/>
    </row>
    <row r="389">
      <c r="A389" s="63"/>
      <c r="B389" s="63"/>
      <c r="C389" s="27"/>
      <c r="D389" s="63"/>
      <c r="E389" s="63"/>
      <c r="F389" s="63"/>
      <c r="G389" s="27"/>
      <c r="H389" s="65"/>
      <c r="I389" s="65"/>
      <c r="J389" s="65"/>
      <c r="K389" s="65"/>
      <c r="L389" s="65"/>
      <c r="M389" s="65"/>
      <c r="N389" s="65"/>
      <c r="O389" s="65"/>
      <c r="P389" s="65"/>
      <c r="Q389" s="65"/>
    </row>
    <row r="390">
      <c r="A390" s="63"/>
      <c r="B390" s="63"/>
      <c r="C390" s="27"/>
      <c r="D390" s="63"/>
      <c r="E390" s="63"/>
      <c r="F390" s="63"/>
      <c r="G390" s="27"/>
      <c r="H390" s="65"/>
      <c r="I390" s="65"/>
      <c r="J390" s="65"/>
      <c r="K390" s="65"/>
      <c r="L390" s="65"/>
      <c r="M390" s="65"/>
      <c r="N390" s="65"/>
      <c r="O390" s="65"/>
      <c r="P390" s="65"/>
      <c r="Q390" s="65"/>
    </row>
    <row r="391">
      <c r="A391" s="63"/>
      <c r="B391" s="63"/>
      <c r="C391" s="27"/>
      <c r="D391" s="63"/>
      <c r="E391" s="63"/>
      <c r="F391" s="63"/>
      <c r="G391" s="27"/>
      <c r="H391" s="65"/>
      <c r="I391" s="65"/>
      <c r="J391" s="65"/>
      <c r="K391" s="65"/>
      <c r="L391" s="65"/>
      <c r="M391" s="65"/>
      <c r="N391" s="65"/>
      <c r="O391" s="65"/>
      <c r="P391" s="65"/>
      <c r="Q391" s="65"/>
    </row>
    <row r="392">
      <c r="A392" s="63"/>
      <c r="B392" s="63"/>
      <c r="C392" s="27"/>
      <c r="D392" s="63"/>
      <c r="E392" s="63"/>
      <c r="F392" s="63"/>
      <c r="G392" s="27"/>
      <c r="H392" s="65"/>
      <c r="I392" s="65"/>
      <c r="J392" s="65"/>
      <c r="K392" s="65"/>
      <c r="L392" s="65"/>
      <c r="M392" s="65"/>
      <c r="N392" s="65"/>
      <c r="O392" s="65"/>
      <c r="P392" s="65"/>
      <c r="Q392" s="65"/>
    </row>
    <row r="393">
      <c r="A393" s="63"/>
      <c r="B393" s="63"/>
      <c r="C393" s="27"/>
      <c r="D393" s="63"/>
      <c r="E393" s="63"/>
      <c r="F393" s="63"/>
      <c r="G393" s="27"/>
      <c r="H393" s="65"/>
      <c r="I393" s="65"/>
      <c r="J393" s="65"/>
      <c r="K393" s="65"/>
      <c r="L393" s="65"/>
      <c r="M393" s="65"/>
      <c r="N393" s="65"/>
      <c r="O393" s="65"/>
      <c r="P393" s="65"/>
      <c r="Q393" s="65"/>
    </row>
    <row r="394">
      <c r="A394" s="63"/>
      <c r="B394" s="63"/>
      <c r="C394" s="27"/>
      <c r="D394" s="63"/>
      <c r="E394" s="63"/>
      <c r="F394" s="63"/>
      <c r="G394" s="27"/>
      <c r="H394" s="65"/>
      <c r="I394" s="65"/>
      <c r="J394" s="65"/>
      <c r="K394" s="65"/>
      <c r="L394" s="65"/>
      <c r="M394" s="65"/>
      <c r="N394" s="65"/>
      <c r="O394" s="65"/>
      <c r="P394" s="65"/>
      <c r="Q394" s="65"/>
    </row>
    <row r="395">
      <c r="A395" s="63"/>
      <c r="B395" s="63"/>
      <c r="C395" s="27"/>
      <c r="D395" s="63"/>
      <c r="E395" s="63"/>
      <c r="F395" s="63"/>
      <c r="G395" s="27"/>
      <c r="H395" s="65"/>
      <c r="I395" s="65"/>
      <c r="J395" s="65"/>
      <c r="K395" s="65"/>
      <c r="L395" s="65"/>
      <c r="M395" s="65"/>
      <c r="N395" s="65"/>
      <c r="O395" s="65"/>
      <c r="P395" s="65"/>
      <c r="Q395" s="65"/>
    </row>
    <row r="396">
      <c r="A396" s="63"/>
      <c r="B396" s="63"/>
      <c r="C396" s="27"/>
      <c r="D396" s="63"/>
      <c r="E396" s="63"/>
      <c r="F396" s="63"/>
      <c r="G396" s="27"/>
      <c r="H396" s="65"/>
      <c r="I396" s="65"/>
      <c r="J396" s="65"/>
      <c r="K396" s="65"/>
      <c r="L396" s="65"/>
      <c r="M396" s="65"/>
      <c r="N396" s="65"/>
      <c r="O396" s="65"/>
      <c r="P396" s="65"/>
      <c r="Q396" s="65"/>
    </row>
    <row r="397">
      <c r="A397" s="63"/>
      <c r="B397" s="63"/>
      <c r="C397" s="27"/>
      <c r="D397" s="63"/>
      <c r="E397" s="63"/>
      <c r="F397" s="63"/>
      <c r="G397" s="27"/>
      <c r="H397" s="65"/>
      <c r="I397" s="65"/>
      <c r="J397" s="65"/>
      <c r="K397" s="65"/>
      <c r="L397" s="65"/>
      <c r="M397" s="65"/>
      <c r="N397" s="65"/>
      <c r="O397" s="65"/>
      <c r="P397" s="65"/>
      <c r="Q397" s="65"/>
    </row>
    <row r="398">
      <c r="A398" s="63"/>
      <c r="B398" s="63"/>
      <c r="C398" s="27"/>
      <c r="D398" s="63"/>
      <c r="E398" s="63"/>
      <c r="F398" s="63"/>
      <c r="G398" s="27"/>
      <c r="H398" s="65"/>
      <c r="I398" s="65"/>
      <c r="J398" s="65"/>
      <c r="K398" s="65"/>
      <c r="L398" s="65"/>
      <c r="M398" s="65"/>
      <c r="N398" s="65"/>
      <c r="O398" s="65"/>
      <c r="P398" s="65"/>
      <c r="Q398" s="65"/>
    </row>
    <row r="399">
      <c r="A399" s="63"/>
      <c r="B399" s="63"/>
      <c r="C399" s="27"/>
      <c r="D399" s="63"/>
      <c r="E399" s="63"/>
      <c r="F399" s="63"/>
      <c r="G399" s="27"/>
      <c r="H399" s="65"/>
      <c r="I399" s="65"/>
      <c r="J399" s="65"/>
      <c r="K399" s="65"/>
      <c r="L399" s="65"/>
      <c r="M399" s="65"/>
      <c r="N399" s="65"/>
      <c r="O399" s="65"/>
      <c r="P399" s="65"/>
      <c r="Q399" s="65"/>
    </row>
    <row r="400">
      <c r="A400" s="63"/>
      <c r="B400" s="63"/>
      <c r="C400" s="27"/>
      <c r="D400" s="63"/>
      <c r="E400" s="63"/>
      <c r="F400" s="63"/>
      <c r="G400" s="27"/>
      <c r="H400" s="65"/>
      <c r="I400" s="65"/>
      <c r="J400" s="65"/>
      <c r="K400" s="65"/>
      <c r="L400" s="65"/>
      <c r="M400" s="65"/>
      <c r="N400" s="65"/>
      <c r="O400" s="65"/>
      <c r="P400" s="65"/>
      <c r="Q400" s="65"/>
    </row>
    <row r="401">
      <c r="A401" s="63"/>
      <c r="B401" s="63"/>
      <c r="C401" s="27"/>
      <c r="D401" s="63"/>
      <c r="E401" s="63"/>
      <c r="F401" s="63"/>
      <c r="G401" s="27"/>
      <c r="H401" s="65"/>
      <c r="I401" s="65"/>
      <c r="J401" s="65"/>
      <c r="K401" s="65"/>
      <c r="L401" s="65"/>
      <c r="M401" s="65"/>
      <c r="N401" s="65"/>
      <c r="O401" s="65"/>
      <c r="P401" s="65"/>
      <c r="Q401" s="65"/>
    </row>
    <row r="402">
      <c r="A402" s="63"/>
      <c r="B402" s="63"/>
      <c r="C402" s="27"/>
      <c r="D402" s="63"/>
      <c r="E402" s="63"/>
      <c r="F402" s="63"/>
      <c r="G402" s="27"/>
      <c r="H402" s="65"/>
      <c r="I402" s="65"/>
      <c r="J402" s="65"/>
      <c r="K402" s="65"/>
      <c r="L402" s="65"/>
      <c r="M402" s="65"/>
      <c r="N402" s="65"/>
      <c r="O402" s="65"/>
      <c r="P402" s="65"/>
      <c r="Q402" s="65"/>
    </row>
    <row r="403">
      <c r="A403" s="63"/>
      <c r="B403" s="63"/>
      <c r="C403" s="27"/>
      <c r="D403" s="63"/>
      <c r="E403" s="63"/>
      <c r="F403" s="63"/>
      <c r="G403" s="27"/>
      <c r="H403" s="65"/>
      <c r="I403" s="65"/>
      <c r="J403" s="65"/>
      <c r="K403" s="65"/>
      <c r="L403" s="65"/>
      <c r="M403" s="65"/>
      <c r="N403" s="65"/>
      <c r="O403" s="65"/>
      <c r="P403" s="65"/>
      <c r="Q403" s="65"/>
    </row>
    <row r="404">
      <c r="A404" s="63"/>
      <c r="B404" s="63"/>
      <c r="C404" s="27"/>
      <c r="D404" s="63"/>
      <c r="E404" s="63"/>
      <c r="F404" s="63"/>
      <c r="G404" s="27"/>
      <c r="H404" s="65"/>
      <c r="I404" s="65"/>
      <c r="J404" s="65"/>
      <c r="K404" s="65"/>
      <c r="L404" s="65"/>
      <c r="M404" s="65"/>
      <c r="N404" s="65"/>
      <c r="O404" s="65"/>
      <c r="P404" s="65"/>
      <c r="Q404" s="65"/>
    </row>
    <row r="405">
      <c r="A405" s="63"/>
      <c r="B405" s="63"/>
      <c r="C405" s="27"/>
      <c r="D405" s="63"/>
      <c r="E405" s="63"/>
      <c r="F405" s="63"/>
      <c r="G405" s="27"/>
      <c r="H405" s="65"/>
      <c r="I405" s="65"/>
      <c r="J405" s="65"/>
      <c r="K405" s="65"/>
      <c r="L405" s="65"/>
      <c r="M405" s="65"/>
      <c r="N405" s="65"/>
      <c r="O405" s="65"/>
      <c r="P405" s="65"/>
      <c r="Q405" s="65"/>
    </row>
    <row r="406">
      <c r="A406" s="63"/>
      <c r="B406" s="63"/>
      <c r="C406" s="27"/>
      <c r="D406" s="63"/>
      <c r="E406" s="63"/>
      <c r="F406" s="63"/>
      <c r="G406" s="27"/>
      <c r="H406" s="65"/>
      <c r="I406" s="65"/>
      <c r="J406" s="65"/>
      <c r="K406" s="65"/>
      <c r="L406" s="65"/>
      <c r="M406" s="65"/>
      <c r="N406" s="65"/>
      <c r="O406" s="65"/>
      <c r="P406" s="65"/>
      <c r="Q406" s="65"/>
    </row>
    <row r="407">
      <c r="A407" s="63"/>
      <c r="B407" s="63"/>
      <c r="C407" s="27"/>
      <c r="D407" s="63"/>
      <c r="E407" s="63"/>
      <c r="F407" s="63"/>
      <c r="G407" s="27"/>
      <c r="H407" s="65"/>
      <c r="I407" s="65"/>
      <c r="J407" s="65"/>
      <c r="K407" s="65"/>
      <c r="L407" s="65"/>
      <c r="M407" s="65"/>
      <c r="N407" s="65"/>
      <c r="O407" s="65"/>
      <c r="P407" s="65"/>
      <c r="Q407" s="65"/>
    </row>
    <row r="408">
      <c r="A408" s="63"/>
      <c r="B408" s="63"/>
      <c r="C408" s="27"/>
      <c r="D408" s="63"/>
      <c r="E408" s="63"/>
      <c r="F408" s="63"/>
      <c r="G408" s="27"/>
      <c r="H408" s="65"/>
      <c r="I408" s="65"/>
      <c r="J408" s="65"/>
      <c r="K408" s="65"/>
      <c r="L408" s="65"/>
      <c r="M408" s="65"/>
      <c r="N408" s="65"/>
      <c r="O408" s="65"/>
      <c r="P408" s="65"/>
      <c r="Q408" s="65"/>
    </row>
    <row r="409">
      <c r="A409" s="63"/>
      <c r="B409" s="63"/>
      <c r="C409" s="27"/>
      <c r="D409" s="63"/>
      <c r="E409" s="63"/>
      <c r="F409" s="63"/>
      <c r="G409" s="27"/>
      <c r="H409" s="65"/>
      <c r="I409" s="65"/>
      <c r="J409" s="65"/>
      <c r="K409" s="65"/>
      <c r="L409" s="65"/>
      <c r="M409" s="65"/>
      <c r="N409" s="65"/>
      <c r="O409" s="65"/>
      <c r="P409" s="65"/>
      <c r="Q409" s="65"/>
    </row>
    <row r="410">
      <c r="A410" s="63"/>
      <c r="B410" s="63"/>
      <c r="C410" s="27"/>
      <c r="D410" s="63"/>
      <c r="E410" s="63"/>
      <c r="F410" s="63"/>
      <c r="G410" s="27"/>
      <c r="H410" s="65"/>
      <c r="I410" s="65"/>
      <c r="J410" s="65"/>
      <c r="K410" s="65"/>
      <c r="L410" s="65"/>
      <c r="M410" s="65"/>
      <c r="N410" s="65"/>
      <c r="O410" s="65"/>
      <c r="P410" s="65"/>
      <c r="Q410" s="65"/>
    </row>
    <row r="411">
      <c r="A411" s="63"/>
      <c r="B411" s="63"/>
      <c r="C411" s="27"/>
      <c r="D411" s="63"/>
      <c r="E411" s="63"/>
      <c r="F411" s="63"/>
      <c r="G411" s="27"/>
      <c r="H411" s="65"/>
      <c r="I411" s="65"/>
      <c r="J411" s="65"/>
      <c r="K411" s="65"/>
      <c r="L411" s="65"/>
      <c r="M411" s="65"/>
      <c r="N411" s="65"/>
      <c r="O411" s="65"/>
      <c r="P411" s="65"/>
      <c r="Q411" s="65"/>
    </row>
    <row r="412">
      <c r="A412" s="63"/>
      <c r="B412" s="63"/>
      <c r="C412" s="27"/>
      <c r="D412" s="63"/>
      <c r="E412" s="63"/>
      <c r="F412" s="63"/>
      <c r="G412" s="27"/>
      <c r="H412" s="65"/>
      <c r="I412" s="65"/>
      <c r="J412" s="65"/>
      <c r="K412" s="65"/>
      <c r="L412" s="65"/>
      <c r="M412" s="65"/>
      <c r="N412" s="65"/>
      <c r="O412" s="65"/>
      <c r="P412" s="65"/>
      <c r="Q412" s="65"/>
    </row>
    <row r="413">
      <c r="A413" s="63"/>
      <c r="B413" s="63"/>
      <c r="C413" s="27"/>
      <c r="D413" s="63"/>
      <c r="E413" s="63"/>
      <c r="F413" s="63"/>
      <c r="G413" s="27"/>
      <c r="H413" s="65"/>
      <c r="I413" s="65"/>
      <c r="J413" s="65"/>
      <c r="K413" s="65"/>
      <c r="L413" s="65"/>
      <c r="M413" s="65"/>
      <c r="N413" s="65"/>
      <c r="O413" s="65"/>
      <c r="P413" s="65"/>
      <c r="Q413" s="65"/>
    </row>
    <row r="414">
      <c r="A414" s="63"/>
      <c r="B414" s="63"/>
      <c r="C414" s="27"/>
      <c r="D414" s="63"/>
      <c r="E414" s="63"/>
      <c r="F414" s="63"/>
      <c r="G414" s="27"/>
      <c r="H414" s="65"/>
      <c r="I414" s="65"/>
      <c r="J414" s="65"/>
      <c r="K414" s="65"/>
      <c r="L414" s="65"/>
      <c r="M414" s="65"/>
      <c r="N414" s="65"/>
      <c r="O414" s="65"/>
      <c r="P414" s="65"/>
      <c r="Q414" s="65"/>
    </row>
    <row r="415">
      <c r="A415" s="63"/>
      <c r="B415" s="63"/>
      <c r="C415" s="27"/>
      <c r="D415" s="63"/>
      <c r="E415" s="63"/>
      <c r="F415" s="63"/>
      <c r="G415" s="27"/>
      <c r="H415" s="65"/>
      <c r="I415" s="65"/>
      <c r="J415" s="65"/>
      <c r="K415" s="65"/>
      <c r="L415" s="65"/>
      <c r="M415" s="65"/>
      <c r="N415" s="65"/>
      <c r="O415" s="65"/>
      <c r="P415" s="65"/>
      <c r="Q415" s="65"/>
    </row>
    <row r="416">
      <c r="A416" s="63"/>
      <c r="B416" s="63"/>
      <c r="C416" s="27"/>
      <c r="D416" s="63"/>
      <c r="E416" s="63"/>
      <c r="F416" s="63"/>
      <c r="G416" s="27"/>
      <c r="H416" s="65"/>
      <c r="I416" s="65"/>
      <c r="J416" s="65"/>
      <c r="K416" s="65"/>
      <c r="L416" s="65"/>
      <c r="M416" s="65"/>
      <c r="N416" s="65"/>
      <c r="O416" s="65"/>
      <c r="P416" s="65"/>
      <c r="Q416" s="65"/>
    </row>
    <row r="417">
      <c r="A417" s="63"/>
      <c r="B417" s="63"/>
      <c r="C417" s="27"/>
      <c r="D417" s="63"/>
      <c r="E417" s="63"/>
      <c r="F417" s="63"/>
      <c r="G417" s="27"/>
      <c r="H417" s="65"/>
      <c r="I417" s="65"/>
      <c r="J417" s="65"/>
      <c r="K417" s="65"/>
      <c r="L417" s="65"/>
      <c r="M417" s="65"/>
      <c r="N417" s="65"/>
      <c r="O417" s="65"/>
      <c r="P417" s="65"/>
      <c r="Q417" s="65"/>
    </row>
    <row r="418">
      <c r="A418" s="63"/>
      <c r="B418" s="63"/>
      <c r="C418" s="27"/>
      <c r="D418" s="63"/>
      <c r="E418" s="63"/>
      <c r="F418" s="63"/>
      <c r="G418" s="27"/>
      <c r="H418" s="65"/>
      <c r="I418" s="65"/>
      <c r="J418" s="65"/>
      <c r="K418" s="65"/>
      <c r="L418" s="65"/>
      <c r="M418" s="65"/>
      <c r="N418" s="65"/>
      <c r="O418" s="65"/>
      <c r="P418" s="65"/>
      <c r="Q418" s="65"/>
    </row>
    <row r="419">
      <c r="A419" s="63"/>
      <c r="B419" s="63"/>
      <c r="C419" s="27"/>
      <c r="D419" s="63"/>
      <c r="E419" s="63"/>
      <c r="F419" s="63"/>
      <c r="G419" s="27"/>
      <c r="H419" s="65"/>
      <c r="I419" s="65"/>
      <c r="J419" s="65"/>
      <c r="K419" s="65"/>
      <c r="L419" s="65"/>
      <c r="M419" s="65"/>
      <c r="N419" s="65"/>
      <c r="O419" s="65"/>
      <c r="P419" s="65"/>
      <c r="Q419" s="65"/>
    </row>
    <row r="420">
      <c r="A420" s="63"/>
      <c r="B420" s="63"/>
      <c r="C420" s="27"/>
      <c r="D420" s="63"/>
      <c r="E420" s="63"/>
      <c r="F420" s="63"/>
      <c r="G420" s="27"/>
      <c r="H420" s="65"/>
      <c r="I420" s="65"/>
      <c r="J420" s="65"/>
      <c r="K420" s="65"/>
      <c r="L420" s="65"/>
      <c r="M420" s="65"/>
      <c r="N420" s="65"/>
      <c r="O420" s="65"/>
      <c r="P420" s="65"/>
      <c r="Q420" s="65"/>
    </row>
    <row r="421">
      <c r="A421" s="63"/>
      <c r="B421" s="63"/>
      <c r="C421" s="27"/>
      <c r="D421" s="63"/>
      <c r="E421" s="63"/>
      <c r="F421" s="63"/>
      <c r="G421" s="27"/>
      <c r="H421" s="65"/>
      <c r="I421" s="65"/>
      <c r="J421" s="65"/>
      <c r="K421" s="65"/>
      <c r="L421" s="65"/>
      <c r="M421" s="65"/>
      <c r="N421" s="65"/>
      <c r="O421" s="65"/>
      <c r="P421" s="65"/>
      <c r="Q421" s="65"/>
    </row>
    <row r="422">
      <c r="A422" s="63"/>
      <c r="B422" s="63"/>
      <c r="C422" s="27"/>
      <c r="D422" s="63"/>
      <c r="E422" s="63"/>
      <c r="F422" s="63"/>
      <c r="G422" s="27"/>
      <c r="H422" s="65"/>
      <c r="I422" s="65"/>
      <c r="J422" s="65"/>
      <c r="K422" s="65"/>
      <c r="L422" s="65"/>
      <c r="M422" s="65"/>
      <c r="N422" s="65"/>
      <c r="O422" s="65"/>
      <c r="P422" s="65"/>
      <c r="Q422" s="65"/>
    </row>
    <row r="423">
      <c r="A423" s="63"/>
      <c r="B423" s="63"/>
      <c r="C423" s="27"/>
      <c r="D423" s="63"/>
      <c r="E423" s="63"/>
      <c r="F423" s="63"/>
      <c r="G423" s="27"/>
      <c r="H423" s="65"/>
      <c r="I423" s="65"/>
      <c r="J423" s="65"/>
      <c r="K423" s="65"/>
      <c r="L423" s="65"/>
      <c r="M423" s="65"/>
      <c r="N423" s="65"/>
      <c r="O423" s="65"/>
      <c r="P423" s="65"/>
      <c r="Q423" s="65"/>
    </row>
    <row r="424">
      <c r="A424" s="63"/>
      <c r="B424" s="63"/>
      <c r="C424" s="27"/>
      <c r="D424" s="63"/>
      <c r="E424" s="63"/>
      <c r="F424" s="63"/>
      <c r="G424" s="27"/>
      <c r="H424" s="65"/>
      <c r="I424" s="65"/>
      <c r="J424" s="65"/>
      <c r="K424" s="65"/>
      <c r="L424" s="65"/>
      <c r="M424" s="65"/>
      <c r="N424" s="65"/>
      <c r="O424" s="65"/>
      <c r="P424" s="65"/>
      <c r="Q424" s="65"/>
    </row>
    <row r="425">
      <c r="A425" s="63"/>
      <c r="B425" s="63"/>
      <c r="C425" s="27"/>
      <c r="D425" s="63"/>
      <c r="E425" s="63"/>
      <c r="F425" s="63"/>
      <c r="G425" s="27"/>
      <c r="H425" s="65"/>
      <c r="I425" s="65"/>
      <c r="J425" s="65"/>
      <c r="K425" s="65"/>
      <c r="L425" s="65"/>
      <c r="M425" s="65"/>
      <c r="N425" s="65"/>
      <c r="O425" s="65"/>
      <c r="P425" s="65"/>
      <c r="Q425" s="65"/>
    </row>
    <row r="426">
      <c r="A426" s="63"/>
      <c r="B426" s="63"/>
      <c r="C426" s="27"/>
      <c r="D426" s="63"/>
      <c r="E426" s="63"/>
      <c r="F426" s="63"/>
      <c r="G426" s="27"/>
      <c r="H426" s="65"/>
      <c r="I426" s="65"/>
      <c r="J426" s="65"/>
      <c r="K426" s="65"/>
      <c r="L426" s="65"/>
      <c r="M426" s="65"/>
      <c r="N426" s="65"/>
      <c r="O426" s="65"/>
      <c r="P426" s="65"/>
      <c r="Q426" s="65"/>
    </row>
    <row r="427">
      <c r="A427" s="63"/>
      <c r="B427" s="63"/>
      <c r="C427" s="27"/>
      <c r="D427" s="63"/>
      <c r="E427" s="63"/>
      <c r="F427" s="63"/>
      <c r="G427" s="27"/>
      <c r="H427" s="65"/>
      <c r="I427" s="65"/>
      <c r="J427" s="65"/>
      <c r="K427" s="65"/>
      <c r="L427" s="65"/>
      <c r="M427" s="65"/>
      <c r="N427" s="65"/>
      <c r="O427" s="65"/>
      <c r="P427" s="65"/>
      <c r="Q427" s="65"/>
    </row>
    <row r="428">
      <c r="A428" s="63"/>
      <c r="B428" s="63"/>
      <c r="C428" s="27"/>
      <c r="D428" s="63"/>
      <c r="E428" s="63"/>
      <c r="F428" s="63"/>
      <c r="G428" s="27"/>
      <c r="H428" s="65"/>
      <c r="I428" s="65"/>
      <c r="J428" s="65"/>
      <c r="K428" s="65"/>
      <c r="L428" s="65"/>
      <c r="M428" s="65"/>
      <c r="N428" s="65"/>
      <c r="O428" s="65"/>
      <c r="P428" s="65"/>
      <c r="Q428" s="65"/>
    </row>
    <row r="429">
      <c r="A429" s="63"/>
      <c r="B429" s="63"/>
      <c r="C429" s="27"/>
      <c r="D429" s="63"/>
      <c r="E429" s="63"/>
      <c r="F429" s="63"/>
      <c r="G429" s="27"/>
      <c r="H429" s="65"/>
      <c r="I429" s="65"/>
      <c r="J429" s="65"/>
      <c r="K429" s="65"/>
      <c r="L429" s="65"/>
      <c r="M429" s="65"/>
      <c r="N429" s="65"/>
      <c r="O429" s="65"/>
      <c r="P429" s="65"/>
      <c r="Q429" s="65"/>
    </row>
    <row r="430">
      <c r="A430" s="63"/>
      <c r="B430" s="63"/>
      <c r="C430" s="27"/>
      <c r="D430" s="63"/>
      <c r="E430" s="63"/>
      <c r="F430" s="63"/>
      <c r="G430" s="27"/>
      <c r="H430" s="65"/>
      <c r="I430" s="65"/>
      <c r="J430" s="65"/>
      <c r="K430" s="65"/>
      <c r="L430" s="65"/>
      <c r="M430" s="65"/>
      <c r="N430" s="65"/>
      <c r="O430" s="65"/>
      <c r="P430" s="65"/>
      <c r="Q430" s="65"/>
    </row>
    <row r="431">
      <c r="A431" s="63"/>
      <c r="B431" s="63"/>
      <c r="C431" s="27"/>
      <c r="D431" s="63"/>
      <c r="E431" s="63"/>
      <c r="F431" s="63"/>
      <c r="G431" s="27"/>
      <c r="H431" s="65"/>
      <c r="I431" s="65"/>
      <c r="J431" s="65"/>
      <c r="K431" s="65"/>
      <c r="L431" s="65"/>
      <c r="M431" s="65"/>
      <c r="N431" s="65"/>
      <c r="O431" s="65"/>
      <c r="P431" s="65"/>
      <c r="Q431" s="65"/>
    </row>
    <row r="432">
      <c r="A432" s="63"/>
      <c r="B432" s="63"/>
      <c r="C432" s="27"/>
      <c r="D432" s="63"/>
      <c r="E432" s="63"/>
      <c r="F432" s="63"/>
      <c r="G432" s="27"/>
      <c r="H432" s="65"/>
      <c r="I432" s="65"/>
      <c r="J432" s="65"/>
      <c r="K432" s="65"/>
      <c r="L432" s="65"/>
      <c r="M432" s="65"/>
      <c r="N432" s="65"/>
      <c r="O432" s="65"/>
      <c r="P432" s="65"/>
      <c r="Q432" s="65"/>
    </row>
    <row r="433">
      <c r="A433" s="63"/>
      <c r="B433" s="63"/>
      <c r="C433" s="27"/>
      <c r="D433" s="63"/>
      <c r="E433" s="63"/>
      <c r="F433" s="63"/>
      <c r="G433" s="27"/>
      <c r="H433" s="65"/>
      <c r="I433" s="65"/>
      <c r="J433" s="65"/>
      <c r="K433" s="65"/>
      <c r="L433" s="65"/>
      <c r="M433" s="65"/>
      <c r="N433" s="65"/>
      <c r="O433" s="65"/>
      <c r="P433" s="65"/>
      <c r="Q433" s="65"/>
    </row>
    <row r="434">
      <c r="A434" s="63"/>
      <c r="B434" s="63"/>
      <c r="C434" s="27"/>
      <c r="D434" s="63"/>
      <c r="E434" s="63"/>
      <c r="F434" s="63"/>
      <c r="G434" s="27"/>
      <c r="H434" s="65"/>
      <c r="I434" s="65"/>
      <c r="J434" s="65"/>
      <c r="K434" s="65"/>
      <c r="L434" s="65"/>
      <c r="M434" s="65"/>
      <c r="N434" s="65"/>
      <c r="O434" s="65"/>
      <c r="P434" s="65"/>
      <c r="Q434" s="65"/>
    </row>
    <row r="435">
      <c r="A435" s="63"/>
      <c r="B435" s="63"/>
      <c r="C435" s="27"/>
      <c r="D435" s="63"/>
      <c r="E435" s="63"/>
      <c r="F435" s="63"/>
      <c r="G435" s="27"/>
      <c r="H435" s="65"/>
      <c r="I435" s="65"/>
      <c r="J435" s="65"/>
      <c r="K435" s="65"/>
      <c r="L435" s="65"/>
      <c r="M435" s="65"/>
      <c r="N435" s="65"/>
      <c r="O435" s="65"/>
      <c r="P435" s="65"/>
      <c r="Q435" s="65"/>
    </row>
    <row r="436">
      <c r="A436" s="63"/>
      <c r="B436" s="63"/>
      <c r="C436" s="27"/>
      <c r="D436" s="63"/>
      <c r="E436" s="63"/>
      <c r="F436" s="63"/>
      <c r="G436" s="27"/>
      <c r="H436" s="65"/>
      <c r="I436" s="65"/>
      <c r="J436" s="65"/>
      <c r="K436" s="65"/>
      <c r="L436" s="65"/>
      <c r="M436" s="65"/>
      <c r="N436" s="65"/>
      <c r="O436" s="65"/>
      <c r="P436" s="65"/>
      <c r="Q436" s="65"/>
    </row>
    <row r="437">
      <c r="A437" s="63"/>
      <c r="B437" s="63"/>
      <c r="C437" s="27"/>
      <c r="D437" s="63"/>
      <c r="E437" s="63"/>
      <c r="F437" s="63"/>
      <c r="G437" s="27"/>
      <c r="H437" s="65"/>
      <c r="I437" s="65"/>
      <c r="J437" s="65"/>
      <c r="K437" s="65"/>
      <c r="L437" s="65"/>
      <c r="M437" s="65"/>
      <c r="N437" s="65"/>
      <c r="O437" s="65"/>
      <c r="P437" s="65"/>
      <c r="Q437" s="65"/>
    </row>
    <row r="438">
      <c r="A438" s="63"/>
      <c r="B438" s="63"/>
      <c r="C438" s="27"/>
      <c r="D438" s="63"/>
      <c r="E438" s="63"/>
      <c r="F438" s="63"/>
      <c r="G438" s="27"/>
      <c r="H438" s="65"/>
      <c r="I438" s="65"/>
      <c r="J438" s="65"/>
      <c r="K438" s="65"/>
      <c r="L438" s="65"/>
      <c r="M438" s="65"/>
      <c r="N438" s="65"/>
      <c r="O438" s="65"/>
      <c r="P438" s="65"/>
      <c r="Q438" s="65"/>
    </row>
    <row r="439">
      <c r="A439" s="63"/>
      <c r="B439" s="63"/>
      <c r="C439" s="27"/>
      <c r="D439" s="63"/>
      <c r="E439" s="63"/>
      <c r="F439" s="63"/>
      <c r="G439" s="27"/>
      <c r="H439" s="65"/>
      <c r="I439" s="65"/>
      <c r="J439" s="65"/>
      <c r="K439" s="65"/>
      <c r="L439" s="65"/>
      <c r="M439" s="65"/>
      <c r="N439" s="65"/>
      <c r="O439" s="65"/>
      <c r="P439" s="65"/>
      <c r="Q439" s="65"/>
    </row>
    <row r="440">
      <c r="A440" s="63"/>
      <c r="B440" s="63"/>
      <c r="C440" s="27"/>
      <c r="D440" s="63"/>
      <c r="E440" s="63"/>
      <c r="F440" s="63"/>
      <c r="G440" s="27"/>
      <c r="H440" s="65"/>
      <c r="I440" s="65"/>
      <c r="J440" s="65"/>
      <c r="K440" s="65"/>
      <c r="L440" s="65"/>
      <c r="M440" s="65"/>
      <c r="N440" s="65"/>
      <c r="O440" s="65"/>
      <c r="P440" s="65"/>
      <c r="Q440" s="65"/>
    </row>
    <row r="441">
      <c r="A441" s="63"/>
      <c r="B441" s="63"/>
      <c r="C441" s="27"/>
      <c r="D441" s="63"/>
      <c r="E441" s="63"/>
      <c r="F441" s="63"/>
      <c r="G441" s="27"/>
      <c r="H441" s="65"/>
      <c r="I441" s="65"/>
      <c r="J441" s="65"/>
      <c r="K441" s="65"/>
      <c r="L441" s="65"/>
      <c r="M441" s="65"/>
      <c r="N441" s="65"/>
      <c r="O441" s="65"/>
      <c r="P441" s="65"/>
      <c r="Q441" s="65"/>
    </row>
    <row r="442">
      <c r="A442" s="63"/>
      <c r="B442" s="63"/>
      <c r="C442" s="27"/>
      <c r="D442" s="63"/>
      <c r="E442" s="63"/>
      <c r="F442" s="63"/>
      <c r="G442" s="27"/>
      <c r="H442" s="65"/>
      <c r="I442" s="65"/>
      <c r="J442" s="65"/>
      <c r="K442" s="65"/>
      <c r="L442" s="65"/>
      <c r="M442" s="65"/>
      <c r="N442" s="65"/>
      <c r="O442" s="65"/>
      <c r="P442" s="65"/>
      <c r="Q442" s="65"/>
    </row>
    <row r="443">
      <c r="A443" s="63"/>
      <c r="B443" s="63"/>
      <c r="C443" s="27"/>
      <c r="D443" s="63"/>
      <c r="E443" s="63"/>
      <c r="F443" s="63"/>
      <c r="G443" s="27"/>
      <c r="H443" s="65"/>
      <c r="I443" s="65"/>
      <c r="J443" s="65"/>
      <c r="K443" s="65"/>
      <c r="L443" s="65"/>
      <c r="M443" s="65"/>
      <c r="N443" s="65"/>
      <c r="O443" s="65"/>
      <c r="P443" s="65"/>
      <c r="Q443" s="65"/>
    </row>
    <row r="444">
      <c r="A444" s="63"/>
      <c r="B444" s="63"/>
      <c r="C444" s="27"/>
      <c r="D444" s="63"/>
      <c r="E444" s="63"/>
      <c r="F444" s="63"/>
      <c r="G444" s="27"/>
      <c r="H444" s="65"/>
      <c r="I444" s="65"/>
      <c r="J444" s="65"/>
      <c r="K444" s="65"/>
      <c r="L444" s="65"/>
      <c r="M444" s="65"/>
      <c r="N444" s="65"/>
      <c r="O444" s="65"/>
      <c r="P444" s="65"/>
      <c r="Q444" s="65"/>
    </row>
    <row r="445">
      <c r="A445" s="63"/>
      <c r="B445" s="63"/>
      <c r="C445" s="27"/>
      <c r="D445" s="63"/>
      <c r="E445" s="63"/>
      <c r="F445" s="63"/>
      <c r="G445" s="27"/>
      <c r="H445" s="65"/>
      <c r="I445" s="65"/>
      <c r="J445" s="65"/>
      <c r="K445" s="65"/>
      <c r="L445" s="65"/>
      <c r="M445" s="65"/>
      <c r="N445" s="65"/>
      <c r="O445" s="65"/>
      <c r="P445" s="65"/>
      <c r="Q445" s="65"/>
    </row>
    <row r="446">
      <c r="A446" s="63"/>
      <c r="B446" s="63"/>
      <c r="C446" s="27"/>
      <c r="D446" s="63"/>
      <c r="E446" s="63"/>
      <c r="F446" s="63"/>
      <c r="G446" s="27"/>
      <c r="H446" s="65"/>
      <c r="I446" s="65"/>
      <c r="J446" s="65"/>
      <c r="K446" s="65"/>
      <c r="L446" s="65"/>
      <c r="M446" s="65"/>
      <c r="N446" s="65"/>
      <c r="O446" s="65"/>
      <c r="P446" s="65"/>
      <c r="Q446" s="65"/>
    </row>
    <row r="447">
      <c r="A447" s="63"/>
      <c r="B447" s="63"/>
      <c r="C447" s="27"/>
      <c r="D447" s="63"/>
      <c r="E447" s="63"/>
      <c r="F447" s="63"/>
      <c r="G447" s="27"/>
      <c r="H447" s="65"/>
      <c r="I447" s="65"/>
      <c r="J447" s="65"/>
      <c r="K447" s="65"/>
      <c r="L447" s="65"/>
      <c r="M447" s="65"/>
      <c r="N447" s="65"/>
      <c r="O447" s="65"/>
      <c r="P447" s="65"/>
      <c r="Q447" s="65"/>
    </row>
    <row r="448">
      <c r="A448" s="63"/>
      <c r="B448" s="63"/>
      <c r="C448" s="27"/>
      <c r="D448" s="63"/>
      <c r="E448" s="63"/>
      <c r="F448" s="63"/>
      <c r="G448" s="27"/>
      <c r="H448" s="65"/>
      <c r="I448" s="65"/>
      <c r="J448" s="65"/>
      <c r="K448" s="65"/>
      <c r="L448" s="65"/>
      <c r="M448" s="65"/>
      <c r="N448" s="65"/>
      <c r="O448" s="65"/>
      <c r="P448" s="65"/>
      <c r="Q448" s="65"/>
    </row>
    <row r="449">
      <c r="A449" s="63"/>
      <c r="B449" s="63"/>
      <c r="C449" s="27"/>
      <c r="D449" s="63"/>
      <c r="E449" s="63"/>
      <c r="F449" s="63"/>
      <c r="G449" s="27"/>
      <c r="H449" s="65"/>
      <c r="I449" s="65"/>
      <c r="J449" s="65"/>
      <c r="K449" s="65"/>
      <c r="L449" s="65"/>
      <c r="M449" s="65"/>
      <c r="N449" s="65"/>
      <c r="O449" s="65"/>
      <c r="P449" s="65"/>
      <c r="Q449" s="65"/>
    </row>
    <row r="450">
      <c r="A450" s="63"/>
      <c r="B450" s="63"/>
      <c r="C450" s="27"/>
      <c r="D450" s="63"/>
      <c r="E450" s="63"/>
      <c r="F450" s="63"/>
      <c r="G450" s="27"/>
      <c r="H450" s="65"/>
      <c r="I450" s="65"/>
      <c r="J450" s="65"/>
      <c r="K450" s="65"/>
      <c r="L450" s="65"/>
      <c r="M450" s="65"/>
      <c r="N450" s="65"/>
      <c r="O450" s="65"/>
      <c r="P450" s="65"/>
      <c r="Q450" s="65"/>
    </row>
    <row r="451">
      <c r="A451" s="63"/>
      <c r="B451" s="63"/>
      <c r="C451" s="27"/>
      <c r="D451" s="63"/>
      <c r="E451" s="63"/>
      <c r="F451" s="63"/>
      <c r="G451" s="27"/>
      <c r="H451" s="65"/>
      <c r="I451" s="65"/>
      <c r="J451" s="65"/>
      <c r="K451" s="65"/>
      <c r="L451" s="65"/>
      <c r="M451" s="65"/>
      <c r="N451" s="65"/>
      <c r="O451" s="65"/>
      <c r="P451" s="65"/>
      <c r="Q451" s="65"/>
    </row>
    <row r="452">
      <c r="A452" s="63"/>
      <c r="B452" s="63"/>
      <c r="C452" s="27"/>
      <c r="D452" s="63"/>
      <c r="E452" s="63"/>
      <c r="F452" s="63"/>
      <c r="G452" s="27"/>
      <c r="H452" s="65"/>
      <c r="I452" s="65"/>
      <c r="J452" s="65"/>
      <c r="K452" s="65"/>
      <c r="L452" s="65"/>
      <c r="M452" s="65"/>
      <c r="N452" s="65"/>
      <c r="O452" s="65"/>
      <c r="P452" s="65"/>
      <c r="Q452" s="65"/>
    </row>
    <row r="453">
      <c r="A453" s="63"/>
      <c r="B453" s="63"/>
      <c r="C453" s="27"/>
      <c r="D453" s="63"/>
      <c r="E453" s="63"/>
      <c r="F453" s="63"/>
      <c r="G453" s="27"/>
      <c r="H453" s="65"/>
      <c r="I453" s="65"/>
      <c r="J453" s="65"/>
      <c r="K453" s="65"/>
      <c r="L453" s="65"/>
      <c r="M453" s="65"/>
      <c r="N453" s="65"/>
      <c r="O453" s="65"/>
      <c r="P453" s="65"/>
      <c r="Q453" s="65"/>
    </row>
    <row r="454">
      <c r="A454" s="63"/>
      <c r="B454" s="63"/>
      <c r="C454" s="27"/>
      <c r="D454" s="63"/>
      <c r="E454" s="63"/>
      <c r="F454" s="63"/>
      <c r="G454" s="27"/>
      <c r="H454" s="65"/>
      <c r="I454" s="65"/>
      <c r="J454" s="65"/>
      <c r="K454" s="65"/>
      <c r="L454" s="65"/>
      <c r="M454" s="65"/>
      <c r="N454" s="65"/>
      <c r="O454" s="65"/>
      <c r="P454" s="65"/>
      <c r="Q454" s="65"/>
    </row>
    <row r="455">
      <c r="A455" s="63"/>
      <c r="B455" s="63"/>
      <c r="C455" s="27"/>
      <c r="D455" s="63"/>
      <c r="E455" s="63"/>
      <c r="F455" s="63"/>
      <c r="G455" s="27"/>
      <c r="H455" s="65"/>
      <c r="I455" s="65"/>
      <c r="J455" s="65"/>
      <c r="K455" s="65"/>
      <c r="L455" s="65"/>
      <c r="M455" s="65"/>
      <c r="N455" s="65"/>
      <c r="O455" s="65"/>
      <c r="P455" s="65"/>
      <c r="Q455" s="65"/>
    </row>
    <row r="456">
      <c r="A456" s="63"/>
      <c r="B456" s="63"/>
      <c r="C456" s="27"/>
      <c r="D456" s="63"/>
      <c r="E456" s="63"/>
      <c r="F456" s="63"/>
      <c r="G456" s="27"/>
      <c r="H456" s="65"/>
      <c r="I456" s="65"/>
      <c r="J456" s="65"/>
      <c r="K456" s="65"/>
      <c r="L456" s="65"/>
      <c r="M456" s="65"/>
      <c r="N456" s="65"/>
      <c r="O456" s="65"/>
      <c r="P456" s="65"/>
      <c r="Q456" s="65"/>
    </row>
    <row r="457">
      <c r="A457" s="63"/>
      <c r="B457" s="63"/>
      <c r="C457" s="27"/>
      <c r="D457" s="63"/>
      <c r="E457" s="63"/>
      <c r="F457" s="63"/>
      <c r="G457" s="27"/>
      <c r="H457" s="65"/>
      <c r="I457" s="65"/>
      <c r="J457" s="65"/>
      <c r="K457" s="65"/>
      <c r="L457" s="65"/>
      <c r="M457" s="65"/>
      <c r="N457" s="65"/>
      <c r="O457" s="65"/>
      <c r="P457" s="65"/>
      <c r="Q457" s="65"/>
    </row>
    <row r="458">
      <c r="A458" s="63"/>
      <c r="B458" s="63"/>
      <c r="C458" s="27"/>
      <c r="D458" s="63"/>
      <c r="E458" s="63"/>
      <c r="F458" s="63"/>
      <c r="G458" s="27"/>
      <c r="H458" s="65"/>
      <c r="I458" s="65"/>
      <c r="J458" s="65"/>
      <c r="K458" s="65"/>
      <c r="L458" s="65"/>
      <c r="M458" s="65"/>
      <c r="N458" s="65"/>
      <c r="O458" s="65"/>
      <c r="P458" s="65"/>
      <c r="Q458" s="65"/>
    </row>
    <row r="459">
      <c r="A459" s="63"/>
      <c r="B459" s="63"/>
      <c r="C459" s="27"/>
      <c r="D459" s="63"/>
      <c r="E459" s="63"/>
      <c r="F459" s="63"/>
      <c r="G459" s="27"/>
      <c r="H459" s="65"/>
      <c r="I459" s="65"/>
      <c r="J459" s="65"/>
      <c r="K459" s="65"/>
      <c r="L459" s="65"/>
      <c r="M459" s="65"/>
      <c r="N459" s="65"/>
      <c r="O459" s="65"/>
      <c r="P459" s="65"/>
      <c r="Q459" s="65"/>
    </row>
    <row r="460">
      <c r="A460" s="63"/>
      <c r="B460" s="63"/>
      <c r="C460" s="27"/>
      <c r="D460" s="63"/>
      <c r="E460" s="63"/>
      <c r="F460" s="63"/>
      <c r="G460" s="27"/>
      <c r="H460" s="65"/>
      <c r="I460" s="65"/>
      <c r="J460" s="65"/>
      <c r="K460" s="65"/>
      <c r="L460" s="65"/>
      <c r="M460" s="65"/>
      <c r="N460" s="65"/>
      <c r="O460" s="65"/>
      <c r="P460" s="65"/>
      <c r="Q460" s="65"/>
    </row>
    <row r="461">
      <c r="A461" s="63"/>
      <c r="B461" s="63"/>
      <c r="C461" s="27"/>
      <c r="D461" s="63"/>
      <c r="E461" s="63"/>
      <c r="F461" s="63"/>
      <c r="G461" s="27"/>
      <c r="H461" s="65"/>
      <c r="I461" s="65"/>
      <c r="J461" s="65"/>
      <c r="K461" s="65"/>
      <c r="L461" s="65"/>
      <c r="M461" s="65"/>
      <c r="N461" s="65"/>
      <c r="O461" s="65"/>
      <c r="P461" s="65"/>
      <c r="Q461" s="65"/>
    </row>
    <row r="462">
      <c r="A462" s="63"/>
      <c r="B462" s="63"/>
      <c r="C462" s="27"/>
      <c r="D462" s="63"/>
      <c r="E462" s="63"/>
      <c r="F462" s="63"/>
      <c r="G462" s="27"/>
      <c r="H462" s="65"/>
      <c r="I462" s="65"/>
      <c r="J462" s="65"/>
      <c r="K462" s="65"/>
      <c r="L462" s="65"/>
      <c r="M462" s="65"/>
      <c r="N462" s="65"/>
      <c r="O462" s="65"/>
      <c r="P462" s="65"/>
      <c r="Q462" s="65"/>
    </row>
    <row r="463">
      <c r="A463" s="63"/>
      <c r="B463" s="63"/>
      <c r="C463" s="27"/>
      <c r="D463" s="63"/>
      <c r="E463" s="63"/>
      <c r="F463" s="63"/>
      <c r="G463" s="27"/>
      <c r="H463" s="65"/>
      <c r="I463" s="65"/>
      <c r="J463" s="65"/>
      <c r="K463" s="65"/>
      <c r="L463" s="65"/>
      <c r="M463" s="65"/>
      <c r="N463" s="65"/>
      <c r="O463" s="65"/>
      <c r="P463" s="65"/>
      <c r="Q463" s="65"/>
    </row>
    <row r="464">
      <c r="A464" s="63"/>
      <c r="B464" s="63"/>
      <c r="C464" s="27"/>
      <c r="D464" s="63"/>
      <c r="E464" s="63"/>
      <c r="F464" s="63"/>
      <c r="G464" s="27"/>
      <c r="H464" s="65"/>
      <c r="I464" s="65"/>
      <c r="J464" s="65"/>
      <c r="K464" s="65"/>
      <c r="L464" s="65"/>
      <c r="M464" s="65"/>
      <c r="N464" s="65"/>
      <c r="O464" s="65"/>
      <c r="P464" s="65"/>
      <c r="Q464" s="65"/>
    </row>
    <row r="465">
      <c r="A465" s="63"/>
      <c r="B465" s="63"/>
      <c r="C465" s="27"/>
      <c r="D465" s="63"/>
      <c r="E465" s="63"/>
      <c r="F465" s="63"/>
      <c r="G465" s="27"/>
      <c r="H465" s="65"/>
      <c r="I465" s="65"/>
      <c r="J465" s="65"/>
      <c r="K465" s="65"/>
      <c r="L465" s="65"/>
      <c r="M465" s="65"/>
      <c r="N465" s="65"/>
      <c r="O465" s="65"/>
      <c r="P465" s="65"/>
      <c r="Q465" s="65"/>
    </row>
    <row r="466">
      <c r="A466" s="63"/>
      <c r="B466" s="63"/>
      <c r="C466" s="27"/>
      <c r="D466" s="63"/>
      <c r="E466" s="63"/>
      <c r="F466" s="63"/>
      <c r="G466" s="27"/>
      <c r="H466" s="65"/>
      <c r="I466" s="65"/>
      <c r="J466" s="65"/>
      <c r="K466" s="65"/>
      <c r="L466" s="65"/>
      <c r="M466" s="65"/>
      <c r="N466" s="65"/>
      <c r="O466" s="65"/>
      <c r="P466" s="65"/>
      <c r="Q466" s="65"/>
    </row>
    <row r="467">
      <c r="A467" s="63"/>
      <c r="B467" s="63"/>
      <c r="C467" s="27"/>
      <c r="D467" s="63"/>
      <c r="E467" s="63"/>
      <c r="F467" s="63"/>
      <c r="G467" s="27"/>
      <c r="H467" s="65"/>
      <c r="I467" s="65"/>
      <c r="J467" s="65"/>
      <c r="K467" s="65"/>
      <c r="L467" s="65"/>
      <c r="M467" s="65"/>
      <c r="N467" s="65"/>
      <c r="O467" s="65"/>
      <c r="P467" s="65"/>
      <c r="Q467" s="65"/>
    </row>
    <row r="468">
      <c r="A468" s="63"/>
      <c r="B468" s="63"/>
      <c r="C468" s="27"/>
      <c r="D468" s="63"/>
      <c r="E468" s="63"/>
      <c r="F468" s="63"/>
      <c r="G468" s="27"/>
      <c r="H468" s="65"/>
      <c r="I468" s="65"/>
      <c r="J468" s="65"/>
      <c r="K468" s="65"/>
      <c r="L468" s="65"/>
      <c r="M468" s="65"/>
      <c r="N468" s="65"/>
      <c r="O468" s="65"/>
      <c r="P468" s="65"/>
      <c r="Q468" s="65"/>
    </row>
    <row r="469">
      <c r="A469" s="63"/>
      <c r="B469" s="63"/>
      <c r="C469" s="27"/>
      <c r="D469" s="63"/>
      <c r="E469" s="63"/>
      <c r="F469" s="63"/>
      <c r="G469" s="27"/>
      <c r="H469" s="65"/>
      <c r="I469" s="65"/>
      <c r="J469" s="65"/>
      <c r="K469" s="65"/>
      <c r="L469" s="65"/>
      <c r="M469" s="65"/>
      <c r="N469" s="65"/>
      <c r="O469" s="65"/>
      <c r="P469" s="65"/>
      <c r="Q469" s="65"/>
    </row>
    <row r="470">
      <c r="A470" s="63"/>
      <c r="B470" s="63"/>
      <c r="C470" s="27"/>
      <c r="D470" s="63"/>
      <c r="E470" s="63"/>
      <c r="F470" s="63"/>
      <c r="G470" s="27"/>
      <c r="H470" s="65"/>
      <c r="I470" s="65"/>
      <c r="J470" s="65"/>
      <c r="K470" s="65"/>
      <c r="L470" s="65"/>
      <c r="M470" s="65"/>
      <c r="N470" s="65"/>
      <c r="O470" s="65"/>
      <c r="P470" s="65"/>
      <c r="Q470" s="65"/>
    </row>
    <row r="471">
      <c r="A471" s="63"/>
      <c r="B471" s="63"/>
      <c r="C471" s="27"/>
      <c r="D471" s="63"/>
      <c r="E471" s="63"/>
      <c r="F471" s="63"/>
      <c r="G471" s="27"/>
      <c r="H471" s="65"/>
      <c r="I471" s="65"/>
      <c r="J471" s="65"/>
      <c r="K471" s="65"/>
      <c r="L471" s="65"/>
      <c r="M471" s="65"/>
      <c r="N471" s="65"/>
      <c r="O471" s="65"/>
      <c r="P471" s="65"/>
      <c r="Q471" s="65"/>
    </row>
    <row r="472">
      <c r="A472" s="63"/>
      <c r="B472" s="63"/>
      <c r="C472" s="27"/>
      <c r="D472" s="63"/>
      <c r="E472" s="63"/>
      <c r="F472" s="63"/>
      <c r="G472" s="27"/>
      <c r="H472" s="65"/>
      <c r="I472" s="65"/>
      <c r="J472" s="65"/>
      <c r="K472" s="65"/>
      <c r="L472" s="65"/>
      <c r="M472" s="65"/>
      <c r="N472" s="65"/>
      <c r="O472" s="65"/>
      <c r="P472" s="65"/>
      <c r="Q472" s="65"/>
    </row>
    <row r="473">
      <c r="A473" s="63"/>
      <c r="B473" s="63"/>
      <c r="C473" s="27"/>
      <c r="D473" s="63"/>
      <c r="E473" s="63"/>
      <c r="F473" s="63"/>
      <c r="G473" s="27"/>
      <c r="H473" s="65"/>
      <c r="I473" s="65"/>
      <c r="J473" s="65"/>
      <c r="K473" s="65"/>
      <c r="L473" s="65"/>
      <c r="M473" s="65"/>
      <c r="N473" s="65"/>
      <c r="O473" s="65"/>
      <c r="P473" s="65"/>
      <c r="Q473" s="65"/>
    </row>
    <row r="474">
      <c r="A474" s="63"/>
      <c r="B474" s="63"/>
      <c r="C474" s="27"/>
      <c r="D474" s="63"/>
      <c r="E474" s="63"/>
      <c r="F474" s="63"/>
      <c r="G474" s="27"/>
      <c r="H474" s="65"/>
      <c r="I474" s="65"/>
      <c r="J474" s="65"/>
      <c r="K474" s="65"/>
      <c r="L474" s="65"/>
      <c r="M474" s="65"/>
      <c r="N474" s="65"/>
      <c r="O474" s="65"/>
      <c r="P474" s="65"/>
      <c r="Q474" s="65"/>
    </row>
    <row r="475">
      <c r="A475" s="63"/>
      <c r="B475" s="63"/>
      <c r="C475" s="27"/>
      <c r="D475" s="63"/>
      <c r="E475" s="63"/>
      <c r="F475" s="63"/>
      <c r="G475" s="27"/>
      <c r="H475" s="65"/>
      <c r="I475" s="65"/>
      <c r="J475" s="65"/>
      <c r="K475" s="65"/>
      <c r="L475" s="65"/>
      <c r="M475" s="65"/>
      <c r="N475" s="65"/>
      <c r="O475" s="65"/>
      <c r="P475" s="65"/>
      <c r="Q475" s="65"/>
    </row>
    <row r="476">
      <c r="A476" s="63"/>
      <c r="B476" s="63"/>
      <c r="C476" s="27"/>
      <c r="D476" s="63"/>
      <c r="E476" s="63"/>
      <c r="F476" s="63"/>
      <c r="G476" s="27"/>
      <c r="H476" s="65"/>
      <c r="I476" s="65"/>
      <c r="J476" s="65"/>
      <c r="K476" s="65"/>
      <c r="L476" s="65"/>
      <c r="M476" s="65"/>
      <c r="N476" s="65"/>
      <c r="O476" s="65"/>
      <c r="P476" s="65"/>
      <c r="Q476" s="65"/>
    </row>
    <row r="477">
      <c r="A477" s="63"/>
      <c r="B477" s="63"/>
      <c r="C477" s="27"/>
      <c r="D477" s="63"/>
      <c r="E477" s="63"/>
      <c r="F477" s="63"/>
      <c r="G477" s="27"/>
      <c r="H477" s="65"/>
      <c r="I477" s="65"/>
      <c r="J477" s="65"/>
      <c r="K477" s="65"/>
      <c r="L477" s="65"/>
      <c r="M477" s="65"/>
      <c r="N477" s="65"/>
      <c r="O477" s="65"/>
      <c r="P477" s="65"/>
      <c r="Q477" s="65"/>
    </row>
    <row r="478">
      <c r="A478" s="63"/>
      <c r="B478" s="63"/>
      <c r="C478" s="27"/>
      <c r="D478" s="63"/>
      <c r="E478" s="63"/>
      <c r="F478" s="63"/>
      <c r="G478" s="27"/>
      <c r="H478" s="65"/>
      <c r="I478" s="65"/>
      <c r="J478" s="65"/>
      <c r="K478" s="65"/>
      <c r="L478" s="65"/>
      <c r="M478" s="65"/>
      <c r="N478" s="65"/>
      <c r="O478" s="65"/>
      <c r="P478" s="65"/>
      <c r="Q478" s="65"/>
    </row>
    <row r="479">
      <c r="A479" s="63"/>
      <c r="B479" s="63"/>
      <c r="C479" s="27"/>
      <c r="D479" s="63"/>
      <c r="E479" s="63"/>
      <c r="F479" s="63"/>
      <c r="G479" s="27"/>
      <c r="H479" s="65"/>
      <c r="I479" s="65"/>
      <c r="J479" s="65"/>
      <c r="K479" s="65"/>
      <c r="L479" s="65"/>
      <c r="M479" s="65"/>
      <c r="N479" s="65"/>
      <c r="O479" s="65"/>
      <c r="P479" s="65"/>
      <c r="Q479" s="65"/>
    </row>
    <row r="480">
      <c r="A480" s="63"/>
      <c r="B480" s="63"/>
      <c r="C480" s="27"/>
      <c r="D480" s="63"/>
      <c r="E480" s="63"/>
      <c r="F480" s="63"/>
      <c r="G480" s="27"/>
      <c r="H480" s="65"/>
      <c r="I480" s="65"/>
      <c r="J480" s="65"/>
      <c r="K480" s="65"/>
      <c r="L480" s="65"/>
      <c r="M480" s="65"/>
      <c r="N480" s="65"/>
      <c r="O480" s="65"/>
      <c r="P480" s="65"/>
      <c r="Q480" s="65"/>
    </row>
    <row r="481">
      <c r="A481" s="63"/>
      <c r="B481" s="63"/>
      <c r="C481" s="27"/>
      <c r="D481" s="63"/>
      <c r="E481" s="63"/>
      <c r="F481" s="63"/>
      <c r="G481" s="27"/>
      <c r="H481" s="65"/>
      <c r="I481" s="65"/>
      <c r="J481" s="65"/>
      <c r="K481" s="65"/>
      <c r="L481" s="65"/>
      <c r="M481" s="65"/>
      <c r="N481" s="65"/>
      <c r="O481" s="65"/>
      <c r="P481" s="65"/>
      <c r="Q481" s="65"/>
    </row>
    <row r="482">
      <c r="A482" s="63"/>
      <c r="B482" s="63"/>
      <c r="C482" s="27"/>
      <c r="D482" s="63"/>
      <c r="E482" s="63"/>
      <c r="F482" s="63"/>
      <c r="G482" s="27"/>
      <c r="H482" s="65"/>
      <c r="I482" s="65"/>
      <c r="J482" s="65"/>
      <c r="K482" s="65"/>
      <c r="L482" s="65"/>
      <c r="M482" s="65"/>
      <c r="N482" s="65"/>
      <c r="O482" s="65"/>
      <c r="P482" s="65"/>
      <c r="Q482" s="65"/>
    </row>
    <row r="483">
      <c r="A483" s="63"/>
      <c r="B483" s="63"/>
      <c r="C483" s="27"/>
      <c r="D483" s="63"/>
      <c r="E483" s="63"/>
      <c r="F483" s="63"/>
      <c r="G483" s="27"/>
      <c r="H483" s="65"/>
      <c r="I483" s="65"/>
      <c r="J483" s="65"/>
      <c r="K483" s="65"/>
      <c r="L483" s="65"/>
      <c r="M483" s="65"/>
      <c r="N483" s="65"/>
      <c r="O483" s="65"/>
      <c r="P483" s="65"/>
      <c r="Q483" s="65"/>
    </row>
    <row r="484">
      <c r="A484" s="63"/>
      <c r="B484" s="63"/>
      <c r="C484" s="27"/>
      <c r="D484" s="63"/>
      <c r="E484" s="63"/>
      <c r="F484" s="63"/>
      <c r="G484" s="27"/>
      <c r="H484" s="65"/>
      <c r="I484" s="65"/>
      <c r="J484" s="65"/>
      <c r="K484" s="65"/>
      <c r="L484" s="65"/>
      <c r="M484" s="65"/>
      <c r="N484" s="65"/>
      <c r="O484" s="65"/>
      <c r="P484" s="65"/>
      <c r="Q484" s="65"/>
    </row>
    <row r="485">
      <c r="A485" s="63"/>
      <c r="B485" s="63"/>
      <c r="C485" s="27"/>
      <c r="D485" s="63"/>
      <c r="E485" s="63"/>
      <c r="F485" s="63"/>
      <c r="G485" s="27"/>
      <c r="H485" s="65"/>
      <c r="I485" s="65"/>
      <c r="J485" s="65"/>
      <c r="K485" s="65"/>
      <c r="L485" s="65"/>
      <c r="M485" s="65"/>
      <c r="N485" s="65"/>
      <c r="O485" s="65"/>
      <c r="P485" s="65"/>
      <c r="Q485" s="65"/>
    </row>
    <row r="486">
      <c r="A486" s="63"/>
      <c r="B486" s="63"/>
      <c r="C486" s="27"/>
      <c r="D486" s="63"/>
      <c r="E486" s="63"/>
      <c r="F486" s="63"/>
      <c r="G486" s="27"/>
      <c r="H486" s="65"/>
      <c r="I486" s="65"/>
      <c r="J486" s="65"/>
      <c r="K486" s="65"/>
      <c r="L486" s="65"/>
      <c r="M486" s="65"/>
      <c r="N486" s="65"/>
      <c r="O486" s="65"/>
      <c r="P486" s="65"/>
      <c r="Q486" s="65"/>
    </row>
    <row r="487">
      <c r="A487" s="63"/>
      <c r="B487" s="63"/>
      <c r="C487" s="27"/>
      <c r="D487" s="63"/>
      <c r="E487" s="63"/>
      <c r="F487" s="63"/>
      <c r="G487" s="27"/>
      <c r="H487" s="65"/>
      <c r="I487" s="65"/>
      <c r="J487" s="65"/>
      <c r="K487" s="65"/>
      <c r="L487" s="65"/>
      <c r="M487" s="65"/>
      <c r="N487" s="65"/>
      <c r="O487" s="65"/>
      <c r="P487" s="65"/>
      <c r="Q487" s="65"/>
    </row>
    <row r="488">
      <c r="A488" s="63"/>
      <c r="B488" s="63"/>
      <c r="C488" s="27"/>
      <c r="D488" s="63"/>
      <c r="E488" s="63"/>
      <c r="F488" s="63"/>
      <c r="G488" s="27"/>
      <c r="H488" s="65"/>
      <c r="I488" s="65"/>
      <c r="J488" s="65"/>
      <c r="K488" s="65"/>
      <c r="L488" s="65"/>
      <c r="M488" s="65"/>
      <c r="N488" s="65"/>
      <c r="O488" s="65"/>
      <c r="P488" s="65"/>
      <c r="Q488" s="65"/>
    </row>
    <row r="489">
      <c r="A489" s="63"/>
      <c r="B489" s="63"/>
      <c r="C489" s="27"/>
      <c r="D489" s="63"/>
      <c r="E489" s="63"/>
      <c r="F489" s="63"/>
      <c r="G489" s="27"/>
      <c r="H489" s="65"/>
      <c r="I489" s="65"/>
      <c r="J489" s="65"/>
      <c r="K489" s="65"/>
      <c r="L489" s="65"/>
      <c r="M489" s="65"/>
      <c r="N489" s="65"/>
      <c r="O489" s="65"/>
      <c r="P489" s="65"/>
      <c r="Q489" s="65"/>
    </row>
    <row r="490">
      <c r="A490" s="63"/>
      <c r="B490" s="63"/>
      <c r="C490" s="27"/>
      <c r="D490" s="63"/>
      <c r="E490" s="63"/>
      <c r="F490" s="63"/>
      <c r="G490" s="27"/>
      <c r="H490" s="65"/>
      <c r="I490" s="65"/>
      <c r="J490" s="65"/>
      <c r="K490" s="65"/>
      <c r="L490" s="65"/>
      <c r="M490" s="65"/>
      <c r="N490" s="65"/>
      <c r="O490" s="65"/>
      <c r="P490" s="65"/>
      <c r="Q490" s="65"/>
    </row>
    <row r="491">
      <c r="A491" s="63"/>
      <c r="B491" s="63"/>
      <c r="C491" s="27"/>
      <c r="D491" s="63"/>
      <c r="E491" s="63"/>
      <c r="F491" s="63"/>
      <c r="G491" s="27"/>
      <c r="H491" s="65"/>
      <c r="I491" s="65"/>
      <c r="J491" s="65"/>
      <c r="K491" s="65"/>
      <c r="L491" s="65"/>
      <c r="M491" s="65"/>
      <c r="N491" s="65"/>
      <c r="O491" s="65"/>
      <c r="P491" s="65"/>
      <c r="Q491" s="65"/>
    </row>
    <row r="492">
      <c r="A492" s="63"/>
      <c r="B492" s="63"/>
      <c r="C492" s="27"/>
      <c r="D492" s="63"/>
      <c r="E492" s="63"/>
      <c r="F492" s="63"/>
      <c r="G492" s="27"/>
      <c r="H492" s="65"/>
      <c r="I492" s="65"/>
      <c r="J492" s="65"/>
      <c r="K492" s="65"/>
      <c r="L492" s="65"/>
      <c r="M492" s="65"/>
      <c r="N492" s="65"/>
      <c r="O492" s="65"/>
      <c r="P492" s="65"/>
      <c r="Q492" s="65"/>
    </row>
    <row r="493">
      <c r="A493" s="63"/>
      <c r="B493" s="63"/>
      <c r="C493" s="27"/>
      <c r="D493" s="63"/>
      <c r="E493" s="63"/>
      <c r="F493" s="63"/>
      <c r="G493" s="27"/>
      <c r="H493" s="65"/>
      <c r="I493" s="65"/>
      <c r="J493" s="65"/>
      <c r="K493" s="65"/>
      <c r="L493" s="65"/>
      <c r="M493" s="65"/>
      <c r="N493" s="65"/>
      <c r="O493" s="65"/>
      <c r="P493" s="65"/>
      <c r="Q493" s="65"/>
    </row>
    <row r="494">
      <c r="A494" s="63"/>
      <c r="B494" s="63"/>
      <c r="C494" s="27"/>
      <c r="D494" s="63"/>
      <c r="E494" s="63"/>
      <c r="F494" s="63"/>
      <c r="G494" s="27"/>
      <c r="H494" s="65"/>
      <c r="I494" s="65"/>
      <c r="J494" s="65"/>
      <c r="K494" s="65"/>
      <c r="L494" s="65"/>
      <c r="M494" s="65"/>
      <c r="N494" s="65"/>
      <c r="O494" s="65"/>
      <c r="P494" s="65"/>
      <c r="Q494" s="65"/>
    </row>
    <row r="495">
      <c r="A495" s="63"/>
      <c r="B495" s="63"/>
      <c r="C495" s="27"/>
      <c r="D495" s="63"/>
      <c r="E495" s="63"/>
      <c r="F495" s="63"/>
      <c r="G495" s="27"/>
      <c r="H495" s="65"/>
      <c r="I495" s="65"/>
      <c r="J495" s="65"/>
      <c r="K495" s="65"/>
      <c r="L495" s="65"/>
      <c r="M495" s="65"/>
      <c r="N495" s="65"/>
      <c r="O495" s="65"/>
      <c r="P495" s="65"/>
      <c r="Q495" s="65"/>
    </row>
    <row r="496">
      <c r="A496" s="63"/>
      <c r="B496" s="63"/>
      <c r="C496" s="27"/>
      <c r="D496" s="63"/>
      <c r="E496" s="63"/>
      <c r="F496" s="63"/>
      <c r="G496" s="27"/>
      <c r="H496" s="65"/>
      <c r="I496" s="65"/>
      <c r="J496" s="65"/>
      <c r="K496" s="65"/>
      <c r="L496" s="65"/>
      <c r="M496" s="65"/>
      <c r="N496" s="65"/>
      <c r="O496" s="65"/>
      <c r="P496" s="65"/>
      <c r="Q496" s="65"/>
    </row>
    <row r="497">
      <c r="A497" s="63"/>
      <c r="B497" s="63"/>
      <c r="C497" s="27"/>
      <c r="D497" s="63"/>
      <c r="E497" s="63"/>
      <c r="F497" s="63"/>
      <c r="G497" s="27"/>
      <c r="H497" s="65"/>
      <c r="I497" s="65"/>
      <c r="J497" s="65"/>
      <c r="K497" s="65"/>
      <c r="L497" s="65"/>
      <c r="M497" s="65"/>
      <c r="N497" s="65"/>
      <c r="O497" s="65"/>
      <c r="P497" s="65"/>
      <c r="Q497" s="65"/>
    </row>
    <row r="498">
      <c r="A498" s="63"/>
      <c r="B498" s="63"/>
      <c r="C498" s="27"/>
      <c r="D498" s="63"/>
      <c r="E498" s="63"/>
      <c r="F498" s="63"/>
      <c r="G498" s="27"/>
      <c r="H498" s="65"/>
      <c r="I498" s="65"/>
      <c r="J498" s="65"/>
      <c r="K498" s="65"/>
      <c r="L498" s="65"/>
      <c r="M498" s="65"/>
      <c r="N498" s="65"/>
      <c r="O498" s="65"/>
      <c r="P498" s="65"/>
      <c r="Q498" s="65"/>
    </row>
    <row r="499">
      <c r="A499" s="63"/>
      <c r="B499" s="63"/>
      <c r="C499" s="27"/>
      <c r="D499" s="63"/>
      <c r="E499" s="63"/>
      <c r="F499" s="63"/>
      <c r="G499" s="27"/>
      <c r="H499" s="65"/>
      <c r="I499" s="65"/>
      <c r="J499" s="65"/>
      <c r="K499" s="65"/>
      <c r="L499" s="65"/>
      <c r="M499" s="65"/>
      <c r="N499" s="65"/>
      <c r="O499" s="65"/>
      <c r="P499" s="65"/>
      <c r="Q499" s="65"/>
    </row>
    <row r="500">
      <c r="A500" s="63"/>
      <c r="B500" s="63"/>
      <c r="C500" s="27"/>
      <c r="D500" s="63"/>
      <c r="E500" s="63"/>
      <c r="F500" s="63"/>
      <c r="G500" s="27"/>
      <c r="H500" s="65"/>
      <c r="I500" s="65"/>
      <c r="J500" s="65"/>
      <c r="K500" s="65"/>
      <c r="L500" s="65"/>
      <c r="M500" s="65"/>
      <c r="N500" s="65"/>
      <c r="O500" s="65"/>
      <c r="P500" s="65"/>
      <c r="Q500" s="65"/>
    </row>
    <row r="501">
      <c r="A501" s="63"/>
      <c r="B501" s="63"/>
      <c r="C501" s="27"/>
      <c r="D501" s="63"/>
      <c r="E501" s="63"/>
      <c r="F501" s="63"/>
      <c r="G501" s="27"/>
      <c r="H501" s="65"/>
      <c r="I501" s="65"/>
      <c r="J501" s="65"/>
      <c r="K501" s="65"/>
      <c r="L501" s="65"/>
      <c r="M501" s="65"/>
      <c r="N501" s="65"/>
      <c r="O501" s="65"/>
      <c r="P501" s="65"/>
      <c r="Q501" s="65"/>
    </row>
    <row r="502">
      <c r="A502" s="63"/>
      <c r="B502" s="63"/>
      <c r="C502" s="27"/>
      <c r="D502" s="63"/>
      <c r="E502" s="63"/>
      <c r="F502" s="63"/>
      <c r="G502" s="27"/>
      <c r="H502" s="65"/>
      <c r="I502" s="65"/>
      <c r="J502" s="65"/>
      <c r="K502" s="65"/>
      <c r="L502" s="65"/>
      <c r="M502" s="65"/>
      <c r="N502" s="65"/>
      <c r="O502" s="65"/>
      <c r="P502" s="65"/>
      <c r="Q502" s="65"/>
    </row>
    <row r="503">
      <c r="A503" s="63"/>
      <c r="B503" s="63"/>
      <c r="C503" s="27"/>
      <c r="D503" s="63"/>
      <c r="E503" s="63"/>
      <c r="F503" s="63"/>
      <c r="G503" s="27"/>
      <c r="H503" s="65"/>
      <c r="I503" s="65"/>
      <c r="J503" s="65"/>
      <c r="K503" s="65"/>
      <c r="L503" s="65"/>
      <c r="M503" s="65"/>
      <c r="N503" s="65"/>
      <c r="O503" s="65"/>
      <c r="P503" s="65"/>
      <c r="Q503" s="65"/>
    </row>
    <row r="504">
      <c r="A504" s="63"/>
      <c r="B504" s="63"/>
      <c r="C504" s="27"/>
      <c r="D504" s="63"/>
      <c r="E504" s="63"/>
      <c r="F504" s="63"/>
      <c r="G504" s="27"/>
      <c r="H504" s="65"/>
      <c r="I504" s="65"/>
      <c r="J504" s="65"/>
      <c r="K504" s="65"/>
      <c r="L504" s="65"/>
      <c r="M504" s="65"/>
      <c r="N504" s="65"/>
      <c r="O504" s="65"/>
      <c r="P504" s="65"/>
      <c r="Q504" s="65"/>
    </row>
    <row r="505">
      <c r="A505" s="63"/>
      <c r="B505" s="63"/>
      <c r="C505" s="27"/>
      <c r="D505" s="63"/>
      <c r="E505" s="63"/>
      <c r="F505" s="63"/>
      <c r="G505" s="27"/>
      <c r="H505" s="65"/>
      <c r="I505" s="65"/>
      <c r="J505" s="65"/>
      <c r="K505" s="65"/>
      <c r="L505" s="65"/>
      <c r="M505" s="65"/>
      <c r="N505" s="65"/>
      <c r="O505" s="65"/>
      <c r="P505" s="65"/>
      <c r="Q505" s="65"/>
    </row>
    <row r="506">
      <c r="A506" s="63"/>
      <c r="B506" s="63"/>
      <c r="C506" s="27"/>
      <c r="D506" s="63"/>
      <c r="E506" s="63"/>
      <c r="F506" s="63"/>
      <c r="G506" s="27"/>
      <c r="H506" s="65"/>
      <c r="I506" s="65"/>
      <c r="J506" s="65"/>
      <c r="K506" s="65"/>
      <c r="L506" s="65"/>
      <c r="M506" s="65"/>
      <c r="N506" s="65"/>
      <c r="O506" s="65"/>
      <c r="P506" s="65"/>
      <c r="Q506" s="65"/>
    </row>
    <row r="507">
      <c r="A507" s="63"/>
      <c r="B507" s="63"/>
      <c r="C507" s="27"/>
      <c r="D507" s="63"/>
      <c r="E507" s="63"/>
      <c r="F507" s="63"/>
      <c r="G507" s="27"/>
      <c r="H507" s="65"/>
      <c r="I507" s="65"/>
      <c r="J507" s="65"/>
      <c r="K507" s="65"/>
      <c r="L507" s="65"/>
      <c r="M507" s="65"/>
      <c r="N507" s="65"/>
      <c r="O507" s="65"/>
      <c r="P507" s="65"/>
      <c r="Q507" s="65"/>
    </row>
    <row r="508">
      <c r="A508" s="63"/>
      <c r="B508" s="63"/>
      <c r="C508" s="27"/>
      <c r="D508" s="63"/>
      <c r="E508" s="63"/>
      <c r="F508" s="63"/>
      <c r="G508" s="27"/>
      <c r="H508" s="65"/>
      <c r="I508" s="65"/>
      <c r="J508" s="65"/>
      <c r="K508" s="65"/>
      <c r="L508" s="65"/>
      <c r="M508" s="65"/>
      <c r="N508" s="65"/>
      <c r="O508" s="65"/>
      <c r="P508" s="65"/>
      <c r="Q508" s="65"/>
    </row>
    <row r="509">
      <c r="A509" s="63"/>
      <c r="B509" s="63"/>
      <c r="C509" s="27"/>
      <c r="D509" s="63"/>
      <c r="E509" s="63"/>
      <c r="F509" s="63"/>
      <c r="G509" s="27"/>
      <c r="H509" s="65"/>
      <c r="I509" s="65"/>
      <c r="J509" s="65"/>
      <c r="K509" s="65"/>
      <c r="L509" s="65"/>
      <c r="M509" s="65"/>
      <c r="N509" s="65"/>
      <c r="O509" s="65"/>
      <c r="P509" s="65"/>
      <c r="Q509" s="65"/>
    </row>
    <row r="510">
      <c r="A510" s="63"/>
      <c r="B510" s="63"/>
      <c r="C510" s="27"/>
      <c r="D510" s="63"/>
      <c r="E510" s="63"/>
      <c r="F510" s="63"/>
      <c r="G510" s="27"/>
      <c r="H510" s="65"/>
      <c r="I510" s="65"/>
      <c r="J510" s="65"/>
      <c r="K510" s="65"/>
      <c r="L510" s="65"/>
      <c r="M510" s="65"/>
      <c r="N510" s="65"/>
      <c r="O510" s="65"/>
      <c r="P510" s="65"/>
      <c r="Q510" s="65"/>
    </row>
    <row r="511">
      <c r="A511" s="63"/>
      <c r="B511" s="63"/>
      <c r="C511" s="27"/>
      <c r="D511" s="63"/>
      <c r="E511" s="63"/>
      <c r="F511" s="63"/>
      <c r="G511" s="27"/>
      <c r="H511" s="65"/>
      <c r="I511" s="65"/>
      <c r="J511" s="65"/>
      <c r="K511" s="65"/>
      <c r="L511" s="65"/>
      <c r="M511" s="65"/>
      <c r="N511" s="65"/>
      <c r="O511" s="65"/>
      <c r="P511" s="65"/>
      <c r="Q511" s="65"/>
    </row>
    <row r="512">
      <c r="A512" s="63"/>
      <c r="B512" s="63"/>
      <c r="C512" s="27"/>
      <c r="D512" s="63"/>
      <c r="E512" s="63"/>
      <c r="F512" s="63"/>
      <c r="G512" s="27"/>
      <c r="H512" s="65"/>
      <c r="I512" s="65"/>
      <c r="J512" s="65"/>
      <c r="K512" s="65"/>
      <c r="L512" s="65"/>
      <c r="M512" s="65"/>
      <c r="N512" s="65"/>
      <c r="O512" s="65"/>
      <c r="P512" s="65"/>
      <c r="Q512" s="65"/>
    </row>
    <row r="513">
      <c r="A513" s="63"/>
      <c r="B513" s="63"/>
      <c r="C513" s="27"/>
      <c r="D513" s="63"/>
      <c r="E513" s="63"/>
      <c r="F513" s="63"/>
      <c r="G513" s="27"/>
      <c r="H513" s="65"/>
      <c r="I513" s="65"/>
      <c r="J513" s="65"/>
      <c r="K513" s="65"/>
      <c r="L513" s="65"/>
      <c r="M513" s="65"/>
      <c r="N513" s="65"/>
      <c r="O513" s="65"/>
      <c r="P513" s="65"/>
      <c r="Q513" s="65"/>
    </row>
    <row r="514">
      <c r="A514" s="63"/>
      <c r="B514" s="63"/>
      <c r="C514" s="27"/>
      <c r="D514" s="63"/>
      <c r="E514" s="63"/>
      <c r="F514" s="63"/>
      <c r="G514" s="27"/>
      <c r="H514" s="65"/>
      <c r="I514" s="65"/>
      <c r="J514" s="65"/>
      <c r="K514" s="65"/>
      <c r="L514" s="65"/>
      <c r="M514" s="65"/>
      <c r="N514" s="65"/>
      <c r="O514" s="65"/>
      <c r="P514" s="65"/>
      <c r="Q514" s="65"/>
    </row>
    <row r="515">
      <c r="A515" s="63"/>
      <c r="B515" s="63"/>
      <c r="C515" s="27"/>
      <c r="D515" s="63"/>
      <c r="E515" s="63"/>
      <c r="F515" s="63"/>
      <c r="G515" s="27"/>
      <c r="H515" s="65"/>
      <c r="I515" s="65"/>
      <c r="J515" s="65"/>
      <c r="K515" s="65"/>
      <c r="L515" s="65"/>
      <c r="M515" s="65"/>
      <c r="N515" s="65"/>
      <c r="O515" s="65"/>
      <c r="P515" s="65"/>
      <c r="Q515" s="65"/>
    </row>
    <row r="516">
      <c r="A516" s="63"/>
      <c r="B516" s="63"/>
      <c r="C516" s="27"/>
      <c r="D516" s="63"/>
      <c r="E516" s="63"/>
      <c r="F516" s="63"/>
      <c r="G516" s="27"/>
      <c r="H516" s="65"/>
      <c r="I516" s="65"/>
      <c r="J516" s="65"/>
      <c r="K516" s="65"/>
      <c r="L516" s="65"/>
      <c r="M516" s="65"/>
      <c r="N516" s="65"/>
      <c r="O516" s="65"/>
      <c r="P516" s="65"/>
      <c r="Q516" s="65"/>
    </row>
    <row r="517">
      <c r="A517" s="63"/>
      <c r="B517" s="63"/>
      <c r="C517" s="27"/>
      <c r="D517" s="63"/>
      <c r="E517" s="63"/>
      <c r="F517" s="63"/>
      <c r="G517" s="27"/>
      <c r="H517" s="65"/>
      <c r="I517" s="65"/>
      <c r="J517" s="65"/>
      <c r="K517" s="65"/>
      <c r="L517" s="65"/>
      <c r="M517" s="65"/>
      <c r="N517" s="65"/>
      <c r="O517" s="65"/>
      <c r="P517" s="65"/>
      <c r="Q517" s="65"/>
    </row>
    <row r="518">
      <c r="A518" s="63"/>
      <c r="B518" s="63"/>
      <c r="C518" s="27"/>
      <c r="D518" s="63"/>
      <c r="E518" s="63"/>
      <c r="F518" s="63"/>
      <c r="G518" s="27"/>
      <c r="H518" s="65"/>
      <c r="I518" s="65"/>
      <c r="J518" s="65"/>
      <c r="K518" s="65"/>
      <c r="L518" s="65"/>
      <c r="M518" s="65"/>
      <c r="N518" s="65"/>
      <c r="O518" s="65"/>
      <c r="P518" s="65"/>
      <c r="Q518" s="65"/>
    </row>
    <row r="519">
      <c r="A519" s="63"/>
      <c r="B519" s="63"/>
      <c r="C519" s="27"/>
      <c r="D519" s="63"/>
      <c r="E519" s="63"/>
      <c r="F519" s="63"/>
      <c r="G519" s="27"/>
      <c r="H519" s="65"/>
      <c r="I519" s="65"/>
      <c r="J519" s="65"/>
      <c r="K519" s="65"/>
      <c r="L519" s="65"/>
      <c r="M519" s="65"/>
      <c r="N519" s="65"/>
      <c r="O519" s="65"/>
      <c r="P519" s="65"/>
      <c r="Q519" s="65"/>
    </row>
    <row r="520">
      <c r="A520" s="63"/>
      <c r="B520" s="63"/>
      <c r="C520" s="27"/>
      <c r="D520" s="63"/>
      <c r="E520" s="63"/>
      <c r="F520" s="63"/>
      <c r="G520" s="27"/>
      <c r="H520" s="65"/>
      <c r="I520" s="65"/>
      <c r="J520" s="65"/>
      <c r="K520" s="65"/>
      <c r="L520" s="65"/>
      <c r="M520" s="65"/>
      <c r="N520" s="65"/>
      <c r="O520" s="65"/>
      <c r="P520" s="65"/>
      <c r="Q520" s="65"/>
    </row>
    <row r="521">
      <c r="A521" s="63"/>
      <c r="B521" s="63"/>
      <c r="C521" s="27"/>
      <c r="D521" s="63"/>
      <c r="E521" s="63"/>
      <c r="F521" s="63"/>
      <c r="G521" s="27"/>
      <c r="H521" s="65"/>
      <c r="I521" s="65"/>
      <c r="J521" s="65"/>
      <c r="K521" s="65"/>
      <c r="L521" s="65"/>
      <c r="M521" s="65"/>
      <c r="N521" s="65"/>
      <c r="O521" s="65"/>
      <c r="P521" s="65"/>
      <c r="Q521" s="65"/>
    </row>
    <row r="522">
      <c r="A522" s="63"/>
      <c r="B522" s="63"/>
      <c r="C522" s="27"/>
      <c r="D522" s="63"/>
      <c r="E522" s="63"/>
      <c r="F522" s="63"/>
      <c r="G522" s="27"/>
      <c r="H522" s="65"/>
      <c r="I522" s="65"/>
      <c r="J522" s="65"/>
      <c r="K522" s="65"/>
      <c r="L522" s="65"/>
      <c r="M522" s="65"/>
      <c r="N522" s="65"/>
      <c r="O522" s="65"/>
      <c r="P522" s="65"/>
      <c r="Q522" s="65"/>
    </row>
    <row r="523">
      <c r="A523" s="63"/>
      <c r="B523" s="63"/>
      <c r="C523" s="27"/>
      <c r="D523" s="63"/>
      <c r="E523" s="63"/>
      <c r="F523" s="63"/>
      <c r="G523" s="27"/>
      <c r="H523" s="65"/>
      <c r="I523" s="65"/>
      <c r="J523" s="65"/>
      <c r="K523" s="65"/>
      <c r="L523" s="65"/>
      <c r="M523" s="65"/>
      <c r="N523" s="65"/>
      <c r="O523" s="65"/>
      <c r="P523" s="65"/>
      <c r="Q523" s="65"/>
    </row>
    <row r="524">
      <c r="A524" s="63"/>
      <c r="B524" s="63"/>
      <c r="C524" s="27"/>
      <c r="D524" s="63"/>
      <c r="E524" s="63"/>
      <c r="F524" s="63"/>
      <c r="G524" s="27"/>
      <c r="H524" s="65"/>
      <c r="I524" s="65"/>
      <c r="J524" s="65"/>
      <c r="K524" s="65"/>
      <c r="L524" s="65"/>
      <c r="M524" s="65"/>
      <c r="N524" s="65"/>
      <c r="O524" s="65"/>
      <c r="P524" s="65"/>
      <c r="Q524" s="65"/>
    </row>
    <row r="525">
      <c r="A525" s="63"/>
      <c r="B525" s="63"/>
      <c r="C525" s="27"/>
      <c r="D525" s="63"/>
      <c r="E525" s="63"/>
      <c r="F525" s="63"/>
      <c r="G525" s="27"/>
      <c r="H525" s="65"/>
      <c r="I525" s="65"/>
      <c r="J525" s="65"/>
      <c r="K525" s="65"/>
      <c r="L525" s="65"/>
      <c r="M525" s="65"/>
      <c r="N525" s="65"/>
      <c r="O525" s="65"/>
      <c r="P525" s="65"/>
      <c r="Q525" s="65"/>
    </row>
    <row r="526">
      <c r="A526" s="63"/>
      <c r="B526" s="63"/>
      <c r="C526" s="27"/>
      <c r="D526" s="63"/>
      <c r="E526" s="63"/>
      <c r="F526" s="63"/>
      <c r="G526" s="27"/>
      <c r="H526" s="65"/>
      <c r="I526" s="65"/>
      <c r="J526" s="65"/>
      <c r="K526" s="65"/>
      <c r="L526" s="65"/>
      <c r="M526" s="65"/>
      <c r="N526" s="65"/>
      <c r="O526" s="65"/>
      <c r="P526" s="65"/>
      <c r="Q526" s="65"/>
    </row>
    <row r="527">
      <c r="A527" s="63"/>
      <c r="B527" s="63"/>
      <c r="C527" s="27"/>
      <c r="D527" s="63"/>
      <c r="E527" s="63"/>
      <c r="F527" s="63"/>
      <c r="G527" s="27"/>
      <c r="H527" s="65"/>
      <c r="I527" s="65"/>
      <c r="J527" s="65"/>
      <c r="K527" s="65"/>
      <c r="L527" s="65"/>
      <c r="M527" s="65"/>
      <c r="N527" s="65"/>
      <c r="O527" s="65"/>
      <c r="P527" s="65"/>
      <c r="Q527" s="65"/>
    </row>
    <row r="528">
      <c r="A528" s="63"/>
      <c r="B528" s="63"/>
      <c r="C528" s="27"/>
      <c r="D528" s="63"/>
      <c r="E528" s="63"/>
      <c r="F528" s="63"/>
      <c r="G528" s="27"/>
      <c r="H528" s="65"/>
      <c r="I528" s="65"/>
      <c r="J528" s="65"/>
      <c r="K528" s="65"/>
      <c r="L528" s="65"/>
      <c r="M528" s="65"/>
      <c r="N528" s="65"/>
      <c r="O528" s="65"/>
      <c r="P528" s="65"/>
      <c r="Q528" s="65"/>
    </row>
    <row r="529">
      <c r="A529" s="63"/>
      <c r="B529" s="63"/>
      <c r="C529" s="27"/>
      <c r="D529" s="63"/>
      <c r="E529" s="63"/>
      <c r="F529" s="63"/>
      <c r="G529" s="27"/>
      <c r="H529" s="65"/>
      <c r="I529" s="65"/>
      <c r="J529" s="65"/>
      <c r="K529" s="65"/>
      <c r="L529" s="65"/>
      <c r="M529" s="65"/>
      <c r="N529" s="65"/>
      <c r="O529" s="65"/>
      <c r="P529" s="65"/>
      <c r="Q529" s="65"/>
    </row>
    <row r="530">
      <c r="A530" s="63"/>
      <c r="B530" s="63"/>
      <c r="C530" s="27"/>
      <c r="D530" s="63"/>
      <c r="E530" s="63"/>
      <c r="F530" s="63"/>
      <c r="G530" s="27"/>
      <c r="H530" s="65"/>
      <c r="I530" s="65"/>
      <c r="J530" s="65"/>
      <c r="K530" s="65"/>
      <c r="L530" s="65"/>
      <c r="M530" s="65"/>
      <c r="N530" s="65"/>
      <c r="O530" s="65"/>
      <c r="P530" s="65"/>
      <c r="Q530" s="65"/>
    </row>
    <row r="531">
      <c r="A531" s="63"/>
      <c r="B531" s="63"/>
      <c r="C531" s="27"/>
      <c r="D531" s="63"/>
      <c r="E531" s="63"/>
      <c r="F531" s="63"/>
      <c r="G531" s="27"/>
      <c r="H531" s="65"/>
      <c r="I531" s="65"/>
      <c r="J531" s="65"/>
      <c r="K531" s="65"/>
      <c r="L531" s="65"/>
      <c r="M531" s="65"/>
      <c r="N531" s="65"/>
      <c r="O531" s="65"/>
      <c r="P531" s="65"/>
      <c r="Q531" s="65"/>
    </row>
    <row r="532">
      <c r="A532" s="63"/>
      <c r="B532" s="63"/>
      <c r="C532" s="27"/>
      <c r="D532" s="63"/>
      <c r="E532" s="63"/>
      <c r="F532" s="63"/>
      <c r="G532" s="27"/>
      <c r="H532" s="65"/>
      <c r="I532" s="65"/>
      <c r="J532" s="65"/>
      <c r="K532" s="65"/>
      <c r="L532" s="65"/>
      <c r="M532" s="65"/>
      <c r="N532" s="65"/>
      <c r="O532" s="65"/>
      <c r="P532" s="65"/>
      <c r="Q532" s="65"/>
    </row>
    <row r="533">
      <c r="A533" s="63"/>
      <c r="B533" s="63"/>
      <c r="C533" s="27"/>
      <c r="D533" s="63"/>
      <c r="E533" s="63"/>
      <c r="F533" s="63"/>
      <c r="G533" s="27"/>
      <c r="H533" s="65"/>
      <c r="I533" s="65"/>
      <c r="J533" s="65"/>
      <c r="K533" s="65"/>
      <c r="L533" s="65"/>
      <c r="M533" s="65"/>
      <c r="N533" s="65"/>
      <c r="O533" s="65"/>
      <c r="P533" s="65"/>
      <c r="Q533" s="65"/>
    </row>
    <row r="534">
      <c r="A534" s="63"/>
      <c r="B534" s="63"/>
      <c r="C534" s="27"/>
      <c r="D534" s="63"/>
      <c r="E534" s="63"/>
      <c r="F534" s="63"/>
      <c r="G534" s="27"/>
      <c r="H534" s="65"/>
      <c r="I534" s="65"/>
      <c r="J534" s="65"/>
      <c r="K534" s="65"/>
      <c r="L534" s="65"/>
      <c r="M534" s="65"/>
      <c r="N534" s="65"/>
      <c r="O534" s="65"/>
      <c r="P534" s="65"/>
      <c r="Q534" s="65"/>
    </row>
    <row r="535">
      <c r="A535" s="63"/>
      <c r="B535" s="63"/>
      <c r="C535" s="27"/>
      <c r="D535" s="63"/>
      <c r="E535" s="63"/>
      <c r="F535" s="63"/>
      <c r="G535" s="27"/>
      <c r="H535" s="65"/>
      <c r="I535" s="65"/>
      <c r="J535" s="65"/>
      <c r="K535" s="65"/>
      <c r="L535" s="65"/>
      <c r="M535" s="65"/>
      <c r="N535" s="65"/>
      <c r="O535" s="65"/>
      <c r="P535" s="65"/>
      <c r="Q535" s="65"/>
    </row>
    <row r="536">
      <c r="A536" s="63"/>
      <c r="B536" s="63"/>
      <c r="C536" s="27"/>
      <c r="D536" s="63"/>
      <c r="E536" s="63"/>
      <c r="F536" s="63"/>
      <c r="G536" s="27"/>
      <c r="H536" s="65"/>
      <c r="I536" s="65"/>
      <c r="J536" s="65"/>
      <c r="K536" s="65"/>
      <c r="L536" s="65"/>
      <c r="M536" s="65"/>
      <c r="N536" s="65"/>
      <c r="O536" s="65"/>
      <c r="P536" s="65"/>
      <c r="Q536" s="65"/>
    </row>
    <row r="537">
      <c r="A537" s="63"/>
      <c r="B537" s="63"/>
      <c r="C537" s="27"/>
      <c r="D537" s="63"/>
      <c r="E537" s="63"/>
      <c r="F537" s="63"/>
      <c r="G537" s="27"/>
      <c r="H537" s="65"/>
      <c r="I537" s="65"/>
      <c r="J537" s="65"/>
      <c r="K537" s="65"/>
      <c r="L537" s="65"/>
      <c r="M537" s="65"/>
      <c r="N537" s="65"/>
      <c r="O537" s="65"/>
      <c r="P537" s="65"/>
      <c r="Q537" s="65"/>
    </row>
    <row r="538">
      <c r="A538" s="63"/>
      <c r="B538" s="63"/>
      <c r="C538" s="27"/>
      <c r="D538" s="63"/>
      <c r="E538" s="63"/>
      <c r="F538" s="63"/>
      <c r="G538" s="27"/>
      <c r="H538" s="65"/>
      <c r="I538" s="65"/>
      <c r="J538" s="65"/>
      <c r="K538" s="65"/>
      <c r="L538" s="65"/>
      <c r="M538" s="65"/>
      <c r="N538" s="65"/>
      <c r="O538" s="65"/>
      <c r="P538" s="65"/>
      <c r="Q538" s="65"/>
    </row>
    <row r="539">
      <c r="A539" s="63"/>
      <c r="B539" s="63"/>
      <c r="C539" s="27"/>
      <c r="D539" s="63"/>
      <c r="E539" s="63"/>
      <c r="F539" s="63"/>
      <c r="G539" s="27"/>
      <c r="H539" s="65"/>
      <c r="I539" s="65"/>
      <c r="J539" s="65"/>
      <c r="K539" s="65"/>
      <c r="L539" s="65"/>
      <c r="M539" s="65"/>
      <c r="N539" s="65"/>
      <c r="O539" s="65"/>
      <c r="P539" s="65"/>
      <c r="Q539" s="65"/>
    </row>
    <row r="540">
      <c r="A540" s="63"/>
      <c r="B540" s="63"/>
      <c r="C540" s="27"/>
      <c r="D540" s="63"/>
      <c r="E540" s="63"/>
      <c r="F540" s="63"/>
      <c r="G540" s="27"/>
      <c r="H540" s="65"/>
      <c r="I540" s="65"/>
      <c r="J540" s="65"/>
      <c r="K540" s="65"/>
      <c r="L540" s="65"/>
      <c r="M540" s="65"/>
      <c r="N540" s="65"/>
      <c r="O540" s="65"/>
      <c r="P540" s="65"/>
      <c r="Q540" s="65"/>
    </row>
    <row r="541">
      <c r="A541" s="63"/>
      <c r="B541" s="63"/>
      <c r="C541" s="27"/>
      <c r="D541" s="63"/>
      <c r="E541" s="63"/>
      <c r="F541" s="63"/>
      <c r="G541" s="27"/>
      <c r="H541" s="65"/>
      <c r="I541" s="65"/>
      <c r="J541" s="65"/>
      <c r="K541" s="65"/>
      <c r="L541" s="65"/>
      <c r="M541" s="65"/>
      <c r="N541" s="65"/>
      <c r="O541" s="65"/>
      <c r="P541" s="65"/>
      <c r="Q541" s="65"/>
    </row>
    <row r="542">
      <c r="A542" s="63"/>
      <c r="B542" s="63"/>
      <c r="C542" s="27"/>
      <c r="D542" s="63"/>
      <c r="E542" s="63"/>
      <c r="F542" s="63"/>
      <c r="G542" s="27"/>
      <c r="H542" s="65"/>
      <c r="I542" s="65"/>
      <c r="J542" s="65"/>
      <c r="K542" s="65"/>
      <c r="L542" s="65"/>
      <c r="M542" s="65"/>
      <c r="N542" s="65"/>
      <c r="O542" s="65"/>
      <c r="P542" s="65"/>
      <c r="Q542" s="65"/>
    </row>
    <row r="543">
      <c r="A543" s="63"/>
      <c r="B543" s="63"/>
      <c r="C543" s="27"/>
      <c r="D543" s="63"/>
      <c r="E543" s="63"/>
      <c r="F543" s="63"/>
      <c r="G543" s="27"/>
      <c r="H543" s="65"/>
      <c r="I543" s="65"/>
      <c r="J543" s="65"/>
      <c r="K543" s="65"/>
      <c r="L543" s="65"/>
      <c r="M543" s="65"/>
      <c r="N543" s="65"/>
      <c r="O543" s="65"/>
      <c r="P543" s="65"/>
      <c r="Q543" s="65"/>
    </row>
    <row r="544">
      <c r="A544" s="63"/>
      <c r="B544" s="63"/>
      <c r="C544" s="27"/>
      <c r="D544" s="63"/>
      <c r="E544" s="63"/>
      <c r="F544" s="63"/>
      <c r="G544" s="27"/>
      <c r="H544" s="65"/>
      <c r="I544" s="65"/>
      <c r="J544" s="65"/>
      <c r="K544" s="65"/>
      <c r="L544" s="65"/>
      <c r="M544" s="65"/>
      <c r="N544" s="65"/>
      <c r="O544" s="65"/>
      <c r="P544" s="65"/>
      <c r="Q544" s="65"/>
    </row>
    <row r="545">
      <c r="A545" s="63"/>
      <c r="B545" s="63"/>
      <c r="C545" s="27"/>
      <c r="D545" s="63"/>
      <c r="E545" s="63"/>
      <c r="F545" s="63"/>
      <c r="G545" s="27"/>
      <c r="H545" s="65"/>
      <c r="I545" s="65"/>
      <c r="J545" s="65"/>
      <c r="K545" s="65"/>
      <c r="L545" s="65"/>
      <c r="M545" s="65"/>
      <c r="N545" s="65"/>
      <c r="O545" s="65"/>
      <c r="P545" s="65"/>
      <c r="Q545" s="65"/>
    </row>
    <row r="546">
      <c r="A546" s="63"/>
      <c r="B546" s="63"/>
      <c r="C546" s="27"/>
      <c r="D546" s="63"/>
      <c r="E546" s="63"/>
      <c r="F546" s="63"/>
      <c r="G546" s="27"/>
      <c r="H546" s="65"/>
      <c r="I546" s="65"/>
      <c r="J546" s="65"/>
      <c r="K546" s="65"/>
      <c r="L546" s="65"/>
      <c r="M546" s="65"/>
      <c r="N546" s="65"/>
      <c r="O546" s="65"/>
      <c r="P546" s="65"/>
      <c r="Q546" s="65"/>
    </row>
    <row r="547">
      <c r="A547" s="63"/>
      <c r="B547" s="63"/>
      <c r="C547" s="27"/>
      <c r="D547" s="63"/>
      <c r="E547" s="63"/>
      <c r="F547" s="63"/>
      <c r="G547" s="27"/>
      <c r="H547" s="65"/>
      <c r="I547" s="65"/>
      <c r="J547" s="65"/>
      <c r="K547" s="65"/>
      <c r="L547" s="65"/>
      <c r="M547" s="65"/>
      <c r="N547" s="65"/>
      <c r="O547" s="65"/>
      <c r="P547" s="65"/>
      <c r="Q547" s="65"/>
    </row>
    <row r="548">
      <c r="A548" s="63"/>
      <c r="B548" s="63"/>
      <c r="C548" s="27"/>
      <c r="D548" s="63"/>
      <c r="E548" s="63"/>
      <c r="F548" s="63"/>
      <c r="G548" s="27"/>
      <c r="H548" s="65"/>
      <c r="I548" s="65"/>
      <c r="J548" s="65"/>
      <c r="K548" s="65"/>
      <c r="L548" s="65"/>
      <c r="M548" s="65"/>
      <c r="N548" s="65"/>
      <c r="O548" s="65"/>
      <c r="P548" s="65"/>
      <c r="Q548" s="65"/>
    </row>
    <row r="549">
      <c r="A549" s="63"/>
      <c r="B549" s="63"/>
      <c r="C549" s="27"/>
      <c r="D549" s="63"/>
      <c r="E549" s="63"/>
      <c r="F549" s="63"/>
      <c r="G549" s="27"/>
      <c r="H549" s="65"/>
      <c r="I549" s="65"/>
      <c r="J549" s="65"/>
      <c r="K549" s="65"/>
      <c r="L549" s="65"/>
      <c r="M549" s="65"/>
      <c r="N549" s="65"/>
      <c r="O549" s="65"/>
      <c r="P549" s="65"/>
      <c r="Q549" s="65"/>
    </row>
    <row r="550">
      <c r="A550" s="63"/>
      <c r="B550" s="63"/>
      <c r="C550" s="27"/>
      <c r="D550" s="63"/>
      <c r="E550" s="63"/>
      <c r="F550" s="63"/>
      <c r="G550" s="27"/>
      <c r="H550" s="65"/>
      <c r="I550" s="65"/>
      <c r="J550" s="65"/>
      <c r="K550" s="65"/>
      <c r="L550" s="65"/>
      <c r="M550" s="65"/>
      <c r="N550" s="65"/>
      <c r="O550" s="65"/>
      <c r="P550" s="65"/>
      <c r="Q550" s="65"/>
    </row>
    <row r="551">
      <c r="A551" s="63"/>
      <c r="B551" s="63"/>
      <c r="C551" s="27"/>
      <c r="D551" s="63"/>
      <c r="E551" s="63"/>
      <c r="F551" s="63"/>
      <c r="G551" s="27"/>
      <c r="H551" s="65"/>
      <c r="I551" s="65"/>
      <c r="J551" s="65"/>
      <c r="K551" s="65"/>
      <c r="L551" s="65"/>
      <c r="M551" s="65"/>
      <c r="N551" s="65"/>
      <c r="O551" s="65"/>
      <c r="P551" s="65"/>
      <c r="Q551" s="65"/>
    </row>
    <row r="552">
      <c r="A552" s="63"/>
      <c r="B552" s="63"/>
      <c r="C552" s="27"/>
      <c r="D552" s="63"/>
      <c r="E552" s="63"/>
      <c r="F552" s="63"/>
      <c r="G552" s="27"/>
      <c r="H552" s="65"/>
      <c r="I552" s="65"/>
      <c r="J552" s="65"/>
      <c r="K552" s="65"/>
      <c r="L552" s="65"/>
      <c r="M552" s="65"/>
      <c r="N552" s="65"/>
      <c r="O552" s="65"/>
      <c r="P552" s="65"/>
      <c r="Q552" s="65"/>
    </row>
    <row r="553">
      <c r="A553" s="63"/>
      <c r="B553" s="63"/>
      <c r="C553" s="27"/>
      <c r="D553" s="63"/>
      <c r="E553" s="63"/>
      <c r="F553" s="63"/>
      <c r="G553" s="27"/>
      <c r="H553" s="65"/>
      <c r="I553" s="65"/>
      <c r="J553" s="65"/>
      <c r="K553" s="65"/>
      <c r="L553" s="65"/>
      <c r="M553" s="65"/>
      <c r="N553" s="65"/>
      <c r="O553" s="65"/>
      <c r="P553" s="65"/>
      <c r="Q553" s="65"/>
    </row>
    <row r="554">
      <c r="A554" s="63"/>
      <c r="B554" s="63"/>
      <c r="C554" s="27"/>
      <c r="D554" s="63"/>
      <c r="E554" s="63"/>
      <c r="F554" s="63"/>
      <c r="G554" s="27"/>
      <c r="H554" s="65"/>
      <c r="I554" s="65"/>
      <c r="J554" s="65"/>
      <c r="K554" s="65"/>
      <c r="L554" s="65"/>
      <c r="M554" s="65"/>
      <c r="N554" s="65"/>
      <c r="O554" s="65"/>
      <c r="P554" s="65"/>
      <c r="Q554" s="65"/>
    </row>
    <row r="555">
      <c r="A555" s="63"/>
      <c r="B555" s="63"/>
      <c r="C555" s="27"/>
      <c r="D555" s="63"/>
      <c r="E555" s="63"/>
      <c r="F555" s="63"/>
      <c r="G555" s="27"/>
      <c r="H555" s="65"/>
      <c r="I555" s="65"/>
      <c r="J555" s="65"/>
      <c r="K555" s="65"/>
      <c r="L555" s="65"/>
      <c r="M555" s="65"/>
      <c r="N555" s="65"/>
      <c r="O555" s="65"/>
      <c r="P555" s="65"/>
      <c r="Q555" s="65"/>
    </row>
    <row r="556">
      <c r="A556" s="63"/>
      <c r="B556" s="63"/>
      <c r="C556" s="27"/>
      <c r="D556" s="63"/>
      <c r="E556" s="63"/>
      <c r="F556" s="63"/>
      <c r="G556" s="27"/>
      <c r="H556" s="65"/>
      <c r="I556" s="65"/>
      <c r="J556" s="65"/>
      <c r="K556" s="65"/>
      <c r="L556" s="65"/>
      <c r="M556" s="65"/>
      <c r="N556" s="65"/>
      <c r="O556" s="65"/>
      <c r="P556" s="65"/>
      <c r="Q556" s="65"/>
    </row>
    <row r="557">
      <c r="A557" s="63"/>
      <c r="B557" s="63"/>
      <c r="C557" s="27"/>
      <c r="D557" s="63"/>
      <c r="E557" s="63"/>
      <c r="F557" s="63"/>
      <c r="G557" s="27"/>
      <c r="H557" s="65"/>
      <c r="I557" s="65"/>
      <c r="J557" s="65"/>
      <c r="K557" s="65"/>
      <c r="L557" s="65"/>
      <c r="M557" s="65"/>
      <c r="N557" s="65"/>
      <c r="O557" s="65"/>
      <c r="P557" s="65"/>
      <c r="Q557" s="65"/>
    </row>
    <row r="558">
      <c r="A558" s="63"/>
      <c r="B558" s="63"/>
      <c r="C558" s="27"/>
      <c r="D558" s="63"/>
      <c r="E558" s="63"/>
      <c r="F558" s="63"/>
      <c r="G558" s="27"/>
      <c r="H558" s="65"/>
      <c r="I558" s="65"/>
      <c r="J558" s="65"/>
      <c r="K558" s="65"/>
      <c r="L558" s="65"/>
      <c r="M558" s="65"/>
      <c r="N558" s="65"/>
      <c r="O558" s="65"/>
      <c r="P558" s="65"/>
      <c r="Q558" s="65"/>
    </row>
    <row r="559">
      <c r="A559" s="63"/>
      <c r="B559" s="63"/>
      <c r="C559" s="27"/>
      <c r="D559" s="63"/>
      <c r="E559" s="63"/>
      <c r="F559" s="63"/>
      <c r="G559" s="27"/>
      <c r="H559" s="65"/>
      <c r="I559" s="65"/>
      <c r="J559" s="65"/>
      <c r="K559" s="65"/>
      <c r="L559" s="65"/>
      <c r="M559" s="65"/>
      <c r="N559" s="65"/>
      <c r="O559" s="65"/>
      <c r="P559" s="65"/>
      <c r="Q559" s="65"/>
    </row>
    <row r="560">
      <c r="A560" s="63"/>
      <c r="B560" s="63"/>
      <c r="C560" s="27"/>
      <c r="D560" s="63"/>
      <c r="E560" s="63"/>
      <c r="F560" s="63"/>
      <c r="G560" s="27"/>
      <c r="H560" s="65"/>
      <c r="I560" s="65"/>
      <c r="J560" s="65"/>
      <c r="K560" s="65"/>
      <c r="L560" s="65"/>
      <c r="M560" s="65"/>
      <c r="N560" s="65"/>
      <c r="O560" s="65"/>
      <c r="P560" s="65"/>
      <c r="Q560" s="65"/>
    </row>
    <row r="561">
      <c r="A561" s="63"/>
      <c r="B561" s="63"/>
      <c r="C561" s="27"/>
      <c r="D561" s="63"/>
      <c r="E561" s="63"/>
      <c r="F561" s="63"/>
      <c r="G561" s="27"/>
      <c r="H561" s="65"/>
      <c r="I561" s="65"/>
      <c r="J561" s="65"/>
      <c r="K561" s="65"/>
      <c r="L561" s="65"/>
      <c r="M561" s="65"/>
      <c r="N561" s="65"/>
      <c r="O561" s="65"/>
      <c r="P561" s="65"/>
      <c r="Q561" s="65"/>
    </row>
    <row r="562">
      <c r="A562" s="63"/>
      <c r="B562" s="63"/>
      <c r="C562" s="27"/>
      <c r="D562" s="63"/>
      <c r="E562" s="63"/>
      <c r="F562" s="63"/>
      <c r="G562" s="27"/>
      <c r="H562" s="65"/>
      <c r="I562" s="65"/>
      <c r="J562" s="65"/>
      <c r="K562" s="65"/>
      <c r="L562" s="65"/>
      <c r="M562" s="65"/>
      <c r="N562" s="65"/>
      <c r="O562" s="65"/>
      <c r="P562" s="65"/>
      <c r="Q562" s="65"/>
    </row>
    <row r="563">
      <c r="A563" s="63"/>
      <c r="B563" s="63"/>
      <c r="C563" s="27"/>
      <c r="D563" s="63"/>
      <c r="E563" s="63"/>
      <c r="F563" s="63"/>
      <c r="G563" s="27"/>
      <c r="H563" s="65"/>
      <c r="I563" s="65"/>
      <c r="J563" s="65"/>
      <c r="K563" s="65"/>
      <c r="L563" s="65"/>
      <c r="M563" s="65"/>
      <c r="N563" s="65"/>
      <c r="O563" s="65"/>
      <c r="P563" s="65"/>
      <c r="Q563" s="65"/>
    </row>
    <row r="564">
      <c r="A564" s="63"/>
      <c r="B564" s="63"/>
      <c r="C564" s="27"/>
      <c r="D564" s="63"/>
      <c r="E564" s="63"/>
      <c r="F564" s="63"/>
      <c r="G564" s="27"/>
      <c r="H564" s="65"/>
      <c r="I564" s="65"/>
      <c r="J564" s="65"/>
      <c r="K564" s="65"/>
      <c r="L564" s="65"/>
      <c r="M564" s="65"/>
      <c r="N564" s="65"/>
      <c r="O564" s="65"/>
      <c r="P564" s="65"/>
      <c r="Q564" s="65"/>
    </row>
    <row r="565">
      <c r="A565" s="63"/>
      <c r="B565" s="63"/>
      <c r="C565" s="27"/>
      <c r="D565" s="63"/>
      <c r="E565" s="63"/>
      <c r="F565" s="63"/>
      <c r="G565" s="27"/>
      <c r="H565" s="65"/>
      <c r="I565" s="65"/>
      <c r="J565" s="65"/>
      <c r="K565" s="65"/>
      <c r="L565" s="65"/>
      <c r="M565" s="65"/>
      <c r="N565" s="65"/>
      <c r="O565" s="65"/>
      <c r="P565" s="65"/>
      <c r="Q565" s="65"/>
    </row>
    <row r="566">
      <c r="A566" s="63"/>
      <c r="B566" s="63"/>
      <c r="C566" s="27"/>
      <c r="D566" s="63"/>
      <c r="E566" s="63"/>
      <c r="F566" s="63"/>
      <c r="G566" s="27"/>
      <c r="H566" s="65"/>
      <c r="I566" s="65"/>
      <c r="J566" s="65"/>
      <c r="K566" s="65"/>
      <c r="L566" s="65"/>
      <c r="M566" s="65"/>
      <c r="N566" s="65"/>
      <c r="O566" s="65"/>
      <c r="P566" s="65"/>
      <c r="Q566" s="65"/>
    </row>
    <row r="567">
      <c r="A567" s="63"/>
      <c r="B567" s="63"/>
      <c r="C567" s="27"/>
      <c r="D567" s="63"/>
      <c r="E567" s="63"/>
      <c r="F567" s="63"/>
      <c r="G567" s="27"/>
      <c r="H567" s="65"/>
      <c r="I567" s="65"/>
      <c r="J567" s="65"/>
      <c r="K567" s="65"/>
      <c r="L567" s="65"/>
      <c r="M567" s="65"/>
      <c r="N567" s="65"/>
      <c r="O567" s="65"/>
      <c r="P567" s="65"/>
      <c r="Q567" s="65"/>
    </row>
    <row r="568">
      <c r="A568" s="63"/>
      <c r="B568" s="63"/>
      <c r="C568" s="27"/>
      <c r="D568" s="63"/>
      <c r="E568" s="63"/>
      <c r="F568" s="63"/>
      <c r="G568" s="27"/>
      <c r="H568" s="65"/>
      <c r="I568" s="65"/>
      <c r="J568" s="65"/>
      <c r="K568" s="65"/>
      <c r="L568" s="65"/>
      <c r="M568" s="65"/>
      <c r="N568" s="65"/>
      <c r="O568" s="65"/>
      <c r="P568" s="65"/>
      <c r="Q568" s="65"/>
    </row>
    <row r="569">
      <c r="A569" s="63"/>
      <c r="B569" s="63"/>
      <c r="C569" s="27"/>
      <c r="D569" s="63"/>
      <c r="E569" s="63"/>
      <c r="F569" s="63"/>
      <c r="G569" s="27"/>
      <c r="H569" s="65"/>
      <c r="I569" s="65"/>
      <c r="J569" s="65"/>
      <c r="K569" s="65"/>
      <c r="L569" s="65"/>
      <c r="M569" s="65"/>
      <c r="N569" s="65"/>
      <c r="O569" s="65"/>
      <c r="P569" s="65"/>
      <c r="Q569" s="65"/>
    </row>
    <row r="570">
      <c r="A570" s="63"/>
      <c r="B570" s="63"/>
      <c r="C570" s="27"/>
      <c r="D570" s="63"/>
      <c r="E570" s="63"/>
      <c r="F570" s="63"/>
      <c r="G570" s="27"/>
      <c r="H570" s="65"/>
      <c r="I570" s="65"/>
      <c r="J570" s="65"/>
      <c r="K570" s="65"/>
      <c r="L570" s="65"/>
      <c r="M570" s="65"/>
      <c r="N570" s="65"/>
      <c r="O570" s="65"/>
      <c r="P570" s="65"/>
      <c r="Q570" s="65"/>
    </row>
    <row r="571">
      <c r="A571" s="63"/>
      <c r="B571" s="63"/>
      <c r="C571" s="27"/>
      <c r="D571" s="63"/>
      <c r="E571" s="63"/>
      <c r="F571" s="63"/>
      <c r="G571" s="27"/>
      <c r="H571" s="65"/>
      <c r="I571" s="65"/>
      <c r="J571" s="65"/>
      <c r="K571" s="65"/>
      <c r="L571" s="65"/>
      <c r="M571" s="65"/>
      <c r="N571" s="65"/>
      <c r="O571" s="65"/>
      <c r="P571" s="65"/>
      <c r="Q571" s="65"/>
    </row>
    <row r="572">
      <c r="A572" s="63"/>
      <c r="B572" s="63"/>
      <c r="C572" s="27"/>
      <c r="D572" s="63"/>
      <c r="E572" s="63"/>
      <c r="F572" s="63"/>
      <c r="G572" s="27"/>
      <c r="H572" s="65"/>
      <c r="I572" s="65"/>
      <c r="J572" s="65"/>
      <c r="K572" s="65"/>
      <c r="L572" s="65"/>
      <c r="M572" s="65"/>
      <c r="N572" s="65"/>
      <c r="O572" s="65"/>
      <c r="P572" s="65"/>
      <c r="Q572" s="65"/>
    </row>
    <row r="573">
      <c r="A573" s="63"/>
      <c r="B573" s="63"/>
      <c r="C573" s="27"/>
      <c r="D573" s="63"/>
      <c r="E573" s="63"/>
      <c r="F573" s="63"/>
      <c r="G573" s="27"/>
      <c r="H573" s="65"/>
      <c r="I573" s="65"/>
      <c r="J573" s="65"/>
      <c r="K573" s="65"/>
      <c r="L573" s="65"/>
      <c r="M573" s="65"/>
      <c r="N573" s="65"/>
      <c r="O573" s="65"/>
      <c r="P573" s="65"/>
      <c r="Q573" s="65"/>
    </row>
    <row r="574">
      <c r="A574" s="63"/>
      <c r="B574" s="63"/>
      <c r="C574" s="27"/>
      <c r="D574" s="63"/>
      <c r="E574" s="63"/>
      <c r="F574" s="63"/>
      <c r="G574" s="27"/>
      <c r="H574" s="65"/>
      <c r="I574" s="65"/>
      <c r="J574" s="65"/>
      <c r="K574" s="65"/>
      <c r="L574" s="65"/>
      <c r="M574" s="65"/>
      <c r="N574" s="65"/>
      <c r="O574" s="65"/>
      <c r="P574" s="65"/>
      <c r="Q574" s="65"/>
    </row>
    <row r="575">
      <c r="A575" s="63"/>
      <c r="B575" s="63"/>
      <c r="C575" s="27"/>
      <c r="D575" s="63"/>
      <c r="E575" s="63"/>
      <c r="F575" s="63"/>
      <c r="G575" s="27"/>
      <c r="H575" s="65"/>
      <c r="I575" s="65"/>
      <c r="J575" s="65"/>
      <c r="K575" s="65"/>
      <c r="L575" s="65"/>
      <c r="M575" s="65"/>
      <c r="N575" s="65"/>
      <c r="O575" s="65"/>
      <c r="P575" s="65"/>
      <c r="Q575" s="65"/>
    </row>
    <row r="576">
      <c r="A576" s="63"/>
      <c r="B576" s="63"/>
      <c r="C576" s="27"/>
      <c r="D576" s="63"/>
      <c r="E576" s="63"/>
      <c r="F576" s="63"/>
      <c r="G576" s="27"/>
      <c r="H576" s="65"/>
      <c r="I576" s="65"/>
      <c r="J576" s="65"/>
      <c r="K576" s="65"/>
      <c r="L576" s="65"/>
      <c r="M576" s="65"/>
      <c r="N576" s="65"/>
      <c r="O576" s="65"/>
      <c r="P576" s="65"/>
      <c r="Q576" s="65"/>
    </row>
    <row r="577">
      <c r="A577" s="63"/>
      <c r="B577" s="63"/>
      <c r="C577" s="27"/>
      <c r="D577" s="63"/>
      <c r="E577" s="63"/>
      <c r="F577" s="63"/>
      <c r="G577" s="27"/>
      <c r="H577" s="65"/>
      <c r="I577" s="65"/>
      <c r="J577" s="65"/>
      <c r="K577" s="65"/>
      <c r="L577" s="65"/>
      <c r="M577" s="65"/>
      <c r="N577" s="65"/>
      <c r="O577" s="65"/>
      <c r="P577" s="65"/>
      <c r="Q577" s="65"/>
    </row>
    <row r="578">
      <c r="A578" s="63"/>
      <c r="B578" s="63"/>
      <c r="C578" s="27"/>
      <c r="D578" s="63"/>
      <c r="E578" s="63"/>
      <c r="F578" s="63"/>
      <c r="G578" s="27"/>
      <c r="H578" s="65"/>
      <c r="I578" s="65"/>
      <c r="J578" s="65"/>
      <c r="K578" s="65"/>
      <c r="L578" s="65"/>
      <c r="M578" s="65"/>
      <c r="N578" s="65"/>
      <c r="O578" s="65"/>
      <c r="P578" s="65"/>
      <c r="Q578" s="65"/>
    </row>
    <row r="579">
      <c r="A579" s="63"/>
      <c r="B579" s="63"/>
      <c r="C579" s="27"/>
      <c r="D579" s="63"/>
      <c r="E579" s="63"/>
      <c r="F579" s="63"/>
      <c r="G579" s="27"/>
      <c r="H579" s="65"/>
      <c r="I579" s="65"/>
      <c r="J579" s="65"/>
      <c r="K579" s="65"/>
      <c r="L579" s="65"/>
      <c r="M579" s="65"/>
      <c r="N579" s="65"/>
      <c r="O579" s="65"/>
      <c r="P579" s="65"/>
      <c r="Q579" s="65"/>
    </row>
    <row r="580">
      <c r="A580" s="63"/>
      <c r="B580" s="63"/>
      <c r="C580" s="27"/>
      <c r="D580" s="63"/>
      <c r="E580" s="63"/>
      <c r="F580" s="63"/>
      <c r="G580" s="27"/>
      <c r="H580" s="65"/>
      <c r="I580" s="65"/>
      <c r="J580" s="65"/>
      <c r="K580" s="65"/>
      <c r="L580" s="65"/>
      <c r="M580" s="65"/>
      <c r="N580" s="65"/>
      <c r="O580" s="65"/>
      <c r="P580" s="65"/>
      <c r="Q580" s="65"/>
    </row>
    <row r="581">
      <c r="A581" s="63"/>
      <c r="B581" s="63"/>
      <c r="C581" s="27"/>
      <c r="D581" s="63"/>
      <c r="E581" s="63"/>
      <c r="F581" s="63"/>
      <c r="G581" s="27"/>
      <c r="H581" s="65"/>
      <c r="I581" s="65"/>
      <c r="J581" s="65"/>
      <c r="K581" s="65"/>
      <c r="L581" s="65"/>
      <c r="M581" s="65"/>
      <c r="N581" s="65"/>
      <c r="O581" s="65"/>
      <c r="P581" s="65"/>
      <c r="Q581" s="65"/>
    </row>
    <row r="582">
      <c r="A582" s="63"/>
      <c r="B582" s="63"/>
      <c r="C582" s="27"/>
      <c r="D582" s="63"/>
      <c r="E582" s="63"/>
      <c r="F582" s="63"/>
      <c r="G582" s="27"/>
      <c r="H582" s="65"/>
      <c r="I582" s="65"/>
      <c r="J582" s="65"/>
      <c r="K582" s="65"/>
      <c r="L582" s="65"/>
      <c r="M582" s="65"/>
      <c r="N582" s="65"/>
      <c r="O582" s="65"/>
      <c r="P582" s="65"/>
      <c r="Q582" s="65"/>
    </row>
    <row r="583">
      <c r="A583" s="63"/>
      <c r="B583" s="63"/>
      <c r="C583" s="27"/>
      <c r="D583" s="63"/>
      <c r="E583" s="63"/>
      <c r="F583" s="63"/>
      <c r="G583" s="27"/>
      <c r="H583" s="65"/>
      <c r="I583" s="65"/>
      <c r="J583" s="65"/>
      <c r="K583" s="65"/>
      <c r="L583" s="65"/>
      <c r="M583" s="65"/>
      <c r="N583" s="65"/>
      <c r="O583" s="65"/>
      <c r="P583" s="65"/>
      <c r="Q583" s="65"/>
    </row>
    <row r="584">
      <c r="A584" s="63"/>
      <c r="B584" s="63"/>
      <c r="C584" s="27"/>
      <c r="D584" s="63"/>
      <c r="E584" s="63"/>
      <c r="F584" s="63"/>
      <c r="G584" s="27"/>
      <c r="H584" s="65"/>
      <c r="I584" s="65"/>
      <c r="J584" s="65"/>
      <c r="K584" s="65"/>
      <c r="L584" s="65"/>
      <c r="M584" s="65"/>
      <c r="N584" s="65"/>
      <c r="O584" s="65"/>
      <c r="P584" s="65"/>
      <c r="Q584" s="65"/>
    </row>
    <row r="585">
      <c r="A585" s="63"/>
      <c r="B585" s="63"/>
      <c r="C585" s="27"/>
      <c r="D585" s="63"/>
      <c r="E585" s="63"/>
      <c r="F585" s="63"/>
      <c r="G585" s="27"/>
      <c r="H585" s="65"/>
      <c r="I585" s="65"/>
      <c r="J585" s="65"/>
      <c r="K585" s="65"/>
      <c r="L585" s="65"/>
      <c r="M585" s="65"/>
      <c r="N585" s="65"/>
      <c r="O585" s="65"/>
      <c r="P585" s="65"/>
      <c r="Q585" s="65"/>
    </row>
    <row r="586">
      <c r="A586" s="63"/>
      <c r="B586" s="63"/>
      <c r="C586" s="27"/>
      <c r="D586" s="63"/>
      <c r="E586" s="63"/>
      <c r="F586" s="63"/>
      <c r="G586" s="27"/>
      <c r="H586" s="65"/>
      <c r="I586" s="65"/>
      <c r="J586" s="65"/>
      <c r="K586" s="65"/>
      <c r="L586" s="65"/>
      <c r="M586" s="65"/>
      <c r="N586" s="65"/>
      <c r="O586" s="65"/>
      <c r="P586" s="65"/>
      <c r="Q586" s="65"/>
    </row>
    <row r="587">
      <c r="A587" s="63"/>
      <c r="B587" s="63"/>
      <c r="C587" s="27"/>
      <c r="D587" s="63"/>
      <c r="E587" s="63"/>
      <c r="F587" s="63"/>
      <c r="G587" s="27"/>
      <c r="H587" s="65"/>
      <c r="I587" s="65"/>
      <c r="J587" s="65"/>
      <c r="K587" s="65"/>
      <c r="L587" s="65"/>
      <c r="M587" s="65"/>
      <c r="N587" s="65"/>
      <c r="O587" s="65"/>
      <c r="P587" s="65"/>
      <c r="Q587" s="65"/>
    </row>
    <row r="588">
      <c r="A588" s="63"/>
      <c r="B588" s="63"/>
      <c r="C588" s="27"/>
      <c r="D588" s="63"/>
      <c r="E588" s="63"/>
      <c r="F588" s="63"/>
      <c r="G588" s="27"/>
      <c r="H588" s="65"/>
      <c r="I588" s="65"/>
      <c r="J588" s="65"/>
      <c r="K588" s="65"/>
      <c r="L588" s="65"/>
      <c r="M588" s="65"/>
      <c r="N588" s="65"/>
      <c r="O588" s="65"/>
      <c r="P588" s="65"/>
      <c r="Q588" s="65"/>
    </row>
    <row r="589">
      <c r="A589" s="63"/>
      <c r="B589" s="63"/>
      <c r="C589" s="27"/>
      <c r="D589" s="63"/>
      <c r="E589" s="63"/>
      <c r="F589" s="63"/>
      <c r="G589" s="27"/>
      <c r="H589" s="65"/>
      <c r="I589" s="65"/>
      <c r="J589" s="65"/>
      <c r="K589" s="65"/>
      <c r="L589" s="65"/>
      <c r="M589" s="65"/>
      <c r="N589" s="65"/>
      <c r="O589" s="65"/>
      <c r="P589" s="65"/>
      <c r="Q589" s="65"/>
    </row>
    <row r="590">
      <c r="A590" s="63"/>
      <c r="B590" s="63"/>
      <c r="C590" s="27"/>
      <c r="D590" s="63"/>
      <c r="E590" s="63"/>
      <c r="F590" s="63"/>
      <c r="G590" s="27"/>
      <c r="H590" s="65"/>
      <c r="I590" s="65"/>
      <c r="J590" s="65"/>
      <c r="K590" s="65"/>
      <c r="L590" s="65"/>
      <c r="M590" s="65"/>
      <c r="N590" s="65"/>
      <c r="O590" s="65"/>
      <c r="P590" s="65"/>
      <c r="Q590" s="65"/>
    </row>
    <row r="591">
      <c r="A591" s="63"/>
      <c r="B591" s="63"/>
      <c r="C591" s="27"/>
      <c r="D591" s="63"/>
      <c r="E591" s="63"/>
      <c r="F591" s="63"/>
      <c r="G591" s="27"/>
      <c r="H591" s="65"/>
      <c r="I591" s="65"/>
      <c r="J591" s="65"/>
      <c r="K591" s="65"/>
      <c r="L591" s="65"/>
      <c r="M591" s="65"/>
      <c r="N591" s="65"/>
      <c r="O591" s="65"/>
      <c r="P591" s="65"/>
      <c r="Q591" s="65"/>
    </row>
    <row r="592">
      <c r="A592" s="63"/>
      <c r="B592" s="63"/>
      <c r="C592" s="27"/>
      <c r="D592" s="63"/>
      <c r="E592" s="63"/>
      <c r="F592" s="63"/>
      <c r="G592" s="27"/>
      <c r="H592" s="65"/>
      <c r="I592" s="65"/>
      <c r="J592" s="65"/>
      <c r="K592" s="65"/>
      <c r="L592" s="65"/>
      <c r="M592" s="65"/>
      <c r="N592" s="65"/>
      <c r="O592" s="65"/>
      <c r="P592" s="65"/>
      <c r="Q592" s="65"/>
    </row>
    <row r="593">
      <c r="A593" s="63"/>
      <c r="B593" s="63"/>
      <c r="C593" s="27"/>
      <c r="D593" s="63"/>
      <c r="E593" s="63"/>
      <c r="F593" s="63"/>
      <c r="G593" s="27"/>
      <c r="H593" s="65"/>
      <c r="I593" s="65"/>
      <c r="J593" s="65"/>
      <c r="K593" s="65"/>
      <c r="L593" s="65"/>
      <c r="M593" s="65"/>
      <c r="N593" s="65"/>
      <c r="O593" s="65"/>
      <c r="P593" s="65"/>
      <c r="Q593" s="65"/>
    </row>
    <row r="594">
      <c r="A594" s="63"/>
      <c r="B594" s="63"/>
      <c r="C594" s="27"/>
      <c r="D594" s="63"/>
      <c r="E594" s="63"/>
      <c r="F594" s="63"/>
      <c r="G594" s="27"/>
      <c r="H594" s="65"/>
      <c r="I594" s="65"/>
      <c r="J594" s="65"/>
      <c r="K594" s="65"/>
      <c r="L594" s="65"/>
      <c r="M594" s="65"/>
      <c r="N594" s="65"/>
      <c r="O594" s="65"/>
      <c r="P594" s="65"/>
      <c r="Q594" s="65"/>
    </row>
    <row r="595">
      <c r="A595" s="63"/>
      <c r="B595" s="63"/>
      <c r="C595" s="27"/>
      <c r="D595" s="63"/>
      <c r="E595" s="63"/>
      <c r="F595" s="63"/>
      <c r="G595" s="27"/>
      <c r="H595" s="65"/>
      <c r="I595" s="65"/>
      <c r="J595" s="65"/>
      <c r="K595" s="65"/>
      <c r="L595" s="65"/>
      <c r="M595" s="65"/>
      <c r="N595" s="65"/>
      <c r="O595" s="65"/>
      <c r="P595" s="65"/>
      <c r="Q595" s="65"/>
    </row>
    <row r="596">
      <c r="A596" s="63"/>
      <c r="B596" s="63"/>
      <c r="C596" s="27"/>
      <c r="D596" s="63"/>
      <c r="E596" s="63"/>
      <c r="F596" s="63"/>
      <c r="G596" s="27"/>
      <c r="H596" s="65"/>
      <c r="I596" s="65"/>
      <c r="J596" s="65"/>
      <c r="K596" s="65"/>
      <c r="L596" s="65"/>
      <c r="M596" s="65"/>
      <c r="N596" s="65"/>
      <c r="O596" s="65"/>
      <c r="P596" s="65"/>
      <c r="Q596" s="65"/>
    </row>
    <row r="597">
      <c r="A597" s="63"/>
      <c r="B597" s="63"/>
      <c r="C597" s="27"/>
      <c r="D597" s="63"/>
      <c r="E597" s="63"/>
      <c r="F597" s="63"/>
      <c r="G597" s="27"/>
      <c r="H597" s="65"/>
      <c r="I597" s="65"/>
      <c r="J597" s="65"/>
      <c r="K597" s="65"/>
      <c r="L597" s="65"/>
      <c r="M597" s="65"/>
      <c r="N597" s="65"/>
      <c r="O597" s="65"/>
      <c r="P597" s="65"/>
      <c r="Q597" s="65"/>
    </row>
    <row r="598">
      <c r="A598" s="63"/>
      <c r="B598" s="63"/>
      <c r="C598" s="27"/>
      <c r="D598" s="63"/>
      <c r="E598" s="63"/>
      <c r="F598" s="63"/>
      <c r="G598" s="27"/>
      <c r="H598" s="65"/>
      <c r="I598" s="65"/>
      <c r="J598" s="65"/>
      <c r="K598" s="65"/>
      <c r="L598" s="65"/>
      <c r="M598" s="65"/>
      <c r="N598" s="65"/>
      <c r="O598" s="65"/>
      <c r="P598" s="65"/>
      <c r="Q598" s="65"/>
    </row>
    <row r="599">
      <c r="A599" s="63"/>
      <c r="B599" s="63"/>
      <c r="C599" s="27"/>
      <c r="D599" s="63"/>
      <c r="E599" s="63"/>
      <c r="F599" s="63"/>
      <c r="G599" s="27"/>
      <c r="H599" s="65"/>
      <c r="I599" s="65"/>
      <c r="J599" s="65"/>
      <c r="K599" s="65"/>
      <c r="L599" s="65"/>
      <c r="M599" s="65"/>
      <c r="N599" s="65"/>
      <c r="O599" s="65"/>
      <c r="P599" s="65"/>
      <c r="Q599" s="65"/>
    </row>
    <row r="600">
      <c r="A600" s="63"/>
      <c r="B600" s="63"/>
      <c r="C600" s="27"/>
      <c r="D600" s="63"/>
      <c r="E600" s="63"/>
      <c r="F600" s="63"/>
      <c r="G600" s="27"/>
      <c r="H600" s="65"/>
      <c r="I600" s="65"/>
      <c r="J600" s="65"/>
      <c r="K600" s="65"/>
      <c r="L600" s="65"/>
      <c r="M600" s="65"/>
      <c r="N600" s="65"/>
      <c r="O600" s="65"/>
      <c r="P600" s="65"/>
      <c r="Q600" s="65"/>
    </row>
    <row r="601">
      <c r="A601" s="63"/>
      <c r="B601" s="63"/>
      <c r="C601" s="27"/>
      <c r="D601" s="63"/>
      <c r="E601" s="63"/>
      <c r="F601" s="63"/>
      <c r="G601" s="27"/>
      <c r="H601" s="65"/>
      <c r="I601" s="65"/>
      <c r="J601" s="65"/>
      <c r="K601" s="65"/>
      <c r="L601" s="65"/>
      <c r="M601" s="65"/>
      <c r="N601" s="65"/>
      <c r="O601" s="65"/>
      <c r="P601" s="65"/>
      <c r="Q601" s="65"/>
    </row>
    <row r="602">
      <c r="A602" s="63"/>
      <c r="B602" s="63"/>
      <c r="C602" s="27"/>
      <c r="D602" s="63"/>
      <c r="E602" s="63"/>
      <c r="F602" s="63"/>
      <c r="G602" s="27"/>
      <c r="H602" s="65"/>
      <c r="I602" s="65"/>
      <c r="J602" s="65"/>
      <c r="K602" s="65"/>
      <c r="L602" s="65"/>
      <c r="M602" s="65"/>
      <c r="N602" s="65"/>
      <c r="O602" s="65"/>
      <c r="P602" s="65"/>
      <c r="Q602" s="65"/>
    </row>
    <row r="603">
      <c r="A603" s="63"/>
      <c r="B603" s="63"/>
      <c r="C603" s="27"/>
      <c r="D603" s="63"/>
      <c r="E603" s="63"/>
      <c r="F603" s="63"/>
      <c r="G603" s="27"/>
      <c r="H603" s="65"/>
      <c r="I603" s="65"/>
      <c r="J603" s="65"/>
      <c r="K603" s="65"/>
      <c r="L603" s="65"/>
      <c r="M603" s="65"/>
      <c r="N603" s="65"/>
      <c r="O603" s="65"/>
      <c r="P603" s="65"/>
      <c r="Q603" s="65"/>
    </row>
    <row r="604">
      <c r="A604" s="63"/>
      <c r="B604" s="63"/>
      <c r="C604" s="27"/>
      <c r="D604" s="63"/>
      <c r="E604" s="63"/>
      <c r="F604" s="63"/>
      <c r="G604" s="27"/>
      <c r="H604" s="65"/>
      <c r="I604" s="65"/>
      <c r="J604" s="65"/>
      <c r="K604" s="65"/>
      <c r="L604" s="65"/>
      <c r="M604" s="65"/>
      <c r="N604" s="65"/>
      <c r="O604" s="65"/>
      <c r="P604" s="65"/>
      <c r="Q604" s="65"/>
    </row>
    <row r="605">
      <c r="A605" s="63"/>
      <c r="B605" s="63"/>
      <c r="C605" s="27"/>
      <c r="D605" s="63"/>
      <c r="E605" s="63"/>
      <c r="F605" s="63"/>
      <c r="G605" s="27"/>
      <c r="H605" s="65"/>
      <c r="I605" s="65"/>
      <c r="J605" s="65"/>
      <c r="K605" s="65"/>
      <c r="L605" s="65"/>
      <c r="M605" s="65"/>
      <c r="N605" s="65"/>
      <c r="O605" s="65"/>
      <c r="P605" s="65"/>
      <c r="Q605" s="65"/>
    </row>
    <row r="606">
      <c r="A606" s="63"/>
      <c r="B606" s="63"/>
      <c r="C606" s="27"/>
      <c r="D606" s="63"/>
      <c r="E606" s="63"/>
      <c r="F606" s="63"/>
      <c r="G606" s="27"/>
      <c r="H606" s="65"/>
      <c r="I606" s="65"/>
      <c r="J606" s="65"/>
      <c r="K606" s="65"/>
      <c r="L606" s="65"/>
      <c r="M606" s="65"/>
      <c r="N606" s="65"/>
      <c r="O606" s="65"/>
      <c r="P606" s="65"/>
      <c r="Q606" s="65"/>
    </row>
    <row r="607">
      <c r="A607" s="63"/>
      <c r="B607" s="63"/>
      <c r="C607" s="27"/>
      <c r="D607" s="63"/>
      <c r="E607" s="63"/>
      <c r="F607" s="63"/>
      <c r="G607" s="27"/>
      <c r="H607" s="65"/>
      <c r="I607" s="65"/>
      <c r="J607" s="65"/>
      <c r="K607" s="65"/>
      <c r="L607" s="65"/>
      <c r="M607" s="65"/>
      <c r="N607" s="65"/>
      <c r="O607" s="65"/>
      <c r="P607" s="65"/>
      <c r="Q607" s="65"/>
    </row>
    <row r="608">
      <c r="A608" s="63"/>
      <c r="B608" s="63"/>
      <c r="C608" s="27"/>
      <c r="D608" s="63"/>
      <c r="E608" s="63"/>
      <c r="F608" s="63"/>
      <c r="G608" s="27"/>
      <c r="H608" s="65"/>
      <c r="I608" s="65"/>
      <c r="J608" s="65"/>
      <c r="K608" s="65"/>
      <c r="L608" s="65"/>
      <c r="M608" s="65"/>
      <c r="N608" s="65"/>
      <c r="O608" s="65"/>
      <c r="P608" s="65"/>
      <c r="Q608" s="65"/>
    </row>
    <row r="609">
      <c r="A609" s="63"/>
      <c r="B609" s="63"/>
      <c r="C609" s="27"/>
      <c r="D609" s="63"/>
      <c r="E609" s="63"/>
      <c r="F609" s="63"/>
      <c r="G609" s="27"/>
      <c r="H609" s="65"/>
      <c r="I609" s="65"/>
      <c r="J609" s="65"/>
      <c r="K609" s="65"/>
      <c r="L609" s="65"/>
      <c r="M609" s="65"/>
      <c r="N609" s="65"/>
      <c r="O609" s="65"/>
      <c r="P609" s="65"/>
      <c r="Q609" s="65"/>
    </row>
    <row r="610">
      <c r="A610" s="63"/>
      <c r="B610" s="63"/>
      <c r="C610" s="27"/>
      <c r="D610" s="63"/>
      <c r="E610" s="63"/>
      <c r="F610" s="63"/>
      <c r="G610" s="27"/>
      <c r="H610" s="65"/>
      <c r="I610" s="65"/>
      <c r="J610" s="65"/>
      <c r="K610" s="65"/>
      <c r="L610" s="65"/>
      <c r="M610" s="65"/>
      <c r="N610" s="65"/>
      <c r="O610" s="65"/>
      <c r="P610" s="65"/>
      <c r="Q610" s="65"/>
    </row>
    <row r="611">
      <c r="A611" s="63"/>
      <c r="B611" s="63"/>
      <c r="C611" s="27"/>
      <c r="D611" s="63"/>
      <c r="E611" s="63"/>
      <c r="F611" s="63"/>
      <c r="G611" s="27"/>
      <c r="H611" s="65"/>
      <c r="I611" s="65"/>
      <c r="J611" s="65"/>
      <c r="K611" s="65"/>
      <c r="L611" s="65"/>
      <c r="M611" s="65"/>
      <c r="N611" s="65"/>
      <c r="O611" s="65"/>
      <c r="P611" s="65"/>
      <c r="Q611" s="65"/>
    </row>
    <row r="612">
      <c r="A612" s="63"/>
      <c r="B612" s="63"/>
      <c r="C612" s="27"/>
      <c r="D612" s="63"/>
      <c r="E612" s="63"/>
      <c r="F612" s="63"/>
      <c r="G612" s="27"/>
      <c r="H612" s="65"/>
      <c r="I612" s="65"/>
      <c r="J612" s="65"/>
      <c r="K612" s="65"/>
      <c r="L612" s="65"/>
      <c r="M612" s="65"/>
      <c r="N612" s="65"/>
      <c r="O612" s="65"/>
      <c r="P612" s="65"/>
      <c r="Q612" s="65"/>
    </row>
    <row r="613">
      <c r="A613" s="63"/>
      <c r="B613" s="63"/>
      <c r="C613" s="27"/>
      <c r="D613" s="63"/>
      <c r="E613" s="63"/>
      <c r="F613" s="63"/>
      <c r="G613" s="27"/>
      <c r="H613" s="65"/>
      <c r="I613" s="65"/>
      <c r="J613" s="65"/>
      <c r="K613" s="65"/>
      <c r="L613" s="65"/>
      <c r="M613" s="65"/>
      <c r="N613" s="65"/>
      <c r="O613" s="65"/>
      <c r="P613" s="65"/>
      <c r="Q613" s="65"/>
    </row>
    <row r="614">
      <c r="A614" s="63"/>
      <c r="B614" s="63"/>
      <c r="C614" s="27"/>
      <c r="D614" s="63"/>
      <c r="E614" s="63"/>
      <c r="F614" s="63"/>
      <c r="G614" s="27"/>
      <c r="H614" s="65"/>
      <c r="I614" s="65"/>
      <c r="J614" s="65"/>
      <c r="K614" s="65"/>
      <c r="L614" s="65"/>
      <c r="M614" s="65"/>
      <c r="N614" s="65"/>
      <c r="O614" s="65"/>
      <c r="P614" s="65"/>
      <c r="Q614" s="65"/>
    </row>
    <row r="615">
      <c r="A615" s="63"/>
      <c r="B615" s="63"/>
      <c r="C615" s="27"/>
      <c r="D615" s="63"/>
      <c r="E615" s="63"/>
      <c r="F615" s="63"/>
      <c r="G615" s="27"/>
      <c r="H615" s="65"/>
      <c r="I615" s="65"/>
      <c r="J615" s="65"/>
      <c r="K615" s="65"/>
      <c r="L615" s="65"/>
      <c r="M615" s="65"/>
      <c r="N615" s="65"/>
      <c r="O615" s="65"/>
      <c r="P615" s="65"/>
      <c r="Q615" s="65"/>
    </row>
    <row r="616">
      <c r="A616" s="63"/>
      <c r="B616" s="63"/>
      <c r="C616" s="27"/>
      <c r="D616" s="63"/>
      <c r="E616" s="63"/>
      <c r="F616" s="63"/>
      <c r="G616" s="27"/>
      <c r="H616" s="65"/>
      <c r="I616" s="65"/>
      <c r="J616" s="65"/>
      <c r="K616" s="65"/>
      <c r="L616" s="65"/>
      <c r="M616" s="65"/>
      <c r="N616" s="65"/>
      <c r="O616" s="65"/>
      <c r="P616" s="65"/>
      <c r="Q616" s="65"/>
    </row>
    <row r="617">
      <c r="A617" s="63"/>
      <c r="B617" s="63"/>
      <c r="C617" s="27"/>
      <c r="D617" s="63"/>
      <c r="E617" s="63"/>
      <c r="F617" s="63"/>
      <c r="G617" s="27"/>
      <c r="H617" s="65"/>
      <c r="I617" s="65"/>
      <c r="J617" s="65"/>
      <c r="K617" s="65"/>
      <c r="L617" s="65"/>
      <c r="M617" s="65"/>
      <c r="N617" s="65"/>
      <c r="O617" s="65"/>
      <c r="P617" s="65"/>
      <c r="Q617" s="65"/>
    </row>
    <row r="618">
      <c r="A618" s="63"/>
      <c r="B618" s="63"/>
      <c r="C618" s="27"/>
      <c r="D618" s="63"/>
      <c r="E618" s="63"/>
      <c r="F618" s="63"/>
      <c r="G618" s="27"/>
      <c r="H618" s="65"/>
      <c r="I618" s="65"/>
      <c r="J618" s="65"/>
      <c r="K618" s="65"/>
      <c r="L618" s="65"/>
      <c r="M618" s="65"/>
      <c r="N618" s="65"/>
      <c r="O618" s="65"/>
      <c r="P618" s="65"/>
      <c r="Q618" s="65"/>
    </row>
    <row r="619">
      <c r="A619" s="63"/>
      <c r="B619" s="63"/>
      <c r="C619" s="27"/>
      <c r="D619" s="63"/>
      <c r="E619" s="63"/>
      <c r="F619" s="63"/>
      <c r="G619" s="27"/>
      <c r="H619" s="65"/>
      <c r="I619" s="65"/>
      <c r="J619" s="65"/>
      <c r="K619" s="65"/>
      <c r="L619" s="65"/>
      <c r="M619" s="65"/>
      <c r="N619" s="65"/>
      <c r="O619" s="65"/>
      <c r="P619" s="65"/>
      <c r="Q619" s="65"/>
    </row>
    <row r="620">
      <c r="A620" s="63"/>
      <c r="B620" s="63"/>
      <c r="C620" s="27"/>
      <c r="D620" s="63"/>
      <c r="E620" s="63"/>
      <c r="F620" s="63"/>
      <c r="G620" s="27"/>
      <c r="H620" s="65"/>
      <c r="I620" s="65"/>
      <c r="J620" s="65"/>
      <c r="K620" s="65"/>
      <c r="L620" s="65"/>
      <c r="M620" s="65"/>
      <c r="N620" s="65"/>
      <c r="O620" s="65"/>
      <c r="P620" s="65"/>
      <c r="Q620" s="65"/>
    </row>
    <row r="621">
      <c r="A621" s="63"/>
      <c r="B621" s="63"/>
      <c r="C621" s="27"/>
      <c r="D621" s="63"/>
      <c r="E621" s="63"/>
      <c r="F621" s="63"/>
      <c r="G621" s="27"/>
      <c r="H621" s="65"/>
      <c r="I621" s="65"/>
      <c r="J621" s="65"/>
      <c r="K621" s="65"/>
      <c r="L621" s="65"/>
      <c r="M621" s="65"/>
      <c r="N621" s="65"/>
      <c r="O621" s="65"/>
      <c r="P621" s="65"/>
      <c r="Q621" s="65"/>
    </row>
    <row r="622">
      <c r="A622" s="63"/>
      <c r="B622" s="63"/>
      <c r="C622" s="27"/>
      <c r="D622" s="63"/>
      <c r="E622" s="63"/>
      <c r="F622" s="63"/>
      <c r="G622" s="27"/>
      <c r="H622" s="65"/>
      <c r="I622" s="65"/>
      <c r="J622" s="65"/>
      <c r="K622" s="65"/>
      <c r="L622" s="65"/>
      <c r="M622" s="65"/>
      <c r="N622" s="65"/>
      <c r="O622" s="65"/>
      <c r="P622" s="65"/>
      <c r="Q622" s="65"/>
    </row>
    <row r="623">
      <c r="A623" s="63"/>
      <c r="B623" s="63"/>
      <c r="C623" s="27"/>
      <c r="D623" s="63"/>
      <c r="E623" s="63"/>
      <c r="F623" s="63"/>
      <c r="G623" s="27"/>
      <c r="H623" s="65"/>
      <c r="I623" s="65"/>
      <c r="J623" s="65"/>
      <c r="K623" s="65"/>
      <c r="L623" s="65"/>
      <c r="M623" s="65"/>
      <c r="N623" s="65"/>
      <c r="O623" s="65"/>
      <c r="P623" s="65"/>
      <c r="Q623" s="65"/>
    </row>
    <row r="624">
      <c r="A624" s="63"/>
      <c r="B624" s="63"/>
      <c r="C624" s="27"/>
      <c r="D624" s="63"/>
      <c r="E624" s="63"/>
      <c r="F624" s="63"/>
      <c r="G624" s="27"/>
      <c r="H624" s="65"/>
      <c r="I624" s="65"/>
      <c r="J624" s="65"/>
      <c r="K624" s="65"/>
      <c r="L624" s="65"/>
      <c r="M624" s="65"/>
      <c r="N624" s="65"/>
      <c r="O624" s="65"/>
      <c r="P624" s="65"/>
      <c r="Q624" s="65"/>
    </row>
    <row r="625">
      <c r="A625" s="63"/>
      <c r="B625" s="63"/>
      <c r="C625" s="27"/>
      <c r="D625" s="63"/>
      <c r="E625" s="63"/>
      <c r="F625" s="63"/>
      <c r="G625" s="27"/>
      <c r="H625" s="65"/>
      <c r="I625" s="65"/>
      <c r="J625" s="65"/>
      <c r="K625" s="65"/>
      <c r="L625" s="65"/>
      <c r="M625" s="65"/>
      <c r="N625" s="65"/>
      <c r="O625" s="65"/>
      <c r="P625" s="65"/>
      <c r="Q625" s="65"/>
    </row>
    <row r="626">
      <c r="A626" s="63"/>
      <c r="B626" s="63"/>
      <c r="C626" s="27"/>
      <c r="D626" s="63"/>
      <c r="E626" s="63"/>
      <c r="F626" s="63"/>
      <c r="G626" s="27"/>
      <c r="H626" s="65"/>
      <c r="I626" s="65"/>
      <c r="J626" s="65"/>
      <c r="K626" s="65"/>
      <c r="L626" s="65"/>
      <c r="M626" s="65"/>
      <c r="N626" s="65"/>
      <c r="O626" s="65"/>
      <c r="P626" s="65"/>
      <c r="Q626" s="65"/>
    </row>
    <row r="627">
      <c r="A627" s="63"/>
      <c r="B627" s="63"/>
      <c r="C627" s="27"/>
      <c r="D627" s="63"/>
      <c r="E627" s="63"/>
      <c r="F627" s="63"/>
      <c r="G627" s="27"/>
      <c r="H627" s="65"/>
      <c r="I627" s="65"/>
      <c r="J627" s="65"/>
      <c r="K627" s="65"/>
      <c r="L627" s="65"/>
      <c r="M627" s="65"/>
      <c r="N627" s="65"/>
      <c r="O627" s="65"/>
      <c r="P627" s="65"/>
      <c r="Q627" s="65"/>
    </row>
    <row r="628">
      <c r="A628" s="63"/>
      <c r="B628" s="63"/>
      <c r="C628" s="27"/>
      <c r="D628" s="63"/>
      <c r="E628" s="63"/>
      <c r="F628" s="63"/>
      <c r="G628" s="27"/>
      <c r="H628" s="65"/>
      <c r="I628" s="65"/>
      <c r="J628" s="65"/>
      <c r="K628" s="65"/>
      <c r="L628" s="65"/>
      <c r="M628" s="65"/>
      <c r="N628" s="65"/>
      <c r="O628" s="65"/>
      <c r="P628" s="65"/>
      <c r="Q628" s="65"/>
    </row>
    <row r="629">
      <c r="A629" s="63"/>
      <c r="B629" s="63"/>
      <c r="C629" s="27"/>
      <c r="D629" s="63"/>
      <c r="E629" s="63"/>
      <c r="F629" s="63"/>
      <c r="G629" s="27"/>
      <c r="H629" s="65"/>
      <c r="I629" s="65"/>
      <c r="J629" s="65"/>
      <c r="K629" s="65"/>
      <c r="L629" s="65"/>
      <c r="M629" s="65"/>
      <c r="N629" s="65"/>
      <c r="O629" s="65"/>
      <c r="P629" s="65"/>
      <c r="Q629" s="65"/>
    </row>
    <row r="630">
      <c r="A630" s="63"/>
      <c r="B630" s="63"/>
      <c r="C630" s="27"/>
      <c r="D630" s="63"/>
      <c r="E630" s="63"/>
      <c r="F630" s="63"/>
      <c r="G630" s="27"/>
      <c r="H630" s="65"/>
      <c r="I630" s="65"/>
      <c r="J630" s="65"/>
      <c r="K630" s="65"/>
      <c r="L630" s="65"/>
      <c r="M630" s="65"/>
      <c r="N630" s="65"/>
      <c r="O630" s="65"/>
      <c r="P630" s="65"/>
      <c r="Q630" s="65"/>
    </row>
    <row r="631">
      <c r="A631" s="63"/>
      <c r="B631" s="63"/>
      <c r="C631" s="27"/>
      <c r="D631" s="63"/>
      <c r="E631" s="63"/>
      <c r="F631" s="63"/>
      <c r="G631" s="27"/>
      <c r="H631" s="65"/>
      <c r="I631" s="65"/>
      <c r="J631" s="65"/>
      <c r="K631" s="65"/>
      <c r="L631" s="65"/>
      <c r="M631" s="65"/>
      <c r="N631" s="65"/>
      <c r="O631" s="65"/>
      <c r="P631" s="65"/>
      <c r="Q631" s="65"/>
    </row>
    <row r="632">
      <c r="A632" s="63"/>
      <c r="B632" s="63"/>
      <c r="C632" s="27"/>
      <c r="D632" s="63"/>
      <c r="E632" s="63"/>
      <c r="F632" s="63"/>
      <c r="G632" s="27"/>
      <c r="H632" s="65"/>
      <c r="I632" s="65"/>
      <c r="J632" s="65"/>
      <c r="K632" s="65"/>
      <c r="L632" s="65"/>
      <c r="M632" s="65"/>
      <c r="N632" s="65"/>
      <c r="O632" s="65"/>
      <c r="P632" s="65"/>
      <c r="Q632" s="65"/>
    </row>
    <row r="633">
      <c r="A633" s="63"/>
      <c r="B633" s="63"/>
      <c r="C633" s="27"/>
      <c r="D633" s="63"/>
      <c r="E633" s="63"/>
      <c r="F633" s="63"/>
      <c r="G633" s="27"/>
      <c r="H633" s="65"/>
      <c r="I633" s="65"/>
      <c r="J633" s="65"/>
      <c r="K633" s="65"/>
      <c r="L633" s="65"/>
      <c r="M633" s="65"/>
      <c r="N633" s="65"/>
      <c r="O633" s="65"/>
      <c r="P633" s="65"/>
      <c r="Q633" s="65"/>
    </row>
    <row r="634">
      <c r="A634" s="63"/>
      <c r="B634" s="63"/>
      <c r="C634" s="27"/>
      <c r="D634" s="63"/>
      <c r="E634" s="63"/>
      <c r="F634" s="63"/>
      <c r="G634" s="27"/>
      <c r="H634" s="65"/>
      <c r="I634" s="65"/>
      <c r="J634" s="65"/>
      <c r="K634" s="65"/>
      <c r="L634" s="65"/>
      <c r="M634" s="65"/>
      <c r="N634" s="65"/>
      <c r="O634" s="65"/>
      <c r="P634" s="65"/>
      <c r="Q634" s="65"/>
    </row>
    <row r="635">
      <c r="A635" s="63"/>
      <c r="B635" s="63"/>
      <c r="C635" s="27"/>
      <c r="D635" s="63"/>
      <c r="E635" s="63"/>
      <c r="F635" s="63"/>
      <c r="G635" s="27"/>
      <c r="H635" s="65"/>
      <c r="I635" s="65"/>
      <c r="J635" s="65"/>
      <c r="K635" s="65"/>
      <c r="L635" s="65"/>
      <c r="M635" s="65"/>
      <c r="N635" s="65"/>
      <c r="O635" s="65"/>
      <c r="P635" s="65"/>
      <c r="Q635" s="65"/>
    </row>
    <row r="636">
      <c r="A636" s="63"/>
      <c r="B636" s="63"/>
      <c r="C636" s="27"/>
      <c r="D636" s="63"/>
      <c r="E636" s="63"/>
      <c r="F636" s="63"/>
      <c r="G636" s="27"/>
      <c r="H636" s="65"/>
      <c r="I636" s="65"/>
      <c r="J636" s="65"/>
      <c r="K636" s="65"/>
      <c r="L636" s="65"/>
      <c r="M636" s="65"/>
      <c r="N636" s="65"/>
      <c r="O636" s="65"/>
      <c r="P636" s="65"/>
      <c r="Q636" s="65"/>
    </row>
    <row r="637">
      <c r="A637" s="63"/>
      <c r="B637" s="63"/>
      <c r="C637" s="27"/>
      <c r="D637" s="63"/>
      <c r="E637" s="63"/>
      <c r="F637" s="63"/>
      <c r="G637" s="27"/>
      <c r="H637" s="65"/>
      <c r="I637" s="65"/>
      <c r="J637" s="65"/>
      <c r="K637" s="65"/>
      <c r="L637" s="65"/>
      <c r="M637" s="65"/>
      <c r="N637" s="65"/>
      <c r="O637" s="65"/>
      <c r="P637" s="65"/>
      <c r="Q637" s="65"/>
    </row>
    <row r="638">
      <c r="A638" s="63"/>
      <c r="B638" s="63"/>
      <c r="C638" s="27"/>
      <c r="D638" s="63"/>
      <c r="E638" s="63"/>
      <c r="F638" s="63"/>
      <c r="G638" s="27"/>
      <c r="H638" s="65"/>
      <c r="I638" s="65"/>
      <c r="J638" s="65"/>
      <c r="K638" s="65"/>
      <c r="L638" s="65"/>
      <c r="M638" s="65"/>
      <c r="N638" s="65"/>
      <c r="O638" s="65"/>
      <c r="P638" s="65"/>
      <c r="Q638" s="65"/>
    </row>
    <row r="639">
      <c r="A639" s="63"/>
      <c r="B639" s="63"/>
      <c r="C639" s="27"/>
      <c r="D639" s="63"/>
      <c r="E639" s="63"/>
      <c r="F639" s="63"/>
      <c r="G639" s="27"/>
      <c r="H639" s="65"/>
      <c r="I639" s="65"/>
      <c r="J639" s="65"/>
      <c r="K639" s="65"/>
      <c r="L639" s="65"/>
      <c r="M639" s="65"/>
      <c r="N639" s="65"/>
      <c r="O639" s="65"/>
      <c r="P639" s="65"/>
      <c r="Q639" s="65"/>
    </row>
    <row r="640">
      <c r="A640" s="63"/>
      <c r="B640" s="63"/>
      <c r="C640" s="27"/>
      <c r="D640" s="63"/>
      <c r="E640" s="63"/>
      <c r="F640" s="63"/>
      <c r="G640" s="27"/>
      <c r="H640" s="65"/>
      <c r="I640" s="65"/>
      <c r="J640" s="65"/>
      <c r="K640" s="65"/>
      <c r="L640" s="65"/>
      <c r="M640" s="65"/>
      <c r="N640" s="65"/>
      <c r="O640" s="65"/>
      <c r="P640" s="65"/>
      <c r="Q640" s="65"/>
    </row>
    <row r="641">
      <c r="A641" s="63"/>
      <c r="B641" s="63"/>
      <c r="C641" s="27"/>
      <c r="D641" s="63"/>
      <c r="E641" s="63"/>
      <c r="F641" s="63"/>
      <c r="G641" s="27"/>
      <c r="H641" s="65"/>
      <c r="I641" s="65"/>
      <c r="J641" s="65"/>
      <c r="K641" s="65"/>
      <c r="L641" s="65"/>
      <c r="M641" s="65"/>
      <c r="N641" s="65"/>
      <c r="O641" s="65"/>
      <c r="P641" s="65"/>
      <c r="Q641" s="65"/>
    </row>
    <row r="642">
      <c r="A642" s="63"/>
      <c r="B642" s="63"/>
      <c r="C642" s="27"/>
      <c r="D642" s="63"/>
      <c r="E642" s="63"/>
      <c r="F642" s="63"/>
      <c r="G642" s="27"/>
      <c r="H642" s="65"/>
      <c r="I642" s="65"/>
      <c r="J642" s="65"/>
      <c r="K642" s="65"/>
      <c r="L642" s="65"/>
      <c r="M642" s="65"/>
      <c r="N642" s="65"/>
      <c r="O642" s="65"/>
      <c r="P642" s="65"/>
      <c r="Q642" s="65"/>
    </row>
    <row r="643">
      <c r="A643" s="63"/>
      <c r="B643" s="63"/>
      <c r="C643" s="27"/>
      <c r="D643" s="63"/>
      <c r="E643" s="63"/>
      <c r="F643" s="63"/>
      <c r="G643" s="27"/>
      <c r="H643" s="65"/>
      <c r="I643" s="65"/>
      <c r="J643" s="65"/>
      <c r="K643" s="65"/>
      <c r="L643" s="65"/>
      <c r="M643" s="65"/>
      <c r="N643" s="65"/>
      <c r="O643" s="65"/>
      <c r="P643" s="65"/>
      <c r="Q643" s="65"/>
    </row>
    <row r="644">
      <c r="A644" s="63"/>
      <c r="B644" s="63"/>
      <c r="C644" s="27"/>
      <c r="D644" s="63"/>
      <c r="E644" s="63"/>
      <c r="F644" s="63"/>
      <c r="G644" s="27"/>
      <c r="H644" s="65"/>
      <c r="I644" s="65"/>
      <c r="J644" s="65"/>
      <c r="K644" s="65"/>
      <c r="L644" s="65"/>
      <c r="M644" s="65"/>
      <c r="N644" s="65"/>
      <c r="O644" s="65"/>
      <c r="P644" s="65"/>
      <c r="Q644" s="65"/>
    </row>
    <row r="645">
      <c r="A645" s="63"/>
      <c r="B645" s="63"/>
      <c r="C645" s="27"/>
      <c r="D645" s="63"/>
      <c r="E645" s="63"/>
      <c r="F645" s="63"/>
      <c r="G645" s="27"/>
      <c r="H645" s="65"/>
      <c r="I645" s="65"/>
      <c r="J645" s="65"/>
      <c r="K645" s="65"/>
      <c r="L645" s="65"/>
      <c r="M645" s="65"/>
      <c r="N645" s="65"/>
      <c r="O645" s="65"/>
      <c r="P645" s="65"/>
      <c r="Q645" s="65"/>
    </row>
    <row r="646">
      <c r="A646" s="63"/>
      <c r="B646" s="63"/>
      <c r="C646" s="27"/>
      <c r="D646" s="63"/>
      <c r="E646" s="63"/>
      <c r="F646" s="63"/>
      <c r="G646" s="27"/>
      <c r="H646" s="65"/>
      <c r="I646" s="65"/>
      <c r="J646" s="65"/>
      <c r="K646" s="65"/>
      <c r="L646" s="65"/>
      <c r="M646" s="65"/>
      <c r="N646" s="65"/>
      <c r="O646" s="65"/>
      <c r="P646" s="65"/>
      <c r="Q646" s="65"/>
    </row>
    <row r="647">
      <c r="A647" s="63"/>
      <c r="B647" s="63"/>
      <c r="C647" s="27"/>
      <c r="D647" s="63"/>
      <c r="E647" s="63"/>
      <c r="F647" s="63"/>
      <c r="G647" s="27"/>
      <c r="H647" s="65"/>
      <c r="I647" s="65"/>
      <c r="J647" s="65"/>
      <c r="K647" s="65"/>
      <c r="L647" s="65"/>
      <c r="M647" s="65"/>
      <c r="N647" s="65"/>
      <c r="O647" s="65"/>
      <c r="P647" s="65"/>
      <c r="Q647" s="65"/>
    </row>
    <row r="648">
      <c r="A648" s="63"/>
      <c r="B648" s="63"/>
      <c r="C648" s="27"/>
      <c r="D648" s="63"/>
      <c r="E648" s="63"/>
      <c r="F648" s="63"/>
      <c r="G648" s="27"/>
      <c r="H648" s="65"/>
      <c r="I648" s="65"/>
      <c r="J648" s="65"/>
      <c r="K648" s="65"/>
      <c r="L648" s="65"/>
      <c r="M648" s="65"/>
      <c r="N648" s="65"/>
      <c r="O648" s="65"/>
      <c r="P648" s="65"/>
      <c r="Q648" s="65"/>
    </row>
    <row r="649">
      <c r="A649" s="63"/>
      <c r="B649" s="63"/>
      <c r="C649" s="27"/>
      <c r="D649" s="63"/>
      <c r="E649" s="63"/>
      <c r="F649" s="63"/>
      <c r="G649" s="27"/>
      <c r="H649" s="65"/>
      <c r="I649" s="65"/>
      <c r="J649" s="65"/>
      <c r="K649" s="65"/>
      <c r="L649" s="65"/>
      <c r="M649" s="65"/>
      <c r="N649" s="65"/>
      <c r="O649" s="65"/>
      <c r="P649" s="65"/>
      <c r="Q649" s="65"/>
    </row>
    <row r="650">
      <c r="A650" s="63"/>
      <c r="B650" s="63"/>
      <c r="C650" s="27"/>
      <c r="D650" s="63"/>
      <c r="E650" s="63"/>
      <c r="F650" s="63"/>
      <c r="G650" s="27"/>
      <c r="H650" s="65"/>
      <c r="I650" s="65"/>
      <c r="J650" s="65"/>
      <c r="K650" s="65"/>
      <c r="L650" s="65"/>
      <c r="M650" s="65"/>
      <c r="N650" s="65"/>
      <c r="O650" s="65"/>
      <c r="P650" s="65"/>
      <c r="Q650" s="65"/>
    </row>
    <row r="651">
      <c r="A651" s="63"/>
      <c r="B651" s="63"/>
      <c r="C651" s="27"/>
      <c r="D651" s="63"/>
      <c r="E651" s="63"/>
      <c r="F651" s="63"/>
      <c r="G651" s="27"/>
      <c r="H651" s="65"/>
      <c r="I651" s="65"/>
      <c r="J651" s="65"/>
      <c r="K651" s="65"/>
      <c r="L651" s="65"/>
      <c r="M651" s="65"/>
      <c r="N651" s="65"/>
      <c r="O651" s="65"/>
      <c r="P651" s="65"/>
      <c r="Q651" s="65"/>
    </row>
    <row r="652">
      <c r="A652" s="63"/>
      <c r="B652" s="63"/>
      <c r="C652" s="27"/>
      <c r="D652" s="63"/>
      <c r="E652" s="63"/>
      <c r="F652" s="63"/>
      <c r="G652" s="27"/>
      <c r="H652" s="65"/>
      <c r="I652" s="65"/>
      <c r="J652" s="65"/>
      <c r="K652" s="65"/>
      <c r="L652" s="65"/>
      <c r="M652" s="65"/>
      <c r="N652" s="65"/>
      <c r="O652" s="65"/>
      <c r="P652" s="65"/>
      <c r="Q652" s="65"/>
    </row>
    <row r="653">
      <c r="A653" s="63"/>
      <c r="B653" s="63"/>
      <c r="C653" s="27"/>
      <c r="D653" s="63"/>
      <c r="E653" s="63"/>
      <c r="F653" s="63"/>
      <c r="G653" s="27"/>
      <c r="H653" s="65"/>
      <c r="I653" s="65"/>
      <c r="J653" s="65"/>
      <c r="K653" s="65"/>
      <c r="L653" s="65"/>
      <c r="M653" s="65"/>
      <c r="N653" s="65"/>
      <c r="O653" s="65"/>
      <c r="P653" s="65"/>
      <c r="Q653" s="65"/>
    </row>
    <row r="654">
      <c r="A654" s="63"/>
      <c r="B654" s="63"/>
      <c r="C654" s="27"/>
      <c r="D654" s="63"/>
      <c r="E654" s="63"/>
      <c r="F654" s="63"/>
      <c r="G654" s="27"/>
      <c r="H654" s="65"/>
      <c r="I654" s="65"/>
      <c r="J654" s="65"/>
      <c r="K654" s="65"/>
      <c r="L654" s="65"/>
      <c r="M654" s="65"/>
      <c r="N654" s="65"/>
      <c r="O654" s="65"/>
      <c r="P654" s="65"/>
      <c r="Q654" s="65"/>
    </row>
    <row r="655">
      <c r="A655" s="63"/>
      <c r="B655" s="63"/>
      <c r="C655" s="27"/>
      <c r="D655" s="63"/>
      <c r="E655" s="63"/>
      <c r="F655" s="63"/>
      <c r="G655" s="27"/>
      <c r="H655" s="65"/>
      <c r="I655" s="65"/>
      <c r="J655" s="65"/>
      <c r="K655" s="65"/>
      <c r="L655" s="65"/>
      <c r="M655" s="65"/>
      <c r="N655" s="65"/>
      <c r="O655" s="65"/>
      <c r="P655" s="65"/>
      <c r="Q655" s="65"/>
    </row>
    <row r="656">
      <c r="A656" s="63"/>
      <c r="B656" s="63"/>
      <c r="C656" s="27"/>
      <c r="D656" s="63"/>
      <c r="E656" s="63"/>
      <c r="F656" s="63"/>
      <c r="G656" s="27"/>
      <c r="H656" s="65"/>
      <c r="I656" s="65"/>
      <c r="J656" s="65"/>
      <c r="K656" s="65"/>
      <c r="L656" s="65"/>
      <c r="M656" s="65"/>
      <c r="N656" s="65"/>
      <c r="O656" s="65"/>
      <c r="P656" s="65"/>
      <c r="Q656" s="65"/>
    </row>
    <row r="657">
      <c r="A657" s="63"/>
      <c r="B657" s="63"/>
      <c r="C657" s="27"/>
      <c r="D657" s="63"/>
      <c r="E657" s="63"/>
      <c r="F657" s="63"/>
      <c r="G657" s="27"/>
      <c r="H657" s="65"/>
      <c r="I657" s="65"/>
      <c r="J657" s="65"/>
      <c r="K657" s="65"/>
      <c r="L657" s="65"/>
      <c r="M657" s="65"/>
      <c r="N657" s="65"/>
      <c r="O657" s="65"/>
      <c r="P657" s="65"/>
      <c r="Q657" s="65"/>
    </row>
    <row r="658">
      <c r="A658" s="63"/>
      <c r="B658" s="63"/>
      <c r="C658" s="27"/>
      <c r="D658" s="63"/>
      <c r="E658" s="63"/>
      <c r="F658" s="63"/>
      <c r="G658" s="27"/>
      <c r="H658" s="65"/>
      <c r="I658" s="65"/>
      <c r="J658" s="65"/>
      <c r="K658" s="65"/>
      <c r="L658" s="65"/>
      <c r="M658" s="65"/>
      <c r="N658" s="65"/>
      <c r="O658" s="65"/>
      <c r="P658" s="65"/>
      <c r="Q658" s="65"/>
    </row>
    <row r="659">
      <c r="A659" s="63"/>
      <c r="B659" s="63"/>
      <c r="C659" s="27"/>
      <c r="D659" s="63"/>
      <c r="E659" s="63"/>
      <c r="F659" s="63"/>
      <c r="G659" s="27"/>
      <c r="H659" s="65"/>
      <c r="I659" s="65"/>
      <c r="J659" s="65"/>
      <c r="K659" s="65"/>
      <c r="L659" s="65"/>
      <c r="M659" s="65"/>
      <c r="N659" s="65"/>
      <c r="O659" s="65"/>
      <c r="P659" s="65"/>
      <c r="Q659" s="65"/>
    </row>
    <row r="660">
      <c r="A660" s="63"/>
      <c r="B660" s="63"/>
      <c r="C660" s="27"/>
      <c r="D660" s="63"/>
      <c r="E660" s="63"/>
      <c r="F660" s="63"/>
      <c r="G660" s="27"/>
      <c r="H660" s="65"/>
      <c r="I660" s="65"/>
      <c r="J660" s="65"/>
      <c r="K660" s="65"/>
      <c r="L660" s="65"/>
      <c r="M660" s="65"/>
      <c r="N660" s="65"/>
      <c r="O660" s="65"/>
      <c r="P660" s="65"/>
      <c r="Q660" s="65"/>
    </row>
    <row r="661">
      <c r="A661" s="63"/>
      <c r="B661" s="63"/>
      <c r="C661" s="27"/>
      <c r="D661" s="63"/>
      <c r="E661" s="63"/>
      <c r="F661" s="63"/>
      <c r="G661" s="27"/>
      <c r="H661" s="65"/>
      <c r="I661" s="65"/>
      <c r="J661" s="65"/>
      <c r="K661" s="65"/>
      <c r="L661" s="65"/>
      <c r="M661" s="65"/>
      <c r="N661" s="65"/>
      <c r="O661" s="65"/>
      <c r="P661" s="65"/>
      <c r="Q661" s="65"/>
    </row>
    <row r="662">
      <c r="A662" s="63"/>
      <c r="B662" s="63"/>
      <c r="C662" s="27"/>
      <c r="D662" s="63"/>
      <c r="E662" s="63"/>
      <c r="F662" s="63"/>
      <c r="G662" s="27"/>
      <c r="H662" s="65"/>
      <c r="I662" s="65"/>
      <c r="J662" s="65"/>
      <c r="K662" s="65"/>
      <c r="L662" s="65"/>
      <c r="M662" s="65"/>
      <c r="N662" s="65"/>
      <c r="O662" s="65"/>
      <c r="P662" s="65"/>
      <c r="Q662" s="65"/>
    </row>
    <row r="663">
      <c r="A663" s="63"/>
      <c r="B663" s="63"/>
      <c r="C663" s="27"/>
      <c r="D663" s="63"/>
      <c r="E663" s="63"/>
      <c r="F663" s="63"/>
      <c r="G663" s="27"/>
      <c r="H663" s="65"/>
      <c r="I663" s="65"/>
      <c r="J663" s="65"/>
      <c r="K663" s="65"/>
      <c r="L663" s="65"/>
      <c r="M663" s="65"/>
      <c r="N663" s="65"/>
      <c r="O663" s="65"/>
      <c r="P663" s="65"/>
      <c r="Q663" s="65"/>
    </row>
    <row r="664">
      <c r="A664" s="63"/>
      <c r="B664" s="63"/>
      <c r="C664" s="27"/>
      <c r="D664" s="63"/>
      <c r="E664" s="63"/>
      <c r="F664" s="63"/>
      <c r="G664" s="27"/>
      <c r="H664" s="65"/>
      <c r="I664" s="65"/>
      <c r="J664" s="65"/>
      <c r="K664" s="65"/>
      <c r="L664" s="65"/>
      <c r="M664" s="65"/>
      <c r="N664" s="65"/>
      <c r="O664" s="65"/>
      <c r="P664" s="65"/>
      <c r="Q664" s="65"/>
    </row>
    <row r="665">
      <c r="A665" s="63"/>
      <c r="B665" s="63"/>
      <c r="C665" s="27"/>
      <c r="D665" s="63"/>
      <c r="E665" s="63"/>
      <c r="F665" s="63"/>
      <c r="G665" s="27"/>
      <c r="H665" s="65"/>
      <c r="I665" s="65"/>
      <c r="J665" s="65"/>
      <c r="K665" s="65"/>
      <c r="L665" s="65"/>
      <c r="M665" s="65"/>
      <c r="N665" s="65"/>
      <c r="O665" s="65"/>
      <c r="P665" s="65"/>
      <c r="Q665" s="65"/>
    </row>
    <row r="666">
      <c r="A666" s="63"/>
      <c r="B666" s="63"/>
      <c r="C666" s="27"/>
      <c r="D666" s="63"/>
      <c r="E666" s="63"/>
      <c r="F666" s="63"/>
      <c r="G666" s="27"/>
      <c r="H666" s="65"/>
      <c r="I666" s="65"/>
      <c r="J666" s="65"/>
      <c r="K666" s="65"/>
      <c r="L666" s="65"/>
      <c r="M666" s="65"/>
      <c r="N666" s="65"/>
      <c r="O666" s="65"/>
      <c r="P666" s="65"/>
      <c r="Q666" s="65"/>
    </row>
    <row r="667">
      <c r="A667" s="63"/>
      <c r="B667" s="63"/>
      <c r="C667" s="27"/>
      <c r="D667" s="63"/>
      <c r="E667" s="63"/>
      <c r="F667" s="63"/>
      <c r="G667" s="27"/>
      <c r="H667" s="65"/>
      <c r="I667" s="65"/>
      <c r="J667" s="65"/>
      <c r="K667" s="65"/>
      <c r="L667" s="65"/>
      <c r="M667" s="65"/>
      <c r="N667" s="65"/>
      <c r="O667" s="65"/>
      <c r="P667" s="65"/>
      <c r="Q667" s="65"/>
    </row>
    <row r="668">
      <c r="A668" s="63"/>
      <c r="B668" s="63"/>
      <c r="C668" s="27"/>
      <c r="D668" s="63"/>
      <c r="E668" s="63"/>
      <c r="F668" s="63"/>
      <c r="G668" s="27"/>
      <c r="H668" s="65"/>
      <c r="I668" s="65"/>
      <c r="J668" s="65"/>
      <c r="K668" s="65"/>
      <c r="L668" s="65"/>
      <c r="M668" s="65"/>
      <c r="N668" s="65"/>
      <c r="O668" s="65"/>
      <c r="P668" s="65"/>
      <c r="Q668" s="65"/>
    </row>
    <row r="669">
      <c r="A669" s="63"/>
      <c r="B669" s="63"/>
      <c r="C669" s="27"/>
      <c r="D669" s="63"/>
      <c r="E669" s="63"/>
      <c r="F669" s="63"/>
      <c r="G669" s="27"/>
      <c r="H669" s="65"/>
      <c r="I669" s="65"/>
      <c r="J669" s="65"/>
      <c r="K669" s="65"/>
      <c r="L669" s="65"/>
      <c r="M669" s="65"/>
      <c r="N669" s="65"/>
      <c r="O669" s="65"/>
      <c r="P669" s="65"/>
      <c r="Q669" s="65"/>
    </row>
    <row r="670">
      <c r="A670" s="63"/>
      <c r="B670" s="63"/>
      <c r="C670" s="27"/>
      <c r="D670" s="63"/>
      <c r="E670" s="63"/>
      <c r="F670" s="63"/>
      <c r="G670" s="27"/>
      <c r="H670" s="65"/>
      <c r="I670" s="65"/>
      <c r="J670" s="65"/>
      <c r="K670" s="65"/>
      <c r="L670" s="65"/>
      <c r="M670" s="65"/>
      <c r="N670" s="65"/>
      <c r="O670" s="65"/>
      <c r="P670" s="65"/>
      <c r="Q670" s="65"/>
    </row>
    <row r="671">
      <c r="A671" s="63"/>
      <c r="B671" s="63"/>
      <c r="C671" s="27"/>
      <c r="D671" s="63"/>
      <c r="E671" s="63"/>
      <c r="F671" s="63"/>
      <c r="G671" s="27"/>
      <c r="H671" s="65"/>
      <c r="I671" s="65"/>
      <c r="J671" s="65"/>
      <c r="K671" s="65"/>
      <c r="L671" s="65"/>
      <c r="M671" s="65"/>
      <c r="N671" s="65"/>
      <c r="O671" s="65"/>
      <c r="P671" s="65"/>
      <c r="Q671" s="65"/>
    </row>
    <row r="672">
      <c r="A672" s="63"/>
      <c r="B672" s="63"/>
      <c r="C672" s="27"/>
      <c r="D672" s="63"/>
      <c r="E672" s="63"/>
      <c r="F672" s="63"/>
      <c r="G672" s="27"/>
      <c r="H672" s="65"/>
      <c r="I672" s="65"/>
      <c r="J672" s="65"/>
      <c r="K672" s="65"/>
      <c r="L672" s="65"/>
      <c r="M672" s="65"/>
      <c r="N672" s="65"/>
      <c r="O672" s="65"/>
      <c r="P672" s="65"/>
      <c r="Q672" s="65"/>
    </row>
    <row r="673">
      <c r="A673" s="63"/>
      <c r="B673" s="63"/>
      <c r="C673" s="27"/>
      <c r="D673" s="63"/>
      <c r="E673" s="63"/>
      <c r="F673" s="63"/>
      <c r="G673" s="27"/>
      <c r="H673" s="65"/>
      <c r="I673" s="65"/>
      <c r="J673" s="65"/>
      <c r="K673" s="65"/>
      <c r="L673" s="65"/>
      <c r="M673" s="65"/>
      <c r="N673" s="65"/>
      <c r="O673" s="65"/>
      <c r="P673" s="65"/>
      <c r="Q673" s="65"/>
    </row>
    <row r="674">
      <c r="A674" s="63"/>
      <c r="B674" s="63"/>
      <c r="C674" s="27"/>
      <c r="D674" s="63"/>
      <c r="E674" s="63"/>
      <c r="F674" s="63"/>
      <c r="G674" s="27"/>
      <c r="H674" s="65"/>
      <c r="I674" s="65"/>
      <c r="J674" s="65"/>
      <c r="K674" s="65"/>
      <c r="L674" s="65"/>
      <c r="M674" s="65"/>
      <c r="N674" s="65"/>
      <c r="O674" s="65"/>
      <c r="P674" s="65"/>
      <c r="Q674" s="65"/>
    </row>
    <row r="675">
      <c r="A675" s="63"/>
      <c r="B675" s="63"/>
      <c r="C675" s="27"/>
      <c r="D675" s="63"/>
      <c r="E675" s="63"/>
      <c r="F675" s="63"/>
      <c r="G675" s="27"/>
      <c r="H675" s="65"/>
      <c r="I675" s="65"/>
      <c r="J675" s="65"/>
      <c r="K675" s="65"/>
      <c r="L675" s="65"/>
      <c r="M675" s="65"/>
      <c r="N675" s="65"/>
      <c r="O675" s="65"/>
      <c r="P675" s="65"/>
      <c r="Q675" s="65"/>
    </row>
    <row r="676">
      <c r="A676" s="63"/>
      <c r="B676" s="63"/>
      <c r="C676" s="27"/>
      <c r="D676" s="63"/>
      <c r="E676" s="63"/>
      <c r="F676" s="63"/>
      <c r="G676" s="27"/>
      <c r="H676" s="65"/>
      <c r="I676" s="65"/>
      <c r="J676" s="65"/>
      <c r="K676" s="65"/>
      <c r="L676" s="65"/>
      <c r="M676" s="65"/>
      <c r="N676" s="65"/>
      <c r="O676" s="65"/>
      <c r="P676" s="65"/>
      <c r="Q676" s="65"/>
    </row>
    <row r="677">
      <c r="A677" s="63"/>
      <c r="B677" s="63"/>
      <c r="C677" s="27"/>
      <c r="D677" s="63"/>
      <c r="E677" s="63"/>
      <c r="F677" s="63"/>
      <c r="G677" s="27"/>
      <c r="H677" s="65"/>
      <c r="I677" s="65"/>
      <c r="J677" s="65"/>
      <c r="K677" s="65"/>
      <c r="L677" s="65"/>
      <c r="M677" s="65"/>
      <c r="N677" s="65"/>
      <c r="O677" s="65"/>
      <c r="P677" s="65"/>
      <c r="Q677" s="65"/>
    </row>
    <row r="678">
      <c r="A678" s="63"/>
      <c r="B678" s="63"/>
      <c r="C678" s="27"/>
      <c r="D678" s="63"/>
      <c r="E678" s="63"/>
      <c r="F678" s="63"/>
      <c r="G678" s="27"/>
      <c r="H678" s="65"/>
      <c r="I678" s="65"/>
      <c r="J678" s="65"/>
      <c r="K678" s="65"/>
      <c r="L678" s="65"/>
      <c r="M678" s="65"/>
      <c r="N678" s="65"/>
      <c r="O678" s="65"/>
      <c r="P678" s="65"/>
      <c r="Q678" s="65"/>
    </row>
    <row r="679">
      <c r="A679" s="63"/>
      <c r="B679" s="63"/>
      <c r="C679" s="27"/>
      <c r="D679" s="63"/>
      <c r="E679" s="63"/>
      <c r="F679" s="63"/>
      <c r="G679" s="27"/>
      <c r="H679" s="65"/>
      <c r="I679" s="65"/>
      <c r="J679" s="65"/>
      <c r="K679" s="65"/>
      <c r="L679" s="65"/>
      <c r="M679" s="65"/>
      <c r="N679" s="65"/>
      <c r="O679" s="65"/>
      <c r="P679" s="65"/>
      <c r="Q679" s="65"/>
    </row>
    <row r="680">
      <c r="A680" s="63"/>
      <c r="B680" s="63"/>
      <c r="C680" s="27"/>
      <c r="D680" s="63"/>
      <c r="E680" s="63"/>
      <c r="F680" s="63"/>
      <c r="G680" s="27"/>
      <c r="H680" s="65"/>
      <c r="I680" s="65"/>
      <c r="J680" s="65"/>
      <c r="K680" s="65"/>
      <c r="L680" s="65"/>
      <c r="M680" s="65"/>
      <c r="N680" s="65"/>
      <c r="O680" s="65"/>
      <c r="P680" s="65"/>
      <c r="Q680" s="65"/>
    </row>
    <row r="681">
      <c r="A681" s="63"/>
      <c r="B681" s="63"/>
      <c r="C681" s="27"/>
      <c r="D681" s="63"/>
      <c r="E681" s="63"/>
      <c r="F681" s="63"/>
      <c r="G681" s="27"/>
      <c r="H681" s="65"/>
      <c r="I681" s="65"/>
      <c r="J681" s="65"/>
      <c r="K681" s="65"/>
      <c r="L681" s="65"/>
      <c r="M681" s="65"/>
      <c r="N681" s="65"/>
      <c r="O681" s="65"/>
      <c r="P681" s="65"/>
      <c r="Q681" s="65"/>
    </row>
    <row r="682">
      <c r="A682" s="63"/>
      <c r="B682" s="63"/>
      <c r="C682" s="27"/>
      <c r="D682" s="63"/>
      <c r="E682" s="63"/>
      <c r="F682" s="63"/>
      <c r="G682" s="27"/>
      <c r="H682" s="65"/>
      <c r="I682" s="65"/>
      <c r="J682" s="65"/>
      <c r="K682" s="65"/>
      <c r="L682" s="65"/>
      <c r="M682" s="65"/>
      <c r="N682" s="65"/>
      <c r="O682" s="65"/>
      <c r="P682" s="65"/>
      <c r="Q682" s="65"/>
    </row>
    <row r="683">
      <c r="A683" s="63"/>
      <c r="B683" s="63"/>
      <c r="C683" s="27"/>
      <c r="D683" s="63"/>
      <c r="E683" s="63"/>
      <c r="F683" s="63"/>
      <c r="G683" s="27"/>
      <c r="H683" s="65"/>
      <c r="I683" s="65"/>
      <c r="J683" s="65"/>
      <c r="K683" s="65"/>
      <c r="L683" s="65"/>
      <c r="M683" s="65"/>
      <c r="N683" s="65"/>
      <c r="O683" s="65"/>
      <c r="P683" s="65"/>
      <c r="Q683" s="65"/>
    </row>
    <row r="684">
      <c r="A684" s="63"/>
      <c r="B684" s="63"/>
      <c r="C684" s="27"/>
      <c r="D684" s="63"/>
      <c r="E684" s="63"/>
      <c r="F684" s="63"/>
      <c r="G684" s="27"/>
      <c r="H684" s="65"/>
      <c r="I684" s="65"/>
      <c r="J684" s="65"/>
      <c r="K684" s="65"/>
      <c r="L684" s="65"/>
      <c r="M684" s="65"/>
      <c r="N684" s="65"/>
      <c r="O684" s="65"/>
      <c r="P684" s="65"/>
      <c r="Q684" s="65"/>
    </row>
    <row r="685">
      <c r="A685" s="63"/>
      <c r="B685" s="63"/>
      <c r="C685" s="27"/>
      <c r="D685" s="63"/>
      <c r="E685" s="63"/>
      <c r="F685" s="63"/>
      <c r="G685" s="27"/>
      <c r="H685" s="65"/>
      <c r="I685" s="65"/>
      <c r="J685" s="65"/>
      <c r="K685" s="65"/>
      <c r="L685" s="65"/>
      <c r="M685" s="65"/>
      <c r="N685" s="65"/>
      <c r="O685" s="65"/>
      <c r="P685" s="65"/>
      <c r="Q685" s="65"/>
    </row>
    <row r="686">
      <c r="A686" s="63"/>
      <c r="B686" s="63"/>
      <c r="C686" s="27"/>
      <c r="D686" s="63"/>
      <c r="E686" s="63"/>
      <c r="F686" s="63"/>
      <c r="G686" s="27"/>
      <c r="H686" s="65"/>
      <c r="I686" s="65"/>
      <c r="J686" s="65"/>
      <c r="K686" s="65"/>
      <c r="L686" s="65"/>
      <c r="M686" s="65"/>
      <c r="N686" s="65"/>
      <c r="O686" s="65"/>
      <c r="P686" s="65"/>
      <c r="Q686" s="65"/>
    </row>
    <row r="687">
      <c r="A687" s="63"/>
      <c r="B687" s="63"/>
      <c r="C687" s="27"/>
      <c r="D687" s="63"/>
      <c r="E687" s="63"/>
      <c r="F687" s="63"/>
      <c r="G687" s="27"/>
      <c r="H687" s="65"/>
      <c r="I687" s="65"/>
      <c r="J687" s="65"/>
      <c r="K687" s="65"/>
      <c r="L687" s="65"/>
      <c r="M687" s="65"/>
      <c r="N687" s="65"/>
      <c r="O687" s="65"/>
      <c r="P687" s="65"/>
      <c r="Q687" s="65"/>
    </row>
    <row r="688">
      <c r="A688" s="63"/>
      <c r="B688" s="63"/>
      <c r="C688" s="27"/>
      <c r="D688" s="63"/>
      <c r="E688" s="63"/>
      <c r="F688" s="63"/>
      <c r="G688" s="27"/>
      <c r="H688" s="65"/>
      <c r="I688" s="65"/>
      <c r="J688" s="65"/>
      <c r="K688" s="65"/>
      <c r="L688" s="65"/>
      <c r="M688" s="65"/>
      <c r="N688" s="65"/>
      <c r="O688" s="65"/>
      <c r="P688" s="65"/>
      <c r="Q688" s="65"/>
    </row>
    <row r="689">
      <c r="A689" s="63"/>
      <c r="B689" s="63"/>
      <c r="C689" s="27"/>
      <c r="D689" s="63"/>
      <c r="E689" s="63"/>
      <c r="F689" s="63"/>
      <c r="G689" s="27"/>
      <c r="H689" s="65"/>
      <c r="I689" s="65"/>
      <c r="J689" s="65"/>
      <c r="K689" s="65"/>
      <c r="L689" s="65"/>
      <c r="M689" s="65"/>
      <c r="N689" s="65"/>
      <c r="O689" s="65"/>
      <c r="P689" s="65"/>
      <c r="Q689" s="65"/>
    </row>
    <row r="690">
      <c r="A690" s="63"/>
      <c r="B690" s="63"/>
      <c r="C690" s="27"/>
      <c r="D690" s="63"/>
      <c r="E690" s="63"/>
      <c r="F690" s="63"/>
      <c r="G690" s="27"/>
      <c r="H690" s="65"/>
      <c r="I690" s="65"/>
      <c r="J690" s="65"/>
      <c r="K690" s="65"/>
      <c r="L690" s="65"/>
      <c r="M690" s="65"/>
      <c r="N690" s="65"/>
      <c r="O690" s="65"/>
      <c r="P690" s="65"/>
      <c r="Q690" s="65"/>
    </row>
    <row r="691">
      <c r="A691" s="63"/>
      <c r="B691" s="63"/>
      <c r="C691" s="27"/>
      <c r="D691" s="63"/>
      <c r="E691" s="63"/>
      <c r="F691" s="63"/>
      <c r="G691" s="27"/>
      <c r="H691" s="65"/>
      <c r="I691" s="65"/>
      <c r="J691" s="65"/>
      <c r="K691" s="65"/>
      <c r="L691" s="65"/>
      <c r="M691" s="65"/>
      <c r="N691" s="65"/>
      <c r="O691" s="65"/>
      <c r="P691" s="65"/>
      <c r="Q691" s="65"/>
    </row>
    <row r="692">
      <c r="A692" s="63"/>
      <c r="B692" s="63"/>
      <c r="C692" s="27"/>
      <c r="D692" s="63"/>
      <c r="E692" s="63"/>
      <c r="F692" s="63"/>
      <c r="G692" s="27"/>
      <c r="H692" s="65"/>
      <c r="I692" s="65"/>
      <c r="J692" s="65"/>
      <c r="K692" s="65"/>
      <c r="L692" s="65"/>
      <c r="M692" s="65"/>
      <c r="N692" s="65"/>
      <c r="O692" s="65"/>
      <c r="P692" s="65"/>
      <c r="Q692" s="65"/>
    </row>
    <row r="693">
      <c r="A693" s="63"/>
      <c r="B693" s="63"/>
      <c r="C693" s="27"/>
      <c r="D693" s="63"/>
      <c r="E693" s="63"/>
      <c r="F693" s="63"/>
      <c r="G693" s="27"/>
      <c r="H693" s="65"/>
      <c r="I693" s="65"/>
      <c r="J693" s="65"/>
      <c r="K693" s="65"/>
      <c r="L693" s="65"/>
      <c r="M693" s="65"/>
      <c r="N693" s="65"/>
      <c r="O693" s="65"/>
      <c r="P693" s="65"/>
      <c r="Q693" s="65"/>
    </row>
    <row r="694">
      <c r="A694" s="63"/>
      <c r="B694" s="63"/>
      <c r="C694" s="27"/>
      <c r="D694" s="63"/>
      <c r="E694" s="63"/>
      <c r="F694" s="63"/>
      <c r="G694" s="27"/>
      <c r="H694" s="65"/>
      <c r="I694" s="65"/>
      <c r="J694" s="65"/>
      <c r="K694" s="65"/>
      <c r="L694" s="65"/>
      <c r="M694" s="65"/>
      <c r="N694" s="65"/>
      <c r="O694" s="65"/>
      <c r="P694" s="65"/>
      <c r="Q694" s="65"/>
    </row>
    <row r="695">
      <c r="A695" s="63"/>
      <c r="B695" s="63"/>
      <c r="C695" s="27"/>
      <c r="D695" s="63"/>
      <c r="E695" s="63"/>
      <c r="F695" s="63"/>
      <c r="G695" s="27"/>
      <c r="H695" s="65"/>
      <c r="I695" s="65"/>
      <c r="J695" s="65"/>
      <c r="K695" s="65"/>
      <c r="L695" s="65"/>
      <c r="M695" s="65"/>
      <c r="N695" s="65"/>
      <c r="O695" s="65"/>
      <c r="P695" s="65"/>
      <c r="Q695" s="65"/>
    </row>
    <row r="696">
      <c r="A696" s="63"/>
      <c r="B696" s="63"/>
      <c r="C696" s="27"/>
      <c r="D696" s="63"/>
      <c r="E696" s="63"/>
      <c r="F696" s="63"/>
      <c r="G696" s="27"/>
      <c r="H696" s="65"/>
      <c r="I696" s="65"/>
      <c r="J696" s="65"/>
      <c r="K696" s="65"/>
      <c r="L696" s="65"/>
      <c r="M696" s="65"/>
      <c r="N696" s="65"/>
      <c r="O696" s="65"/>
      <c r="P696" s="65"/>
      <c r="Q696" s="65"/>
    </row>
    <row r="697">
      <c r="A697" s="63"/>
      <c r="B697" s="63"/>
      <c r="C697" s="27"/>
      <c r="D697" s="63"/>
      <c r="E697" s="63"/>
      <c r="F697" s="63"/>
      <c r="G697" s="27"/>
      <c r="H697" s="65"/>
      <c r="I697" s="65"/>
      <c r="J697" s="65"/>
      <c r="K697" s="65"/>
      <c r="L697" s="65"/>
      <c r="M697" s="65"/>
      <c r="N697" s="65"/>
      <c r="O697" s="65"/>
      <c r="P697" s="65"/>
      <c r="Q697" s="65"/>
    </row>
    <row r="698">
      <c r="A698" s="63"/>
      <c r="B698" s="63"/>
      <c r="C698" s="27"/>
      <c r="D698" s="63"/>
      <c r="E698" s="63"/>
      <c r="F698" s="63"/>
      <c r="G698" s="27"/>
      <c r="H698" s="65"/>
      <c r="I698" s="65"/>
      <c r="J698" s="65"/>
      <c r="K698" s="65"/>
      <c r="L698" s="65"/>
      <c r="M698" s="65"/>
      <c r="N698" s="65"/>
      <c r="O698" s="65"/>
      <c r="P698" s="65"/>
      <c r="Q698" s="65"/>
    </row>
    <row r="699">
      <c r="A699" s="63"/>
      <c r="B699" s="63"/>
      <c r="C699" s="27"/>
      <c r="D699" s="63"/>
      <c r="E699" s="63"/>
      <c r="F699" s="63"/>
      <c r="G699" s="27"/>
      <c r="H699" s="65"/>
      <c r="I699" s="65"/>
      <c r="J699" s="65"/>
      <c r="K699" s="65"/>
      <c r="L699" s="65"/>
      <c r="M699" s="65"/>
      <c r="N699" s="65"/>
      <c r="O699" s="65"/>
      <c r="P699" s="65"/>
      <c r="Q699" s="65"/>
    </row>
    <row r="700">
      <c r="A700" s="63"/>
      <c r="B700" s="63"/>
      <c r="C700" s="27"/>
      <c r="D700" s="63"/>
      <c r="E700" s="63"/>
      <c r="F700" s="63"/>
      <c r="G700" s="27"/>
      <c r="H700" s="65"/>
      <c r="I700" s="65"/>
      <c r="J700" s="65"/>
      <c r="K700" s="65"/>
      <c r="L700" s="65"/>
      <c r="M700" s="65"/>
      <c r="N700" s="65"/>
      <c r="O700" s="65"/>
      <c r="P700" s="65"/>
      <c r="Q700" s="65"/>
    </row>
    <row r="701">
      <c r="A701" s="63"/>
      <c r="B701" s="63"/>
      <c r="C701" s="27"/>
      <c r="D701" s="63"/>
      <c r="E701" s="63"/>
      <c r="F701" s="63"/>
      <c r="G701" s="27"/>
      <c r="H701" s="65"/>
      <c r="I701" s="65"/>
      <c r="J701" s="65"/>
      <c r="K701" s="65"/>
      <c r="L701" s="65"/>
      <c r="M701" s="65"/>
      <c r="N701" s="65"/>
      <c r="O701" s="65"/>
      <c r="P701" s="65"/>
      <c r="Q701" s="65"/>
    </row>
    <row r="702">
      <c r="A702" s="63"/>
      <c r="B702" s="63"/>
      <c r="C702" s="27"/>
      <c r="D702" s="63"/>
      <c r="E702" s="63"/>
      <c r="F702" s="63"/>
      <c r="G702" s="27"/>
      <c r="H702" s="65"/>
      <c r="I702" s="65"/>
      <c r="J702" s="65"/>
      <c r="K702" s="65"/>
      <c r="L702" s="65"/>
      <c r="M702" s="65"/>
      <c r="N702" s="65"/>
      <c r="O702" s="65"/>
      <c r="P702" s="65"/>
      <c r="Q702" s="65"/>
    </row>
    <row r="703">
      <c r="A703" s="63"/>
      <c r="B703" s="63"/>
      <c r="C703" s="27"/>
      <c r="D703" s="63"/>
      <c r="E703" s="63"/>
      <c r="F703" s="63"/>
      <c r="G703" s="27"/>
      <c r="H703" s="65"/>
      <c r="I703" s="65"/>
      <c r="J703" s="65"/>
      <c r="K703" s="65"/>
      <c r="L703" s="65"/>
      <c r="M703" s="65"/>
      <c r="N703" s="65"/>
      <c r="O703" s="65"/>
      <c r="P703" s="65"/>
      <c r="Q703" s="65"/>
    </row>
    <row r="704">
      <c r="A704" s="63"/>
      <c r="B704" s="63"/>
      <c r="C704" s="27"/>
      <c r="D704" s="63"/>
      <c r="E704" s="63"/>
      <c r="F704" s="63"/>
      <c r="G704" s="27"/>
      <c r="H704" s="65"/>
      <c r="I704" s="65"/>
      <c r="J704" s="65"/>
      <c r="K704" s="65"/>
      <c r="L704" s="65"/>
      <c r="M704" s="65"/>
      <c r="N704" s="65"/>
      <c r="O704" s="65"/>
      <c r="P704" s="65"/>
      <c r="Q704" s="65"/>
    </row>
    <row r="705">
      <c r="A705" s="63"/>
      <c r="B705" s="63"/>
      <c r="C705" s="27"/>
      <c r="D705" s="63"/>
      <c r="E705" s="63"/>
      <c r="F705" s="63"/>
      <c r="G705" s="27"/>
      <c r="H705" s="65"/>
      <c r="I705" s="65"/>
      <c r="J705" s="65"/>
      <c r="K705" s="65"/>
      <c r="L705" s="65"/>
      <c r="M705" s="65"/>
      <c r="N705" s="65"/>
      <c r="O705" s="65"/>
      <c r="P705" s="65"/>
      <c r="Q705" s="65"/>
    </row>
    <row r="706">
      <c r="A706" s="63"/>
      <c r="B706" s="63"/>
      <c r="C706" s="27"/>
      <c r="D706" s="63"/>
      <c r="E706" s="63"/>
      <c r="F706" s="63"/>
      <c r="G706" s="27"/>
      <c r="H706" s="65"/>
      <c r="I706" s="65"/>
      <c r="J706" s="65"/>
      <c r="K706" s="65"/>
      <c r="L706" s="65"/>
      <c r="M706" s="65"/>
      <c r="N706" s="65"/>
      <c r="O706" s="65"/>
      <c r="P706" s="65"/>
      <c r="Q706" s="65"/>
    </row>
    <row r="707">
      <c r="A707" s="63"/>
      <c r="B707" s="63"/>
      <c r="C707" s="27"/>
      <c r="D707" s="63"/>
      <c r="E707" s="63"/>
      <c r="F707" s="63"/>
      <c r="G707" s="27"/>
      <c r="H707" s="65"/>
      <c r="I707" s="65"/>
      <c r="J707" s="65"/>
      <c r="K707" s="65"/>
      <c r="L707" s="65"/>
      <c r="M707" s="65"/>
      <c r="N707" s="65"/>
      <c r="O707" s="65"/>
      <c r="P707" s="65"/>
      <c r="Q707" s="65"/>
    </row>
    <row r="708">
      <c r="A708" s="63"/>
      <c r="B708" s="63"/>
      <c r="C708" s="27"/>
      <c r="D708" s="63"/>
      <c r="E708" s="63"/>
      <c r="F708" s="63"/>
      <c r="G708" s="27"/>
      <c r="H708" s="65"/>
      <c r="I708" s="65"/>
      <c r="J708" s="65"/>
      <c r="K708" s="65"/>
      <c r="L708" s="65"/>
      <c r="M708" s="65"/>
      <c r="N708" s="65"/>
      <c r="O708" s="65"/>
      <c r="P708" s="65"/>
      <c r="Q708" s="65"/>
    </row>
    <row r="709">
      <c r="A709" s="63"/>
      <c r="B709" s="63"/>
      <c r="C709" s="27"/>
      <c r="D709" s="63"/>
      <c r="E709" s="63"/>
      <c r="F709" s="63"/>
      <c r="G709" s="27"/>
      <c r="H709" s="65"/>
      <c r="I709" s="65"/>
      <c r="J709" s="65"/>
      <c r="K709" s="65"/>
      <c r="L709" s="65"/>
      <c r="M709" s="65"/>
      <c r="N709" s="65"/>
      <c r="O709" s="65"/>
      <c r="P709" s="65"/>
      <c r="Q709" s="65"/>
    </row>
    <row r="710">
      <c r="A710" s="63"/>
      <c r="B710" s="63"/>
      <c r="C710" s="27"/>
      <c r="D710" s="63"/>
      <c r="E710" s="63"/>
      <c r="F710" s="63"/>
      <c r="G710" s="27"/>
      <c r="H710" s="65"/>
      <c r="I710" s="65"/>
      <c r="J710" s="65"/>
      <c r="K710" s="65"/>
      <c r="L710" s="65"/>
      <c r="M710" s="65"/>
      <c r="N710" s="65"/>
      <c r="O710" s="65"/>
      <c r="P710" s="65"/>
      <c r="Q710" s="65"/>
    </row>
    <row r="711">
      <c r="A711" s="63"/>
      <c r="B711" s="63"/>
      <c r="C711" s="27"/>
      <c r="D711" s="63"/>
      <c r="E711" s="63"/>
      <c r="F711" s="63"/>
      <c r="G711" s="27"/>
      <c r="H711" s="65"/>
      <c r="I711" s="65"/>
      <c r="J711" s="65"/>
      <c r="K711" s="65"/>
      <c r="L711" s="65"/>
      <c r="M711" s="65"/>
      <c r="N711" s="65"/>
      <c r="O711" s="65"/>
      <c r="P711" s="65"/>
      <c r="Q711" s="65"/>
    </row>
    <row r="712">
      <c r="A712" s="63"/>
      <c r="B712" s="63"/>
      <c r="C712" s="27"/>
      <c r="D712" s="63"/>
      <c r="E712" s="63"/>
      <c r="F712" s="63"/>
      <c r="G712" s="27"/>
      <c r="H712" s="65"/>
      <c r="I712" s="65"/>
      <c r="J712" s="65"/>
      <c r="K712" s="65"/>
      <c r="L712" s="65"/>
      <c r="M712" s="65"/>
      <c r="N712" s="65"/>
      <c r="O712" s="65"/>
      <c r="P712" s="65"/>
      <c r="Q712" s="65"/>
    </row>
    <row r="713">
      <c r="A713" s="63"/>
      <c r="B713" s="63"/>
      <c r="C713" s="27"/>
      <c r="D713" s="63"/>
      <c r="E713" s="63"/>
      <c r="F713" s="63"/>
      <c r="G713" s="27"/>
      <c r="H713" s="65"/>
      <c r="I713" s="65"/>
      <c r="J713" s="65"/>
      <c r="K713" s="65"/>
      <c r="L713" s="65"/>
      <c r="M713" s="65"/>
      <c r="N713" s="65"/>
      <c r="O713" s="65"/>
      <c r="P713" s="65"/>
      <c r="Q713" s="65"/>
    </row>
    <row r="714">
      <c r="A714" s="63"/>
      <c r="B714" s="63"/>
      <c r="C714" s="27"/>
      <c r="D714" s="63"/>
      <c r="E714" s="63"/>
      <c r="F714" s="63"/>
      <c r="G714" s="27"/>
      <c r="H714" s="65"/>
      <c r="I714" s="65"/>
      <c r="J714" s="65"/>
      <c r="K714" s="65"/>
      <c r="L714" s="65"/>
      <c r="M714" s="65"/>
      <c r="N714" s="65"/>
      <c r="O714" s="65"/>
      <c r="P714" s="65"/>
      <c r="Q714" s="65"/>
    </row>
    <row r="715">
      <c r="A715" s="63"/>
      <c r="B715" s="63"/>
      <c r="C715" s="27"/>
      <c r="D715" s="63"/>
      <c r="E715" s="63"/>
      <c r="F715" s="63"/>
      <c r="G715" s="27"/>
      <c r="H715" s="65"/>
      <c r="I715" s="65"/>
      <c r="J715" s="65"/>
      <c r="K715" s="65"/>
      <c r="L715" s="65"/>
      <c r="M715" s="65"/>
      <c r="N715" s="65"/>
      <c r="O715" s="65"/>
      <c r="P715" s="65"/>
      <c r="Q715" s="65"/>
    </row>
    <row r="716">
      <c r="A716" s="63"/>
      <c r="B716" s="63"/>
      <c r="C716" s="27"/>
      <c r="D716" s="63"/>
      <c r="E716" s="63"/>
      <c r="F716" s="63"/>
      <c r="G716" s="27"/>
      <c r="H716" s="65"/>
      <c r="I716" s="65"/>
      <c r="J716" s="65"/>
      <c r="K716" s="65"/>
      <c r="L716" s="65"/>
      <c r="M716" s="65"/>
      <c r="N716" s="65"/>
      <c r="O716" s="65"/>
      <c r="P716" s="65"/>
      <c r="Q716" s="65"/>
    </row>
    <row r="717">
      <c r="A717" s="63"/>
      <c r="B717" s="63"/>
      <c r="C717" s="27"/>
      <c r="D717" s="63"/>
      <c r="E717" s="63"/>
      <c r="F717" s="63"/>
      <c r="G717" s="27"/>
      <c r="H717" s="65"/>
      <c r="I717" s="65"/>
      <c r="J717" s="65"/>
      <c r="K717" s="65"/>
      <c r="L717" s="65"/>
      <c r="M717" s="65"/>
      <c r="N717" s="65"/>
      <c r="O717" s="65"/>
      <c r="P717" s="65"/>
      <c r="Q717" s="65"/>
    </row>
    <row r="718">
      <c r="A718" s="63"/>
      <c r="B718" s="63"/>
      <c r="C718" s="27"/>
      <c r="D718" s="63"/>
      <c r="E718" s="63"/>
      <c r="F718" s="63"/>
      <c r="G718" s="27"/>
      <c r="H718" s="65"/>
      <c r="I718" s="65"/>
      <c r="J718" s="65"/>
      <c r="K718" s="65"/>
      <c r="L718" s="65"/>
      <c r="M718" s="65"/>
      <c r="N718" s="65"/>
      <c r="O718" s="65"/>
      <c r="P718" s="65"/>
      <c r="Q718" s="65"/>
    </row>
    <row r="719">
      <c r="A719" s="63"/>
      <c r="B719" s="63"/>
      <c r="C719" s="27"/>
      <c r="D719" s="63"/>
      <c r="E719" s="63"/>
      <c r="F719" s="63"/>
      <c r="G719" s="27"/>
      <c r="H719" s="65"/>
      <c r="I719" s="65"/>
      <c r="J719" s="65"/>
      <c r="K719" s="65"/>
      <c r="L719" s="65"/>
      <c r="M719" s="65"/>
      <c r="N719" s="65"/>
      <c r="O719" s="65"/>
      <c r="P719" s="65"/>
      <c r="Q719" s="65"/>
    </row>
    <row r="720">
      <c r="A720" s="63"/>
      <c r="B720" s="63"/>
      <c r="C720" s="27"/>
      <c r="D720" s="63"/>
      <c r="E720" s="63"/>
      <c r="F720" s="63"/>
      <c r="G720" s="27"/>
      <c r="H720" s="65"/>
      <c r="I720" s="65"/>
      <c r="J720" s="65"/>
      <c r="K720" s="65"/>
      <c r="L720" s="65"/>
      <c r="M720" s="65"/>
      <c r="N720" s="65"/>
      <c r="O720" s="65"/>
      <c r="P720" s="65"/>
      <c r="Q720" s="65"/>
    </row>
    <row r="721">
      <c r="A721" s="63"/>
      <c r="B721" s="63"/>
      <c r="C721" s="27"/>
      <c r="D721" s="63"/>
      <c r="E721" s="63"/>
      <c r="F721" s="63"/>
      <c r="G721" s="27"/>
      <c r="H721" s="65"/>
      <c r="I721" s="65"/>
      <c r="J721" s="65"/>
      <c r="K721" s="65"/>
      <c r="L721" s="65"/>
      <c r="M721" s="65"/>
      <c r="N721" s="65"/>
      <c r="O721" s="65"/>
      <c r="P721" s="65"/>
      <c r="Q721" s="65"/>
    </row>
    <row r="722">
      <c r="A722" s="63"/>
      <c r="B722" s="63"/>
      <c r="C722" s="27"/>
      <c r="D722" s="63"/>
      <c r="E722" s="63"/>
      <c r="F722" s="63"/>
      <c r="G722" s="27"/>
      <c r="H722" s="65"/>
      <c r="I722" s="65"/>
      <c r="J722" s="65"/>
      <c r="K722" s="65"/>
      <c r="L722" s="65"/>
      <c r="M722" s="65"/>
      <c r="N722" s="65"/>
      <c r="O722" s="65"/>
      <c r="P722" s="65"/>
      <c r="Q722" s="65"/>
    </row>
    <row r="723">
      <c r="A723" s="63"/>
      <c r="B723" s="63"/>
      <c r="C723" s="27"/>
      <c r="D723" s="63"/>
      <c r="E723" s="63"/>
      <c r="F723" s="63"/>
      <c r="G723" s="27"/>
      <c r="H723" s="65"/>
      <c r="I723" s="65"/>
      <c r="J723" s="65"/>
      <c r="K723" s="65"/>
      <c r="L723" s="65"/>
      <c r="M723" s="65"/>
      <c r="N723" s="65"/>
      <c r="O723" s="65"/>
      <c r="P723" s="65"/>
      <c r="Q723" s="65"/>
    </row>
    <row r="724">
      <c r="A724" s="63"/>
      <c r="B724" s="63"/>
      <c r="C724" s="27"/>
      <c r="D724" s="63"/>
      <c r="E724" s="63"/>
      <c r="F724" s="63"/>
      <c r="G724" s="27"/>
      <c r="H724" s="65"/>
      <c r="I724" s="65"/>
      <c r="J724" s="65"/>
      <c r="K724" s="65"/>
      <c r="L724" s="65"/>
      <c r="M724" s="65"/>
      <c r="N724" s="65"/>
      <c r="O724" s="65"/>
      <c r="P724" s="65"/>
      <c r="Q724" s="65"/>
    </row>
    <row r="725">
      <c r="A725" s="63"/>
      <c r="B725" s="63"/>
      <c r="C725" s="27"/>
      <c r="D725" s="63"/>
      <c r="E725" s="63"/>
      <c r="F725" s="63"/>
      <c r="G725" s="27"/>
      <c r="H725" s="65"/>
      <c r="I725" s="65"/>
      <c r="J725" s="65"/>
      <c r="K725" s="65"/>
      <c r="L725" s="65"/>
      <c r="M725" s="65"/>
      <c r="N725" s="65"/>
      <c r="O725" s="65"/>
      <c r="P725" s="65"/>
      <c r="Q725" s="65"/>
    </row>
    <row r="726">
      <c r="A726" s="63"/>
      <c r="B726" s="63"/>
      <c r="C726" s="27"/>
      <c r="D726" s="63"/>
      <c r="E726" s="63"/>
      <c r="F726" s="63"/>
      <c r="G726" s="27"/>
      <c r="H726" s="65"/>
      <c r="I726" s="65"/>
      <c r="J726" s="65"/>
      <c r="K726" s="65"/>
      <c r="L726" s="65"/>
      <c r="M726" s="65"/>
      <c r="N726" s="65"/>
      <c r="O726" s="65"/>
      <c r="P726" s="65"/>
      <c r="Q726" s="65"/>
    </row>
    <row r="727">
      <c r="A727" s="63"/>
      <c r="B727" s="63"/>
      <c r="C727" s="27"/>
      <c r="D727" s="63"/>
      <c r="E727" s="63"/>
      <c r="F727" s="63"/>
      <c r="G727" s="27"/>
      <c r="H727" s="65"/>
      <c r="I727" s="65"/>
      <c r="J727" s="65"/>
      <c r="K727" s="65"/>
      <c r="L727" s="65"/>
      <c r="M727" s="65"/>
      <c r="N727" s="65"/>
      <c r="O727" s="65"/>
      <c r="P727" s="65"/>
      <c r="Q727" s="65"/>
    </row>
    <row r="728">
      <c r="A728" s="63"/>
      <c r="B728" s="63"/>
      <c r="C728" s="27"/>
      <c r="D728" s="63"/>
      <c r="E728" s="63"/>
      <c r="F728" s="63"/>
      <c r="G728" s="27"/>
      <c r="H728" s="65"/>
      <c r="I728" s="65"/>
      <c r="J728" s="65"/>
      <c r="K728" s="65"/>
      <c r="L728" s="65"/>
      <c r="M728" s="65"/>
      <c r="N728" s="65"/>
      <c r="O728" s="65"/>
      <c r="P728" s="65"/>
      <c r="Q728" s="65"/>
    </row>
    <row r="729">
      <c r="A729" s="63"/>
      <c r="B729" s="63"/>
      <c r="C729" s="27"/>
      <c r="D729" s="63"/>
      <c r="E729" s="63"/>
      <c r="F729" s="63"/>
      <c r="G729" s="27"/>
      <c r="H729" s="65"/>
      <c r="I729" s="65"/>
      <c r="J729" s="65"/>
      <c r="K729" s="65"/>
      <c r="L729" s="65"/>
      <c r="M729" s="65"/>
      <c r="N729" s="65"/>
      <c r="O729" s="65"/>
      <c r="P729" s="65"/>
      <c r="Q729" s="65"/>
    </row>
    <row r="730">
      <c r="A730" s="63"/>
      <c r="B730" s="63"/>
      <c r="C730" s="27"/>
      <c r="D730" s="63"/>
      <c r="E730" s="63"/>
      <c r="F730" s="63"/>
      <c r="G730" s="27"/>
      <c r="H730" s="65"/>
      <c r="I730" s="65"/>
      <c r="J730" s="65"/>
      <c r="K730" s="65"/>
      <c r="L730" s="65"/>
      <c r="M730" s="65"/>
      <c r="N730" s="65"/>
      <c r="O730" s="65"/>
      <c r="P730" s="65"/>
      <c r="Q730" s="65"/>
    </row>
    <row r="731">
      <c r="A731" s="63"/>
      <c r="B731" s="63"/>
      <c r="C731" s="27"/>
      <c r="D731" s="63"/>
      <c r="E731" s="63"/>
      <c r="F731" s="63"/>
      <c r="G731" s="27"/>
      <c r="H731" s="65"/>
      <c r="I731" s="65"/>
      <c r="J731" s="65"/>
      <c r="K731" s="65"/>
      <c r="L731" s="65"/>
      <c r="M731" s="65"/>
      <c r="N731" s="65"/>
      <c r="O731" s="65"/>
      <c r="P731" s="65"/>
      <c r="Q731" s="65"/>
    </row>
    <row r="732">
      <c r="A732" s="63"/>
      <c r="B732" s="63"/>
      <c r="C732" s="27"/>
      <c r="D732" s="63"/>
      <c r="E732" s="63"/>
      <c r="F732" s="63"/>
      <c r="G732" s="27"/>
      <c r="H732" s="65"/>
      <c r="I732" s="65"/>
      <c r="J732" s="65"/>
      <c r="K732" s="65"/>
      <c r="L732" s="65"/>
      <c r="M732" s="65"/>
      <c r="N732" s="65"/>
      <c r="O732" s="65"/>
      <c r="P732" s="65"/>
      <c r="Q732" s="65"/>
    </row>
    <row r="733">
      <c r="A733" s="63"/>
      <c r="B733" s="63"/>
      <c r="C733" s="27"/>
      <c r="D733" s="63"/>
      <c r="E733" s="63"/>
      <c r="F733" s="63"/>
      <c r="G733" s="27"/>
      <c r="H733" s="65"/>
      <c r="I733" s="65"/>
      <c r="J733" s="65"/>
      <c r="K733" s="65"/>
      <c r="L733" s="65"/>
      <c r="M733" s="65"/>
      <c r="N733" s="65"/>
      <c r="O733" s="65"/>
      <c r="P733" s="65"/>
      <c r="Q733" s="65"/>
    </row>
    <row r="734">
      <c r="A734" s="63"/>
      <c r="B734" s="63"/>
      <c r="C734" s="27"/>
      <c r="D734" s="63"/>
      <c r="E734" s="63"/>
      <c r="F734" s="63"/>
      <c r="G734" s="27"/>
      <c r="H734" s="65"/>
      <c r="I734" s="65"/>
      <c r="J734" s="65"/>
      <c r="K734" s="65"/>
      <c r="L734" s="65"/>
      <c r="M734" s="65"/>
      <c r="N734" s="65"/>
      <c r="O734" s="65"/>
      <c r="P734" s="65"/>
      <c r="Q734" s="65"/>
    </row>
    <row r="735">
      <c r="A735" s="63"/>
      <c r="B735" s="63"/>
      <c r="C735" s="27"/>
      <c r="D735" s="63"/>
      <c r="E735" s="63"/>
      <c r="F735" s="63"/>
      <c r="G735" s="27"/>
      <c r="H735" s="65"/>
      <c r="I735" s="65"/>
      <c r="J735" s="65"/>
      <c r="K735" s="65"/>
      <c r="L735" s="65"/>
      <c r="M735" s="65"/>
      <c r="N735" s="65"/>
      <c r="O735" s="65"/>
      <c r="P735" s="65"/>
      <c r="Q735" s="65"/>
    </row>
    <row r="736">
      <c r="A736" s="63"/>
      <c r="B736" s="63"/>
      <c r="C736" s="27"/>
      <c r="D736" s="63"/>
      <c r="E736" s="63"/>
      <c r="F736" s="63"/>
      <c r="G736" s="27"/>
      <c r="H736" s="65"/>
      <c r="I736" s="65"/>
      <c r="J736" s="65"/>
      <c r="K736" s="65"/>
      <c r="L736" s="65"/>
      <c r="M736" s="65"/>
      <c r="N736" s="65"/>
      <c r="O736" s="65"/>
      <c r="P736" s="65"/>
      <c r="Q736" s="65"/>
    </row>
    <row r="737">
      <c r="A737" s="63"/>
      <c r="B737" s="63"/>
      <c r="C737" s="27"/>
      <c r="D737" s="63"/>
      <c r="E737" s="63"/>
      <c r="F737" s="63"/>
      <c r="G737" s="27"/>
      <c r="H737" s="65"/>
      <c r="I737" s="65"/>
      <c r="J737" s="65"/>
      <c r="K737" s="65"/>
      <c r="L737" s="65"/>
      <c r="M737" s="65"/>
      <c r="N737" s="65"/>
      <c r="O737" s="65"/>
      <c r="P737" s="65"/>
      <c r="Q737" s="65"/>
    </row>
    <row r="738">
      <c r="A738" s="63"/>
      <c r="B738" s="63"/>
      <c r="C738" s="27"/>
      <c r="D738" s="63"/>
      <c r="E738" s="63"/>
      <c r="F738" s="63"/>
      <c r="G738" s="27"/>
      <c r="H738" s="65"/>
      <c r="I738" s="65"/>
      <c r="J738" s="65"/>
      <c r="K738" s="65"/>
      <c r="L738" s="65"/>
      <c r="M738" s="65"/>
      <c r="N738" s="65"/>
      <c r="O738" s="65"/>
      <c r="P738" s="65"/>
      <c r="Q738" s="65"/>
    </row>
    <row r="739">
      <c r="A739" s="63"/>
      <c r="B739" s="63"/>
      <c r="C739" s="27"/>
      <c r="D739" s="63"/>
      <c r="E739" s="63"/>
      <c r="F739" s="63"/>
      <c r="G739" s="27"/>
      <c r="H739" s="65"/>
      <c r="I739" s="65"/>
      <c r="J739" s="65"/>
      <c r="K739" s="65"/>
      <c r="L739" s="65"/>
      <c r="M739" s="65"/>
      <c r="N739" s="65"/>
      <c r="O739" s="65"/>
      <c r="P739" s="65"/>
      <c r="Q739" s="65"/>
    </row>
    <row r="740">
      <c r="A740" s="63"/>
      <c r="B740" s="63"/>
      <c r="C740" s="27"/>
      <c r="D740" s="63"/>
      <c r="E740" s="63"/>
      <c r="F740" s="63"/>
      <c r="G740" s="27"/>
      <c r="H740" s="65"/>
      <c r="I740" s="65"/>
      <c r="J740" s="65"/>
      <c r="K740" s="65"/>
      <c r="L740" s="65"/>
      <c r="M740" s="65"/>
      <c r="N740" s="65"/>
      <c r="O740" s="65"/>
      <c r="P740" s="65"/>
      <c r="Q740" s="65"/>
    </row>
    <row r="741">
      <c r="A741" s="63"/>
      <c r="B741" s="63"/>
      <c r="C741" s="27"/>
      <c r="D741" s="63"/>
      <c r="E741" s="63"/>
      <c r="F741" s="63"/>
      <c r="G741" s="27"/>
      <c r="H741" s="65"/>
      <c r="I741" s="65"/>
      <c r="J741" s="65"/>
      <c r="K741" s="65"/>
      <c r="L741" s="65"/>
      <c r="M741" s="65"/>
      <c r="N741" s="65"/>
      <c r="O741" s="65"/>
      <c r="P741" s="65"/>
      <c r="Q741" s="65"/>
    </row>
    <row r="742">
      <c r="A742" s="63"/>
      <c r="B742" s="63"/>
      <c r="C742" s="27"/>
      <c r="D742" s="63"/>
      <c r="E742" s="63"/>
      <c r="F742" s="63"/>
      <c r="G742" s="27"/>
      <c r="H742" s="65"/>
      <c r="I742" s="65"/>
      <c r="J742" s="65"/>
      <c r="K742" s="65"/>
      <c r="L742" s="65"/>
      <c r="M742" s="65"/>
      <c r="N742" s="65"/>
      <c r="O742" s="65"/>
      <c r="P742" s="65"/>
      <c r="Q742" s="65"/>
    </row>
    <row r="743">
      <c r="A743" s="63"/>
      <c r="B743" s="63"/>
      <c r="C743" s="27"/>
      <c r="D743" s="63"/>
      <c r="E743" s="63"/>
      <c r="F743" s="63"/>
      <c r="G743" s="27"/>
      <c r="H743" s="65"/>
      <c r="I743" s="65"/>
      <c r="J743" s="65"/>
      <c r="K743" s="65"/>
      <c r="L743" s="65"/>
      <c r="M743" s="65"/>
      <c r="N743" s="65"/>
      <c r="O743" s="65"/>
      <c r="P743" s="65"/>
      <c r="Q743" s="65"/>
    </row>
    <row r="744">
      <c r="A744" s="63"/>
      <c r="B744" s="63"/>
      <c r="C744" s="27"/>
      <c r="D744" s="63"/>
      <c r="E744" s="63"/>
      <c r="F744" s="63"/>
      <c r="G744" s="27"/>
      <c r="H744" s="65"/>
      <c r="I744" s="65"/>
      <c r="J744" s="65"/>
      <c r="K744" s="65"/>
      <c r="L744" s="65"/>
      <c r="M744" s="65"/>
      <c r="N744" s="65"/>
      <c r="O744" s="65"/>
      <c r="P744" s="65"/>
      <c r="Q744" s="65"/>
    </row>
    <row r="745">
      <c r="A745" s="63"/>
      <c r="B745" s="63"/>
      <c r="C745" s="27"/>
      <c r="D745" s="63"/>
      <c r="E745" s="63"/>
      <c r="F745" s="63"/>
      <c r="G745" s="27"/>
      <c r="H745" s="65"/>
      <c r="I745" s="65"/>
      <c r="J745" s="65"/>
      <c r="K745" s="65"/>
      <c r="L745" s="65"/>
      <c r="M745" s="65"/>
      <c r="N745" s="65"/>
      <c r="O745" s="65"/>
      <c r="P745" s="65"/>
      <c r="Q745" s="65"/>
    </row>
    <row r="746">
      <c r="A746" s="63"/>
      <c r="B746" s="63"/>
      <c r="C746" s="27"/>
      <c r="D746" s="63"/>
      <c r="E746" s="63"/>
      <c r="F746" s="63"/>
      <c r="G746" s="27"/>
      <c r="H746" s="65"/>
      <c r="I746" s="65"/>
      <c r="J746" s="65"/>
      <c r="K746" s="65"/>
      <c r="L746" s="65"/>
      <c r="M746" s="65"/>
      <c r="N746" s="65"/>
      <c r="O746" s="65"/>
      <c r="P746" s="65"/>
      <c r="Q746" s="65"/>
    </row>
    <row r="747">
      <c r="A747" s="63"/>
      <c r="B747" s="63"/>
      <c r="C747" s="27"/>
      <c r="D747" s="63"/>
      <c r="E747" s="63"/>
      <c r="F747" s="63"/>
      <c r="G747" s="27"/>
      <c r="H747" s="65"/>
      <c r="I747" s="65"/>
      <c r="J747" s="65"/>
      <c r="K747" s="65"/>
      <c r="L747" s="65"/>
      <c r="M747" s="65"/>
      <c r="N747" s="65"/>
      <c r="O747" s="65"/>
      <c r="P747" s="65"/>
      <c r="Q747" s="65"/>
    </row>
    <row r="748">
      <c r="A748" s="63"/>
      <c r="B748" s="63"/>
      <c r="C748" s="27"/>
      <c r="D748" s="63"/>
      <c r="E748" s="63"/>
      <c r="F748" s="63"/>
      <c r="G748" s="27"/>
      <c r="H748" s="65"/>
      <c r="I748" s="65"/>
      <c r="J748" s="65"/>
      <c r="K748" s="65"/>
      <c r="L748" s="65"/>
      <c r="M748" s="65"/>
      <c r="N748" s="65"/>
      <c r="O748" s="65"/>
      <c r="P748" s="65"/>
      <c r="Q748" s="65"/>
    </row>
    <row r="749">
      <c r="A749" s="63"/>
      <c r="B749" s="63"/>
      <c r="C749" s="27"/>
      <c r="D749" s="63"/>
      <c r="E749" s="63"/>
      <c r="F749" s="63"/>
      <c r="G749" s="27"/>
      <c r="H749" s="65"/>
      <c r="I749" s="65"/>
      <c r="J749" s="65"/>
      <c r="K749" s="65"/>
      <c r="L749" s="65"/>
      <c r="M749" s="65"/>
      <c r="N749" s="65"/>
      <c r="O749" s="65"/>
      <c r="P749" s="65"/>
      <c r="Q749" s="65"/>
    </row>
    <row r="750">
      <c r="A750" s="63"/>
      <c r="B750" s="63"/>
      <c r="C750" s="27"/>
      <c r="D750" s="63"/>
      <c r="E750" s="63"/>
      <c r="F750" s="63"/>
      <c r="G750" s="27"/>
      <c r="H750" s="65"/>
      <c r="I750" s="65"/>
      <c r="J750" s="65"/>
      <c r="K750" s="65"/>
      <c r="L750" s="65"/>
      <c r="M750" s="65"/>
      <c r="N750" s="65"/>
      <c r="O750" s="65"/>
      <c r="P750" s="65"/>
      <c r="Q750" s="65"/>
    </row>
    <row r="751">
      <c r="A751" s="63"/>
      <c r="B751" s="63"/>
      <c r="C751" s="27"/>
      <c r="D751" s="63"/>
      <c r="E751" s="63"/>
      <c r="F751" s="63"/>
      <c r="G751" s="27"/>
      <c r="H751" s="65"/>
      <c r="I751" s="65"/>
      <c r="J751" s="65"/>
      <c r="K751" s="65"/>
      <c r="L751" s="65"/>
      <c r="M751" s="65"/>
      <c r="N751" s="65"/>
      <c r="O751" s="65"/>
      <c r="P751" s="65"/>
      <c r="Q751" s="65"/>
    </row>
    <row r="752">
      <c r="A752" s="63"/>
      <c r="B752" s="63"/>
      <c r="C752" s="27"/>
      <c r="D752" s="63"/>
      <c r="E752" s="63"/>
      <c r="F752" s="63"/>
      <c r="G752" s="27"/>
      <c r="H752" s="65"/>
      <c r="I752" s="65"/>
      <c r="J752" s="65"/>
      <c r="K752" s="65"/>
      <c r="L752" s="65"/>
      <c r="M752" s="65"/>
      <c r="N752" s="65"/>
      <c r="O752" s="65"/>
      <c r="P752" s="65"/>
      <c r="Q752" s="65"/>
    </row>
    <row r="753">
      <c r="A753" s="63"/>
      <c r="B753" s="63"/>
      <c r="C753" s="27"/>
      <c r="D753" s="63"/>
      <c r="E753" s="63"/>
      <c r="F753" s="63"/>
      <c r="G753" s="27"/>
      <c r="H753" s="65"/>
      <c r="I753" s="65"/>
      <c r="J753" s="65"/>
      <c r="K753" s="65"/>
      <c r="L753" s="65"/>
      <c r="M753" s="65"/>
      <c r="N753" s="65"/>
      <c r="O753" s="65"/>
      <c r="P753" s="65"/>
      <c r="Q753" s="65"/>
    </row>
    <row r="754">
      <c r="A754" s="63"/>
      <c r="B754" s="63"/>
      <c r="C754" s="27"/>
      <c r="D754" s="63"/>
      <c r="E754" s="63"/>
      <c r="F754" s="63"/>
      <c r="G754" s="27"/>
      <c r="H754" s="65"/>
      <c r="I754" s="65"/>
      <c r="J754" s="65"/>
      <c r="K754" s="65"/>
      <c r="L754" s="65"/>
      <c r="M754" s="65"/>
      <c r="N754" s="65"/>
      <c r="O754" s="65"/>
      <c r="P754" s="65"/>
      <c r="Q754" s="65"/>
    </row>
    <row r="755">
      <c r="A755" s="63"/>
      <c r="B755" s="63"/>
      <c r="C755" s="27"/>
      <c r="D755" s="63"/>
      <c r="E755" s="63"/>
      <c r="F755" s="63"/>
      <c r="G755" s="27"/>
      <c r="H755" s="65"/>
      <c r="I755" s="65"/>
      <c r="J755" s="65"/>
      <c r="K755" s="65"/>
      <c r="L755" s="65"/>
      <c r="M755" s="65"/>
      <c r="N755" s="65"/>
      <c r="O755" s="65"/>
      <c r="P755" s="65"/>
      <c r="Q755" s="65"/>
    </row>
    <row r="756">
      <c r="A756" s="63"/>
      <c r="B756" s="63"/>
      <c r="C756" s="27"/>
      <c r="D756" s="63"/>
      <c r="E756" s="63"/>
      <c r="F756" s="63"/>
      <c r="G756" s="27"/>
      <c r="H756" s="65"/>
      <c r="I756" s="65"/>
      <c r="J756" s="65"/>
      <c r="K756" s="65"/>
      <c r="L756" s="65"/>
      <c r="M756" s="65"/>
      <c r="N756" s="65"/>
      <c r="O756" s="65"/>
      <c r="P756" s="65"/>
      <c r="Q756" s="65"/>
    </row>
    <row r="757">
      <c r="A757" s="63"/>
      <c r="B757" s="63"/>
      <c r="C757" s="27"/>
      <c r="D757" s="63"/>
      <c r="E757" s="63"/>
      <c r="F757" s="63"/>
      <c r="G757" s="27"/>
      <c r="H757" s="65"/>
      <c r="I757" s="65"/>
      <c r="J757" s="65"/>
      <c r="K757" s="65"/>
      <c r="L757" s="65"/>
      <c r="M757" s="65"/>
      <c r="N757" s="65"/>
      <c r="O757" s="65"/>
      <c r="P757" s="65"/>
      <c r="Q757" s="65"/>
    </row>
    <row r="758">
      <c r="A758" s="63"/>
      <c r="B758" s="63"/>
      <c r="C758" s="27"/>
      <c r="D758" s="63"/>
      <c r="E758" s="63"/>
      <c r="F758" s="63"/>
      <c r="G758" s="27"/>
      <c r="H758" s="65"/>
      <c r="I758" s="65"/>
      <c r="J758" s="65"/>
      <c r="K758" s="65"/>
      <c r="L758" s="65"/>
      <c r="M758" s="65"/>
      <c r="N758" s="65"/>
      <c r="O758" s="65"/>
      <c r="P758" s="65"/>
      <c r="Q758" s="65"/>
    </row>
    <row r="759">
      <c r="A759" s="63"/>
      <c r="B759" s="63"/>
      <c r="C759" s="27"/>
      <c r="D759" s="63"/>
      <c r="E759" s="63"/>
      <c r="F759" s="63"/>
      <c r="G759" s="27"/>
      <c r="H759" s="65"/>
      <c r="I759" s="65"/>
      <c r="J759" s="65"/>
      <c r="K759" s="65"/>
      <c r="L759" s="65"/>
      <c r="M759" s="65"/>
      <c r="N759" s="65"/>
      <c r="O759" s="65"/>
      <c r="P759" s="65"/>
      <c r="Q759" s="65"/>
    </row>
    <row r="760">
      <c r="A760" s="63"/>
      <c r="B760" s="63"/>
      <c r="C760" s="27"/>
      <c r="D760" s="63"/>
      <c r="E760" s="63"/>
      <c r="F760" s="63"/>
      <c r="G760" s="27"/>
      <c r="H760" s="65"/>
      <c r="I760" s="65"/>
      <c r="J760" s="65"/>
      <c r="K760" s="65"/>
      <c r="L760" s="65"/>
      <c r="M760" s="65"/>
      <c r="N760" s="65"/>
      <c r="O760" s="65"/>
      <c r="P760" s="65"/>
      <c r="Q760" s="65"/>
    </row>
    <row r="761">
      <c r="A761" s="63"/>
      <c r="B761" s="63"/>
      <c r="C761" s="27"/>
      <c r="D761" s="63"/>
      <c r="E761" s="63"/>
      <c r="F761" s="63"/>
      <c r="G761" s="27"/>
      <c r="H761" s="65"/>
      <c r="I761" s="65"/>
      <c r="J761" s="65"/>
      <c r="K761" s="65"/>
      <c r="L761" s="65"/>
      <c r="M761" s="65"/>
      <c r="N761" s="65"/>
      <c r="O761" s="65"/>
      <c r="P761" s="65"/>
      <c r="Q761" s="65"/>
    </row>
    <row r="762">
      <c r="A762" s="63"/>
      <c r="B762" s="63"/>
      <c r="C762" s="27"/>
      <c r="D762" s="63"/>
      <c r="E762" s="63"/>
      <c r="F762" s="63"/>
      <c r="G762" s="27"/>
      <c r="H762" s="65"/>
      <c r="I762" s="65"/>
      <c r="J762" s="65"/>
      <c r="K762" s="65"/>
      <c r="L762" s="65"/>
      <c r="M762" s="65"/>
      <c r="N762" s="65"/>
      <c r="O762" s="65"/>
      <c r="P762" s="65"/>
      <c r="Q762" s="65"/>
    </row>
    <row r="763">
      <c r="A763" s="63"/>
      <c r="B763" s="63"/>
      <c r="C763" s="27"/>
      <c r="D763" s="63"/>
      <c r="E763" s="63"/>
      <c r="F763" s="63"/>
      <c r="G763" s="27"/>
      <c r="H763" s="65"/>
      <c r="I763" s="65"/>
      <c r="J763" s="65"/>
      <c r="K763" s="65"/>
      <c r="L763" s="65"/>
      <c r="M763" s="65"/>
      <c r="N763" s="65"/>
      <c r="O763" s="65"/>
      <c r="P763" s="65"/>
      <c r="Q763" s="65"/>
    </row>
    <row r="764">
      <c r="A764" s="63"/>
      <c r="B764" s="63"/>
      <c r="C764" s="27"/>
      <c r="D764" s="63"/>
      <c r="E764" s="63"/>
      <c r="F764" s="63"/>
      <c r="G764" s="27"/>
      <c r="H764" s="65"/>
      <c r="I764" s="65"/>
      <c r="J764" s="65"/>
      <c r="K764" s="65"/>
      <c r="L764" s="65"/>
      <c r="M764" s="65"/>
      <c r="N764" s="65"/>
      <c r="O764" s="65"/>
      <c r="P764" s="65"/>
      <c r="Q764" s="65"/>
    </row>
    <row r="765">
      <c r="A765" s="63"/>
      <c r="B765" s="63"/>
      <c r="C765" s="27"/>
      <c r="D765" s="63"/>
      <c r="E765" s="63"/>
      <c r="F765" s="63"/>
      <c r="G765" s="27"/>
      <c r="H765" s="65"/>
      <c r="I765" s="65"/>
      <c r="J765" s="65"/>
      <c r="K765" s="65"/>
      <c r="L765" s="65"/>
      <c r="M765" s="65"/>
      <c r="N765" s="65"/>
      <c r="O765" s="65"/>
      <c r="P765" s="65"/>
      <c r="Q765" s="65"/>
    </row>
    <row r="766">
      <c r="A766" s="63"/>
      <c r="B766" s="63"/>
      <c r="C766" s="27"/>
      <c r="D766" s="63"/>
      <c r="E766" s="63"/>
      <c r="F766" s="63"/>
      <c r="G766" s="27"/>
      <c r="H766" s="65"/>
      <c r="I766" s="65"/>
      <c r="J766" s="65"/>
      <c r="K766" s="65"/>
      <c r="L766" s="65"/>
      <c r="M766" s="65"/>
      <c r="N766" s="65"/>
      <c r="O766" s="65"/>
      <c r="P766" s="65"/>
      <c r="Q766" s="65"/>
    </row>
    <row r="767">
      <c r="A767" s="63"/>
      <c r="B767" s="63"/>
      <c r="C767" s="27"/>
      <c r="D767" s="63"/>
      <c r="E767" s="63"/>
      <c r="F767" s="63"/>
      <c r="G767" s="27"/>
      <c r="H767" s="65"/>
      <c r="I767" s="65"/>
      <c r="J767" s="65"/>
      <c r="K767" s="65"/>
      <c r="L767" s="65"/>
      <c r="M767" s="65"/>
      <c r="N767" s="65"/>
      <c r="O767" s="65"/>
      <c r="P767" s="65"/>
      <c r="Q767" s="65"/>
    </row>
    <row r="768">
      <c r="A768" s="63"/>
      <c r="B768" s="63"/>
      <c r="C768" s="27"/>
      <c r="D768" s="63"/>
      <c r="E768" s="63"/>
      <c r="F768" s="63"/>
      <c r="G768" s="27"/>
      <c r="H768" s="65"/>
      <c r="I768" s="65"/>
      <c r="J768" s="65"/>
      <c r="K768" s="65"/>
      <c r="L768" s="65"/>
      <c r="M768" s="65"/>
      <c r="N768" s="65"/>
      <c r="O768" s="65"/>
      <c r="P768" s="65"/>
      <c r="Q768" s="65"/>
    </row>
    <row r="769">
      <c r="A769" s="63"/>
      <c r="B769" s="63"/>
      <c r="C769" s="27"/>
      <c r="D769" s="63"/>
      <c r="E769" s="63"/>
      <c r="F769" s="63"/>
      <c r="G769" s="27"/>
      <c r="H769" s="65"/>
      <c r="I769" s="65"/>
      <c r="J769" s="65"/>
      <c r="K769" s="65"/>
      <c r="L769" s="65"/>
      <c r="M769" s="65"/>
      <c r="N769" s="65"/>
      <c r="O769" s="65"/>
      <c r="P769" s="65"/>
      <c r="Q769" s="65"/>
    </row>
    <row r="770">
      <c r="A770" s="63"/>
      <c r="B770" s="63"/>
      <c r="C770" s="27"/>
      <c r="D770" s="63"/>
      <c r="E770" s="63"/>
      <c r="F770" s="63"/>
      <c r="G770" s="27"/>
      <c r="H770" s="65"/>
      <c r="I770" s="65"/>
      <c r="J770" s="65"/>
      <c r="K770" s="65"/>
      <c r="L770" s="65"/>
      <c r="M770" s="65"/>
      <c r="N770" s="65"/>
      <c r="O770" s="65"/>
      <c r="P770" s="65"/>
      <c r="Q770" s="65"/>
    </row>
    <row r="771">
      <c r="A771" s="63"/>
      <c r="B771" s="63"/>
      <c r="C771" s="27"/>
      <c r="D771" s="63"/>
      <c r="E771" s="63"/>
      <c r="F771" s="63"/>
      <c r="G771" s="27"/>
      <c r="H771" s="65"/>
      <c r="I771" s="65"/>
      <c r="J771" s="65"/>
      <c r="K771" s="65"/>
      <c r="L771" s="65"/>
      <c r="M771" s="65"/>
      <c r="N771" s="65"/>
      <c r="O771" s="65"/>
      <c r="P771" s="65"/>
      <c r="Q771" s="65"/>
    </row>
    <row r="772">
      <c r="A772" s="63"/>
      <c r="B772" s="63"/>
      <c r="C772" s="27"/>
      <c r="D772" s="63"/>
      <c r="E772" s="63"/>
      <c r="F772" s="63"/>
      <c r="G772" s="27"/>
      <c r="H772" s="65"/>
      <c r="I772" s="65"/>
      <c r="J772" s="65"/>
      <c r="K772" s="65"/>
      <c r="L772" s="65"/>
      <c r="M772" s="65"/>
      <c r="N772" s="65"/>
      <c r="O772" s="65"/>
      <c r="P772" s="65"/>
      <c r="Q772" s="65"/>
    </row>
    <row r="773">
      <c r="A773" s="63"/>
      <c r="B773" s="63"/>
      <c r="C773" s="27"/>
      <c r="D773" s="63"/>
      <c r="E773" s="63"/>
      <c r="F773" s="63"/>
      <c r="G773" s="27"/>
      <c r="H773" s="65"/>
      <c r="I773" s="65"/>
      <c r="J773" s="65"/>
      <c r="K773" s="65"/>
      <c r="L773" s="65"/>
      <c r="M773" s="65"/>
      <c r="N773" s="65"/>
      <c r="O773" s="65"/>
      <c r="P773" s="65"/>
      <c r="Q773" s="65"/>
    </row>
    <row r="774">
      <c r="A774" s="63"/>
      <c r="B774" s="63"/>
      <c r="C774" s="27"/>
      <c r="D774" s="63"/>
      <c r="E774" s="63"/>
      <c r="F774" s="63"/>
      <c r="G774" s="27"/>
      <c r="H774" s="65"/>
      <c r="I774" s="65"/>
      <c r="J774" s="65"/>
      <c r="K774" s="65"/>
      <c r="L774" s="65"/>
      <c r="M774" s="65"/>
      <c r="N774" s="65"/>
      <c r="O774" s="65"/>
      <c r="P774" s="65"/>
      <c r="Q774" s="65"/>
    </row>
    <row r="775">
      <c r="A775" s="63"/>
      <c r="B775" s="63"/>
      <c r="C775" s="27"/>
      <c r="D775" s="63"/>
      <c r="E775" s="63"/>
      <c r="F775" s="63"/>
      <c r="G775" s="27"/>
      <c r="H775" s="65"/>
      <c r="I775" s="65"/>
      <c r="J775" s="65"/>
      <c r="K775" s="65"/>
      <c r="L775" s="65"/>
      <c r="M775" s="65"/>
      <c r="N775" s="65"/>
      <c r="O775" s="65"/>
      <c r="P775" s="65"/>
      <c r="Q775" s="65"/>
    </row>
    <row r="776">
      <c r="A776" s="63"/>
      <c r="B776" s="63"/>
      <c r="C776" s="27"/>
      <c r="D776" s="63"/>
      <c r="E776" s="63"/>
      <c r="F776" s="63"/>
      <c r="G776" s="27"/>
      <c r="H776" s="65"/>
      <c r="I776" s="65"/>
      <c r="J776" s="65"/>
      <c r="K776" s="65"/>
      <c r="L776" s="65"/>
      <c r="M776" s="65"/>
      <c r="N776" s="65"/>
      <c r="O776" s="65"/>
      <c r="P776" s="65"/>
      <c r="Q776" s="65"/>
    </row>
    <row r="777">
      <c r="A777" s="63"/>
      <c r="B777" s="63"/>
      <c r="C777" s="27"/>
      <c r="D777" s="63"/>
      <c r="E777" s="63"/>
      <c r="F777" s="63"/>
      <c r="G777" s="27"/>
      <c r="H777" s="65"/>
      <c r="I777" s="65"/>
      <c r="J777" s="65"/>
      <c r="K777" s="65"/>
      <c r="L777" s="65"/>
      <c r="M777" s="65"/>
      <c r="N777" s="65"/>
      <c r="O777" s="65"/>
      <c r="P777" s="65"/>
      <c r="Q777" s="65"/>
    </row>
    <row r="778">
      <c r="A778" s="63"/>
      <c r="B778" s="63"/>
      <c r="C778" s="27"/>
      <c r="D778" s="63"/>
      <c r="E778" s="63"/>
      <c r="F778" s="63"/>
      <c r="G778" s="27"/>
      <c r="H778" s="65"/>
      <c r="I778" s="65"/>
      <c r="J778" s="65"/>
      <c r="K778" s="65"/>
      <c r="L778" s="65"/>
      <c r="M778" s="65"/>
      <c r="N778" s="65"/>
      <c r="O778" s="65"/>
      <c r="P778" s="65"/>
      <c r="Q778" s="65"/>
    </row>
    <row r="779">
      <c r="A779" s="63"/>
      <c r="B779" s="63"/>
      <c r="C779" s="27"/>
      <c r="D779" s="63"/>
      <c r="E779" s="63"/>
      <c r="F779" s="63"/>
      <c r="G779" s="27"/>
      <c r="H779" s="65"/>
      <c r="I779" s="65"/>
      <c r="J779" s="65"/>
      <c r="K779" s="65"/>
      <c r="L779" s="65"/>
      <c r="M779" s="65"/>
      <c r="N779" s="65"/>
      <c r="O779" s="65"/>
      <c r="P779" s="65"/>
      <c r="Q779" s="65"/>
    </row>
    <row r="780">
      <c r="A780" s="63"/>
      <c r="B780" s="63"/>
      <c r="C780" s="27"/>
      <c r="D780" s="63"/>
      <c r="E780" s="63"/>
      <c r="F780" s="63"/>
      <c r="G780" s="27"/>
      <c r="H780" s="65"/>
      <c r="I780" s="65"/>
      <c r="J780" s="65"/>
      <c r="K780" s="65"/>
      <c r="L780" s="65"/>
      <c r="M780" s="65"/>
      <c r="N780" s="65"/>
      <c r="O780" s="65"/>
      <c r="P780" s="65"/>
      <c r="Q780" s="65"/>
    </row>
    <row r="781">
      <c r="A781" s="63"/>
      <c r="B781" s="63"/>
      <c r="C781" s="27"/>
      <c r="D781" s="63"/>
      <c r="E781" s="63"/>
      <c r="F781" s="63"/>
      <c r="G781" s="27"/>
      <c r="H781" s="65"/>
      <c r="I781" s="65"/>
      <c r="J781" s="65"/>
      <c r="K781" s="65"/>
      <c r="L781" s="65"/>
      <c r="M781" s="65"/>
      <c r="N781" s="65"/>
      <c r="O781" s="65"/>
      <c r="P781" s="65"/>
      <c r="Q781" s="65"/>
    </row>
    <row r="782">
      <c r="A782" s="63"/>
      <c r="B782" s="63"/>
      <c r="C782" s="27"/>
      <c r="D782" s="63"/>
      <c r="E782" s="63"/>
      <c r="F782" s="63"/>
      <c r="G782" s="27"/>
      <c r="H782" s="65"/>
      <c r="I782" s="65"/>
      <c r="J782" s="65"/>
      <c r="K782" s="65"/>
      <c r="L782" s="65"/>
      <c r="M782" s="65"/>
      <c r="N782" s="65"/>
      <c r="O782" s="65"/>
      <c r="P782" s="65"/>
      <c r="Q782" s="65"/>
    </row>
    <row r="783">
      <c r="A783" s="63"/>
      <c r="B783" s="63"/>
      <c r="C783" s="27"/>
      <c r="D783" s="63"/>
      <c r="E783" s="63"/>
      <c r="F783" s="63"/>
      <c r="G783" s="27"/>
      <c r="H783" s="65"/>
      <c r="I783" s="65"/>
      <c r="J783" s="65"/>
      <c r="K783" s="65"/>
      <c r="L783" s="65"/>
      <c r="M783" s="65"/>
      <c r="N783" s="65"/>
      <c r="O783" s="65"/>
      <c r="P783" s="65"/>
      <c r="Q783" s="65"/>
    </row>
    <row r="784">
      <c r="A784" s="63"/>
      <c r="B784" s="63"/>
      <c r="C784" s="27"/>
      <c r="D784" s="63"/>
      <c r="E784" s="63"/>
      <c r="F784" s="63"/>
      <c r="G784" s="27"/>
      <c r="H784" s="65"/>
      <c r="I784" s="65"/>
      <c r="J784" s="65"/>
      <c r="K784" s="65"/>
      <c r="L784" s="65"/>
      <c r="M784" s="65"/>
      <c r="N784" s="65"/>
      <c r="O784" s="65"/>
      <c r="P784" s="65"/>
      <c r="Q784" s="65"/>
    </row>
    <row r="785">
      <c r="A785" s="63"/>
      <c r="B785" s="63"/>
      <c r="C785" s="27"/>
      <c r="D785" s="63"/>
      <c r="E785" s="63"/>
      <c r="F785" s="63"/>
      <c r="G785" s="27"/>
      <c r="H785" s="65"/>
      <c r="I785" s="65"/>
      <c r="J785" s="65"/>
      <c r="K785" s="65"/>
      <c r="L785" s="65"/>
      <c r="M785" s="65"/>
      <c r="N785" s="65"/>
      <c r="O785" s="65"/>
      <c r="P785" s="65"/>
      <c r="Q785" s="65"/>
    </row>
    <row r="786">
      <c r="A786" s="63"/>
      <c r="B786" s="63"/>
      <c r="C786" s="27"/>
      <c r="D786" s="63"/>
      <c r="E786" s="63"/>
      <c r="F786" s="63"/>
      <c r="G786" s="27"/>
      <c r="H786" s="65"/>
      <c r="I786" s="65"/>
      <c r="J786" s="65"/>
      <c r="K786" s="65"/>
      <c r="L786" s="65"/>
      <c r="M786" s="65"/>
      <c r="N786" s="65"/>
      <c r="O786" s="65"/>
      <c r="P786" s="65"/>
      <c r="Q786" s="65"/>
    </row>
    <row r="787">
      <c r="A787" s="63"/>
      <c r="B787" s="63"/>
      <c r="C787" s="27"/>
      <c r="D787" s="63"/>
      <c r="E787" s="63"/>
      <c r="F787" s="63"/>
      <c r="G787" s="27"/>
      <c r="H787" s="65"/>
      <c r="I787" s="65"/>
      <c r="J787" s="65"/>
      <c r="K787" s="65"/>
      <c r="L787" s="65"/>
      <c r="M787" s="65"/>
      <c r="N787" s="65"/>
      <c r="O787" s="65"/>
      <c r="P787" s="65"/>
      <c r="Q787" s="65"/>
    </row>
    <row r="788">
      <c r="A788" s="63"/>
      <c r="B788" s="63"/>
      <c r="C788" s="27"/>
      <c r="D788" s="63"/>
      <c r="E788" s="63"/>
      <c r="F788" s="63"/>
      <c r="G788" s="27"/>
      <c r="H788" s="65"/>
      <c r="I788" s="65"/>
      <c r="J788" s="65"/>
      <c r="K788" s="65"/>
      <c r="L788" s="65"/>
      <c r="M788" s="65"/>
      <c r="N788" s="65"/>
      <c r="O788" s="65"/>
      <c r="P788" s="65"/>
      <c r="Q788" s="65"/>
    </row>
    <row r="789">
      <c r="A789" s="63"/>
      <c r="B789" s="63"/>
      <c r="C789" s="27"/>
      <c r="D789" s="63"/>
      <c r="E789" s="63"/>
      <c r="F789" s="63"/>
      <c r="G789" s="27"/>
      <c r="H789" s="65"/>
      <c r="I789" s="65"/>
      <c r="J789" s="65"/>
      <c r="K789" s="65"/>
      <c r="L789" s="65"/>
      <c r="M789" s="65"/>
      <c r="N789" s="65"/>
      <c r="O789" s="65"/>
      <c r="P789" s="65"/>
      <c r="Q789" s="65"/>
    </row>
    <row r="790">
      <c r="A790" s="63"/>
      <c r="B790" s="63"/>
      <c r="C790" s="27"/>
      <c r="D790" s="63"/>
      <c r="E790" s="63"/>
      <c r="F790" s="63"/>
      <c r="G790" s="27"/>
      <c r="H790" s="65"/>
      <c r="I790" s="65"/>
      <c r="J790" s="65"/>
      <c r="K790" s="65"/>
      <c r="L790" s="65"/>
      <c r="M790" s="65"/>
      <c r="N790" s="65"/>
      <c r="O790" s="65"/>
      <c r="P790" s="65"/>
      <c r="Q790" s="65"/>
    </row>
    <row r="791">
      <c r="A791" s="63"/>
      <c r="B791" s="63"/>
      <c r="C791" s="27"/>
      <c r="D791" s="63"/>
      <c r="E791" s="63"/>
      <c r="F791" s="63"/>
      <c r="G791" s="27"/>
      <c r="H791" s="65"/>
      <c r="I791" s="65"/>
      <c r="J791" s="65"/>
      <c r="K791" s="65"/>
      <c r="L791" s="65"/>
      <c r="M791" s="65"/>
      <c r="N791" s="65"/>
      <c r="O791" s="65"/>
      <c r="P791" s="65"/>
      <c r="Q791" s="65"/>
    </row>
    <row r="792">
      <c r="A792" s="63"/>
      <c r="B792" s="63"/>
      <c r="C792" s="27"/>
      <c r="D792" s="63"/>
      <c r="E792" s="63"/>
      <c r="F792" s="63"/>
      <c r="G792" s="27"/>
      <c r="H792" s="65"/>
      <c r="I792" s="65"/>
      <c r="J792" s="65"/>
      <c r="K792" s="65"/>
      <c r="L792" s="65"/>
      <c r="M792" s="65"/>
      <c r="N792" s="65"/>
      <c r="O792" s="65"/>
      <c r="P792" s="65"/>
      <c r="Q792" s="65"/>
    </row>
    <row r="793">
      <c r="A793" s="63"/>
      <c r="B793" s="63"/>
      <c r="C793" s="27"/>
      <c r="D793" s="63"/>
      <c r="E793" s="63"/>
      <c r="F793" s="63"/>
      <c r="G793" s="27"/>
      <c r="H793" s="65"/>
      <c r="I793" s="65"/>
      <c r="J793" s="65"/>
      <c r="K793" s="65"/>
      <c r="L793" s="65"/>
      <c r="M793" s="65"/>
      <c r="N793" s="65"/>
      <c r="O793" s="65"/>
      <c r="P793" s="65"/>
      <c r="Q793" s="65"/>
    </row>
    <row r="794">
      <c r="A794" s="63"/>
      <c r="B794" s="63"/>
      <c r="C794" s="27"/>
      <c r="D794" s="63"/>
      <c r="E794" s="63"/>
      <c r="F794" s="63"/>
      <c r="G794" s="27"/>
      <c r="H794" s="65"/>
      <c r="I794" s="65"/>
      <c r="J794" s="65"/>
      <c r="K794" s="65"/>
      <c r="L794" s="65"/>
      <c r="M794" s="65"/>
      <c r="N794" s="65"/>
      <c r="O794" s="65"/>
      <c r="P794" s="65"/>
      <c r="Q794" s="65"/>
    </row>
    <row r="795">
      <c r="A795" s="63"/>
      <c r="B795" s="63"/>
      <c r="C795" s="27"/>
      <c r="D795" s="63"/>
      <c r="E795" s="63"/>
      <c r="F795" s="63"/>
      <c r="G795" s="27"/>
      <c r="H795" s="65"/>
      <c r="I795" s="65"/>
      <c r="J795" s="65"/>
      <c r="K795" s="65"/>
      <c r="L795" s="65"/>
      <c r="M795" s="65"/>
      <c r="N795" s="65"/>
      <c r="O795" s="65"/>
      <c r="P795" s="65"/>
      <c r="Q795" s="65"/>
    </row>
    <row r="796">
      <c r="A796" s="63"/>
      <c r="B796" s="63"/>
      <c r="C796" s="27"/>
      <c r="D796" s="63"/>
      <c r="E796" s="63"/>
      <c r="F796" s="63"/>
      <c r="G796" s="27"/>
      <c r="H796" s="65"/>
      <c r="I796" s="65"/>
      <c r="J796" s="65"/>
      <c r="K796" s="65"/>
      <c r="L796" s="65"/>
      <c r="M796" s="65"/>
      <c r="N796" s="65"/>
      <c r="O796" s="65"/>
      <c r="P796" s="65"/>
      <c r="Q796" s="65"/>
    </row>
    <row r="797">
      <c r="A797" s="63"/>
      <c r="B797" s="63"/>
      <c r="C797" s="27"/>
      <c r="D797" s="63"/>
      <c r="E797" s="63"/>
      <c r="F797" s="63"/>
      <c r="G797" s="27"/>
      <c r="H797" s="65"/>
      <c r="I797" s="65"/>
      <c r="J797" s="65"/>
      <c r="K797" s="65"/>
      <c r="L797" s="65"/>
      <c r="M797" s="65"/>
      <c r="N797" s="65"/>
      <c r="O797" s="65"/>
      <c r="P797" s="65"/>
      <c r="Q797" s="65"/>
    </row>
    <row r="798">
      <c r="A798" s="63"/>
      <c r="B798" s="63"/>
      <c r="C798" s="27"/>
      <c r="D798" s="63"/>
      <c r="E798" s="63"/>
      <c r="F798" s="63"/>
      <c r="G798" s="27"/>
      <c r="H798" s="65"/>
      <c r="I798" s="65"/>
      <c r="J798" s="65"/>
      <c r="K798" s="65"/>
      <c r="L798" s="65"/>
      <c r="M798" s="65"/>
      <c r="N798" s="65"/>
      <c r="O798" s="65"/>
      <c r="P798" s="65"/>
      <c r="Q798" s="65"/>
    </row>
    <row r="799">
      <c r="A799" s="63"/>
      <c r="B799" s="63"/>
      <c r="C799" s="27"/>
      <c r="D799" s="63"/>
      <c r="E799" s="63"/>
      <c r="F799" s="63"/>
      <c r="G799" s="27"/>
      <c r="H799" s="65"/>
      <c r="I799" s="65"/>
      <c r="J799" s="65"/>
      <c r="K799" s="65"/>
      <c r="L799" s="65"/>
      <c r="M799" s="65"/>
      <c r="N799" s="65"/>
      <c r="O799" s="65"/>
      <c r="P799" s="65"/>
      <c r="Q799" s="65"/>
    </row>
    <row r="800">
      <c r="A800" s="63"/>
      <c r="B800" s="63"/>
      <c r="C800" s="27"/>
      <c r="D800" s="63"/>
      <c r="E800" s="63"/>
      <c r="F800" s="63"/>
      <c r="G800" s="27"/>
      <c r="H800" s="65"/>
      <c r="I800" s="65"/>
      <c r="J800" s="65"/>
      <c r="K800" s="65"/>
      <c r="L800" s="65"/>
      <c r="M800" s="65"/>
      <c r="N800" s="65"/>
      <c r="O800" s="65"/>
      <c r="P800" s="65"/>
      <c r="Q800" s="65"/>
    </row>
    <row r="801">
      <c r="A801" s="63"/>
      <c r="B801" s="63"/>
      <c r="C801" s="27"/>
      <c r="D801" s="63"/>
      <c r="E801" s="63"/>
      <c r="F801" s="63"/>
      <c r="G801" s="27"/>
      <c r="H801" s="65"/>
      <c r="I801" s="65"/>
      <c r="J801" s="65"/>
      <c r="K801" s="65"/>
      <c r="L801" s="65"/>
      <c r="M801" s="65"/>
      <c r="N801" s="65"/>
      <c r="O801" s="65"/>
      <c r="P801" s="65"/>
      <c r="Q801" s="65"/>
    </row>
    <row r="802">
      <c r="A802" s="63"/>
      <c r="B802" s="63"/>
      <c r="C802" s="27"/>
      <c r="D802" s="63"/>
      <c r="E802" s="63"/>
      <c r="F802" s="63"/>
      <c r="G802" s="27"/>
      <c r="H802" s="65"/>
      <c r="I802" s="65"/>
      <c r="J802" s="65"/>
      <c r="K802" s="65"/>
      <c r="L802" s="65"/>
      <c r="M802" s="65"/>
      <c r="N802" s="65"/>
      <c r="O802" s="65"/>
      <c r="P802" s="65"/>
      <c r="Q802" s="65"/>
    </row>
    <row r="803">
      <c r="A803" s="63"/>
      <c r="B803" s="63"/>
      <c r="C803" s="27"/>
      <c r="D803" s="63"/>
      <c r="E803" s="63"/>
      <c r="F803" s="63"/>
      <c r="G803" s="27"/>
      <c r="H803" s="65"/>
      <c r="I803" s="65"/>
      <c r="J803" s="65"/>
      <c r="K803" s="65"/>
      <c r="L803" s="65"/>
      <c r="M803" s="65"/>
      <c r="N803" s="65"/>
      <c r="O803" s="65"/>
      <c r="P803" s="65"/>
      <c r="Q803" s="65"/>
    </row>
    <row r="804">
      <c r="A804" s="63"/>
      <c r="B804" s="63"/>
      <c r="C804" s="27"/>
      <c r="D804" s="63"/>
      <c r="E804" s="63"/>
      <c r="F804" s="63"/>
      <c r="G804" s="27"/>
      <c r="H804" s="65"/>
      <c r="I804" s="65"/>
      <c r="J804" s="65"/>
      <c r="K804" s="65"/>
      <c r="L804" s="65"/>
      <c r="M804" s="65"/>
      <c r="N804" s="65"/>
      <c r="O804" s="65"/>
      <c r="P804" s="65"/>
      <c r="Q804" s="65"/>
    </row>
    <row r="805">
      <c r="A805" s="63"/>
      <c r="B805" s="63"/>
      <c r="C805" s="27"/>
      <c r="D805" s="63"/>
      <c r="E805" s="63"/>
      <c r="F805" s="63"/>
      <c r="G805" s="27"/>
      <c r="H805" s="65"/>
      <c r="I805" s="65"/>
      <c r="J805" s="65"/>
      <c r="K805" s="65"/>
      <c r="L805" s="65"/>
      <c r="M805" s="65"/>
      <c r="N805" s="65"/>
      <c r="O805" s="65"/>
      <c r="P805" s="65"/>
      <c r="Q805" s="65"/>
    </row>
    <row r="806">
      <c r="A806" s="63"/>
      <c r="B806" s="63"/>
      <c r="C806" s="27"/>
      <c r="D806" s="63"/>
      <c r="E806" s="63"/>
      <c r="F806" s="63"/>
      <c r="G806" s="27"/>
      <c r="H806" s="65"/>
      <c r="I806" s="65"/>
      <c r="J806" s="65"/>
      <c r="K806" s="65"/>
      <c r="L806" s="65"/>
      <c r="M806" s="65"/>
      <c r="N806" s="65"/>
      <c r="O806" s="65"/>
      <c r="P806" s="65"/>
      <c r="Q806" s="65"/>
    </row>
    <row r="807">
      <c r="A807" s="63"/>
      <c r="B807" s="63"/>
      <c r="C807" s="27"/>
      <c r="D807" s="63"/>
      <c r="E807" s="63"/>
      <c r="F807" s="63"/>
      <c r="G807" s="27"/>
      <c r="H807" s="65"/>
      <c r="I807" s="65"/>
      <c r="J807" s="65"/>
      <c r="K807" s="65"/>
      <c r="L807" s="65"/>
      <c r="M807" s="65"/>
      <c r="N807" s="65"/>
      <c r="O807" s="65"/>
      <c r="P807" s="65"/>
      <c r="Q807" s="65"/>
    </row>
    <row r="808">
      <c r="A808" s="63"/>
      <c r="B808" s="63"/>
      <c r="C808" s="27"/>
      <c r="D808" s="63"/>
      <c r="E808" s="63"/>
      <c r="F808" s="63"/>
      <c r="G808" s="27"/>
      <c r="H808" s="65"/>
      <c r="I808" s="65"/>
      <c r="J808" s="65"/>
      <c r="K808" s="65"/>
      <c r="L808" s="65"/>
      <c r="M808" s="65"/>
      <c r="N808" s="65"/>
      <c r="O808" s="65"/>
      <c r="P808" s="65"/>
      <c r="Q808" s="65"/>
    </row>
    <row r="809">
      <c r="A809" s="63"/>
      <c r="B809" s="63"/>
      <c r="C809" s="27"/>
      <c r="D809" s="63"/>
      <c r="E809" s="63"/>
      <c r="F809" s="63"/>
      <c r="G809" s="27"/>
      <c r="H809" s="65"/>
      <c r="I809" s="65"/>
      <c r="J809" s="65"/>
      <c r="K809" s="65"/>
      <c r="L809" s="65"/>
      <c r="M809" s="65"/>
      <c r="N809" s="65"/>
      <c r="O809" s="65"/>
      <c r="P809" s="65"/>
      <c r="Q809" s="65"/>
    </row>
    <row r="810">
      <c r="A810" s="63"/>
      <c r="B810" s="63"/>
      <c r="C810" s="27"/>
      <c r="D810" s="63"/>
      <c r="E810" s="63"/>
      <c r="F810" s="63"/>
      <c r="G810" s="27"/>
      <c r="H810" s="65"/>
      <c r="I810" s="65"/>
      <c r="J810" s="65"/>
      <c r="K810" s="65"/>
      <c r="L810" s="65"/>
      <c r="M810" s="65"/>
      <c r="N810" s="65"/>
      <c r="O810" s="65"/>
      <c r="P810" s="65"/>
      <c r="Q810" s="65"/>
    </row>
    <row r="811">
      <c r="A811" s="63"/>
      <c r="B811" s="63"/>
      <c r="C811" s="27"/>
      <c r="D811" s="63"/>
      <c r="E811" s="63"/>
      <c r="F811" s="63"/>
      <c r="G811" s="27"/>
      <c r="H811" s="65"/>
      <c r="I811" s="65"/>
      <c r="J811" s="65"/>
      <c r="K811" s="65"/>
      <c r="L811" s="65"/>
      <c r="M811" s="65"/>
      <c r="N811" s="65"/>
      <c r="O811" s="65"/>
      <c r="P811" s="65"/>
      <c r="Q811" s="65"/>
    </row>
    <row r="812">
      <c r="A812" s="63"/>
      <c r="B812" s="63"/>
      <c r="C812" s="27"/>
      <c r="D812" s="63"/>
      <c r="E812" s="63"/>
      <c r="F812" s="63"/>
      <c r="G812" s="27"/>
      <c r="H812" s="65"/>
      <c r="I812" s="65"/>
      <c r="J812" s="65"/>
      <c r="K812" s="65"/>
      <c r="L812" s="65"/>
      <c r="M812" s="65"/>
      <c r="N812" s="65"/>
      <c r="O812" s="65"/>
      <c r="P812" s="65"/>
      <c r="Q812" s="65"/>
    </row>
    <row r="813">
      <c r="A813" s="63"/>
      <c r="B813" s="63"/>
      <c r="C813" s="27"/>
      <c r="D813" s="63"/>
      <c r="E813" s="63"/>
      <c r="F813" s="63"/>
      <c r="G813" s="27"/>
      <c r="H813" s="65"/>
      <c r="I813" s="65"/>
      <c r="J813" s="65"/>
      <c r="K813" s="65"/>
      <c r="L813" s="65"/>
      <c r="M813" s="65"/>
      <c r="N813" s="65"/>
      <c r="O813" s="65"/>
      <c r="P813" s="65"/>
      <c r="Q813" s="65"/>
    </row>
    <row r="814">
      <c r="A814" s="63"/>
      <c r="B814" s="63"/>
      <c r="C814" s="27"/>
      <c r="D814" s="63"/>
      <c r="E814" s="63"/>
      <c r="F814" s="63"/>
      <c r="G814" s="27"/>
      <c r="H814" s="65"/>
      <c r="I814" s="65"/>
      <c r="J814" s="65"/>
      <c r="K814" s="65"/>
      <c r="L814" s="65"/>
      <c r="M814" s="65"/>
      <c r="N814" s="65"/>
      <c r="O814" s="65"/>
      <c r="P814" s="65"/>
      <c r="Q814" s="65"/>
    </row>
    <row r="815">
      <c r="A815" s="63"/>
      <c r="B815" s="63"/>
      <c r="C815" s="27"/>
      <c r="D815" s="63"/>
      <c r="E815" s="63"/>
      <c r="F815" s="63"/>
      <c r="G815" s="27"/>
      <c r="H815" s="65"/>
      <c r="I815" s="65"/>
      <c r="J815" s="65"/>
      <c r="K815" s="65"/>
      <c r="L815" s="65"/>
      <c r="M815" s="65"/>
      <c r="N815" s="65"/>
      <c r="O815" s="65"/>
      <c r="P815" s="65"/>
      <c r="Q815" s="65"/>
    </row>
    <row r="816">
      <c r="A816" s="63"/>
      <c r="B816" s="63"/>
      <c r="C816" s="27"/>
      <c r="D816" s="63"/>
      <c r="E816" s="63"/>
      <c r="F816" s="63"/>
      <c r="G816" s="27"/>
      <c r="H816" s="65"/>
      <c r="I816" s="65"/>
      <c r="J816" s="65"/>
      <c r="K816" s="65"/>
      <c r="L816" s="65"/>
      <c r="M816" s="65"/>
      <c r="N816" s="65"/>
      <c r="O816" s="65"/>
      <c r="P816" s="65"/>
      <c r="Q816" s="65"/>
    </row>
    <row r="817">
      <c r="A817" s="63"/>
      <c r="B817" s="63"/>
      <c r="C817" s="27"/>
      <c r="D817" s="63"/>
      <c r="E817" s="63"/>
      <c r="F817" s="63"/>
      <c r="G817" s="27"/>
      <c r="H817" s="65"/>
      <c r="I817" s="65"/>
      <c r="J817" s="65"/>
      <c r="K817" s="65"/>
      <c r="L817" s="65"/>
      <c r="M817" s="65"/>
      <c r="N817" s="65"/>
      <c r="O817" s="65"/>
      <c r="P817" s="65"/>
      <c r="Q817" s="65"/>
    </row>
    <row r="818">
      <c r="A818" s="63"/>
      <c r="B818" s="63"/>
      <c r="C818" s="27"/>
      <c r="D818" s="63"/>
      <c r="E818" s="63"/>
      <c r="F818" s="63"/>
      <c r="G818" s="27"/>
      <c r="H818" s="65"/>
      <c r="I818" s="65"/>
      <c r="J818" s="65"/>
      <c r="K818" s="65"/>
      <c r="L818" s="65"/>
      <c r="M818" s="65"/>
      <c r="N818" s="65"/>
      <c r="O818" s="65"/>
      <c r="P818" s="65"/>
      <c r="Q818" s="65"/>
    </row>
    <row r="819">
      <c r="A819" s="63"/>
      <c r="B819" s="63"/>
      <c r="C819" s="27"/>
      <c r="D819" s="63"/>
      <c r="E819" s="63"/>
      <c r="F819" s="63"/>
      <c r="G819" s="27"/>
      <c r="H819" s="65"/>
      <c r="I819" s="65"/>
      <c r="J819" s="65"/>
      <c r="K819" s="65"/>
      <c r="L819" s="65"/>
      <c r="M819" s="65"/>
      <c r="N819" s="65"/>
      <c r="O819" s="65"/>
      <c r="P819" s="65"/>
      <c r="Q819" s="65"/>
    </row>
    <row r="820">
      <c r="A820" s="63"/>
      <c r="B820" s="63"/>
      <c r="C820" s="27"/>
      <c r="D820" s="63"/>
      <c r="E820" s="63"/>
      <c r="F820" s="63"/>
      <c r="G820" s="27"/>
      <c r="H820" s="65"/>
      <c r="I820" s="65"/>
      <c r="J820" s="65"/>
      <c r="K820" s="65"/>
      <c r="L820" s="65"/>
      <c r="M820" s="65"/>
      <c r="N820" s="65"/>
      <c r="O820" s="65"/>
      <c r="P820" s="65"/>
      <c r="Q820" s="65"/>
    </row>
    <row r="821">
      <c r="A821" s="63"/>
      <c r="B821" s="63"/>
      <c r="C821" s="27"/>
      <c r="D821" s="63"/>
      <c r="E821" s="63"/>
      <c r="F821" s="63"/>
      <c r="G821" s="27"/>
      <c r="H821" s="65"/>
      <c r="I821" s="65"/>
      <c r="J821" s="65"/>
      <c r="K821" s="65"/>
      <c r="L821" s="65"/>
      <c r="M821" s="65"/>
      <c r="N821" s="65"/>
      <c r="O821" s="65"/>
      <c r="P821" s="65"/>
      <c r="Q821" s="65"/>
    </row>
    <row r="822">
      <c r="A822" s="63"/>
      <c r="B822" s="63"/>
      <c r="C822" s="27"/>
      <c r="D822" s="63"/>
      <c r="E822" s="63"/>
      <c r="F822" s="63"/>
      <c r="G822" s="27"/>
      <c r="H822" s="65"/>
      <c r="I822" s="65"/>
      <c r="J822" s="65"/>
      <c r="K822" s="65"/>
      <c r="L822" s="65"/>
      <c r="M822" s="65"/>
      <c r="N822" s="65"/>
      <c r="O822" s="65"/>
      <c r="P822" s="65"/>
      <c r="Q822" s="65"/>
    </row>
    <row r="823">
      <c r="A823" s="63"/>
      <c r="B823" s="63"/>
      <c r="C823" s="27"/>
      <c r="D823" s="63"/>
      <c r="E823" s="63"/>
      <c r="F823" s="63"/>
      <c r="G823" s="27"/>
      <c r="H823" s="65"/>
      <c r="I823" s="65"/>
      <c r="J823" s="65"/>
      <c r="K823" s="65"/>
      <c r="L823" s="65"/>
      <c r="M823" s="65"/>
      <c r="N823" s="65"/>
      <c r="O823" s="65"/>
      <c r="P823" s="65"/>
      <c r="Q823" s="65"/>
    </row>
    <row r="824">
      <c r="A824" s="63"/>
      <c r="B824" s="63"/>
      <c r="C824" s="27"/>
      <c r="D824" s="63"/>
      <c r="E824" s="63"/>
      <c r="F824" s="63"/>
      <c r="G824" s="27"/>
      <c r="H824" s="65"/>
      <c r="I824" s="65"/>
      <c r="J824" s="65"/>
      <c r="K824" s="65"/>
      <c r="L824" s="65"/>
      <c r="M824" s="65"/>
      <c r="N824" s="65"/>
      <c r="O824" s="65"/>
      <c r="P824" s="65"/>
      <c r="Q824" s="65"/>
    </row>
    <row r="825">
      <c r="A825" s="63"/>
      <c r="B825" s="63"/>
      <c r="C825" s="27"/>
      <c r="D825" s="63"/>
      <c r="E825" s="63"/>
      <c r="F825" s="63"/>
      <c r="G825" s="27"/>
      <c r="H825" s="65"/>
      <c r="I825" s="65"/>
      <c r="J825" s="65"/>
      <c r="K825" s="65"/>
      <c r="L825" s="65"/>
      <c r="M825" s="65"/>
      <c r="N825" s="65"/>
      <c r="O825" s="65"/>
      <c r="P825" s="65"/>
      <c r="Q825" s="65"/>
    </row>
    <row r="826">
      <c r="A826" s="63"/>
      <c r="B826" s="63"/>
      <c r="C826" s="27"/>
      <c r="D826" s="63"/>
      <c r="E826" s="63"/>
      <c r="F826" s="63"/>
      <c r="G826" s="27"/>
      <c r="H826" s="65"/>
      <c r="I826" s="65"/>
      <c r="J826" s="65"/>
      <c r="K826" s="65"/>
      <c r="L826" s="65"/>
      <c r="M826" s="65"/>
      <c r="N826" s="65"/>
      <c r="O826" s="65"/>
      <c r="P826" s="65"/>
      <c r="Q826" s="65"/>
    </row>
    <row r="827">
      <c r="A827" s="63"/>
      <c r="B827" s="63"/>
      <c r="C827" s="27"/>
      <c r="D827" s="63"/>
      <c r="E827" s="63"/>
      <c r="F827" s="63"/>
      <c r="G827" s="27"/>
      <c r="H827" s="65"/>
      <c r="I827" s="65"/>
      <c r="J827" s="65"/>
      <c r="K827" s="65"/>
      <c r="L827" s="65"/>
      <c r="M827" s="65"/>
      <c r="N827" s="65"/>
      <c r="O827" s="65"/>
      <c r="P827" s="65"/>
      <c r="Q827" s="65"/>
    </row>
    <row r="828">
      <c r="A828" s="63"/>
      <c r="B828" s="63"/>
      <c r="C828" s="27"/>
      <c r="D828" s="63"/>
      <c r="E828" s="63"/>
      <c r="F828" s="63"/>
      <c r="G828" s="27"/>
      <c r="H828" s="65"/>
      <c r="I828" s="65"/>
      <c r="J828" s="65"/>
      <c r="K828" s="65"/>
      <c r="L828" s="65"/>
      <c r="M828" s="65"/>
      <c r="N828" s="65"/>
      <c r="O828" s="65"/>
      <c r="P828" s="65"/>
      <c r="Q828" s="65"/>
    </row>
    <row r="829">
      <c r="A829" s="63"/>
      <c r="B829" s="63"/>
      <c r="C829" s="27"/>
      <c r="D829" s="63"/>
      <c r="E829" s="63"/>
      <c r="F829" s="63"/>
      <c r="G829" s="27"/>
      <c r="H829" s="65"/>
      <c r="I829" s="65"/>
      <c r="J829" s="65"/>
      <c r="K829" s="65"/>
      <c r="L829" s="65"/>
      <c r="M829" s="65"/>
      <c r="N829" s="65"/>
      <c r="O829" s="65"/>
      <c r="P829" s="65"/>
      <c r="Q829" s="65"/>
    </row>
    <row r="830">
      <c r="A830" s="63"/>
      <c r="B830" s="63"/>
      <c r="C830" s="27"/>
      <c r="D830" s="63"/>
      <c r="E830" s="63"/>
      <c r="F830" s="63"/>
      <c r="G830" s="27"/>
      <c r="H830" s="65"/>
      <c r="I830" s="65"/>
      <c r="J830" s="65"/>
      <c r="K830" s="65"/>
      <c r="L830" s="65"/>
      <c r="M830" s="65"/>
      <c r="N830" s="65"/>
      <c r="O830" s="65"/>
      <c r="P830" s="65"/>
      <c r="Q830" s="65"/>
    </row>
    <row r="831">
      <c r="A831" s="63"/>
      <c r="B831" s="63"/>
      <c r="C831" s="27"/>
      <c r="D831" s="63"/>
      <c r="E831" s="63"/>
      <c r="F831" s="63"/>
      <c r="G831" s="27"/>
      <c r="H831" s="65"/>
      <c r="I831" s="65"/>
      <c r="J831" s="65"/>
      <c r="K831" s="65"/>
      <c r="L831" s="65"/>
      <c r="M831" s="65"/>
      <c r="N831" s="65"/>
      <c r="O831" s="65"/>
      <c r="P831" s="65"/>
      <c r="Q831" s="65"/>
    </row>
    <row r="832">
      <c r="A832" s="63"/>
      <c r="B832" s="63"/>
      <c r="C832" s="27"/>
      <c r="D832" s="63"/>
      <c r="E832" s="63"/>
      <c r="F832" s="63"/>
      <c r="G832" s="27"/>
      <c r="H832" s="65"/>
      <c r="I832" s="65"/>
      <c r="J832" s="65"/>
      <c r="K832" s="65"/>
      <c r="L832" s="65"/>
      <c r="M832" s="65"/>
      <c r="N832" s="65"/>
      <c r="O832" s="65"/>
      <c r="P832" s="65"/>
      <c r="Q832" s="65"/>
    </row>
    <row r="833">
      <c r="A833" s="63"/>
      <c r="B833" s="63"/>
      <c r="C833" s="27"/>
      <c r="D833" s="63"/>
      <c r="E833" s="63"/>
      <c r="F833" s="63"/>
      <c r="G833" s="27"/>
      <c r="H833" s="65"/>
      <c r="I833" s="65"/>
      <c r="J833" s="65"/>
      <c r="K833" s="65"/>
      <c r="L833" s="65"/>
      <c r="M833" s="65"/>
      <c r="N833" s="65"/>
      <c r="O833" s="65"/>
      <c r="P833" s="65"/>
      <c r="Q833" s="65"/>
    </row>
    <row r="834">
      <c r="A834" s="63"/>
      <c r="B834" s="63"/>
      <c r="C834" s="27"/>
      <c r="D834" s="63"/>
      <c r="E834" s="63"/>
      <c r="F834" s="63"/>
      <c r="G834" s="27"/>
      <c r="H834" s="65"/>
      <c r="I834" s="65"/>
      <c r="J834" s="65"/>
      <c r="K834" s="65"/>
      <c r="L834" s="65"/>
      <c r="M834" s="65"/>
      <c r="N834" s="65"/>
      <c r="O834" s="65"/>
      <c r="P834" s="65"/>
      <c r="Q834" s="65"/>
    </row>
    <row r="835">
      <c r="A835" s="63"/>
      <c r="B835" s="63"/>
      <c r="C835" s="27"/>
      <c r="D835" s="63"/>
      <c r="E835" s="63"/>
      <c r="F835" s="63"/>
      <c r="G835" s="27"/>
      <c r="H835" s="65"/>
      <c r="I835" s="65"/>
      <c r="J835" s="65"/>
      <c r="K835" s="65"/>
      <c r="L835" s="65"/>
      <c r="M835" s="65"/>
      <c r="N835" s="65"/>
      <c r="O835" s="65"/>
      <c r="P835" s="65"/>
      <c r="Q835" s="65"/>
    </row>
    <row r="836">
      <c r="A836" s="63"/>
      <c r="B836" s="63"/>
      <c r="C836" s="27"/>
      <c r="D836" s="63"/>
      <c r="E836" s="63"/>
      <c r="F836" s="63"/>
      <c r="G836" s="27"/>
      <c r="H836" s="65"/>
      <c r="I836" s="65"/>
      <c r="J836" s="65"/>
      <c r="K836" s="65"/>
      <c r="L836" s="65"/>
      <c r="M836" s="65"/>
      <c r="N836" s="65"/>
      <c r="O836" s="65"/>
      <c r="P836" s="65"/>
      <c r="Q836" s="65"/>
    </row>
    <row r="837">
      <c r="A837" s="63"/>
      <c r="B837" s="63"/>
      <c r="C837" s="27"/>
      <c r="D837" s="63"/>
      <c r="E837" s="63"/>
      <c r="F837" s="63"/>
      <c r="G837" s="27"/>
      <c r="H837" s="65"/>
      <c r="I837" s="65"/>
      <c r="J837" s="65"/>
      <c r="K837" s="65"/>
      <c r="L837" s="65"/>
      <c r="M837" s="65"/>
      <c r="N837" s="65"/>
      <c r="O837" s="65"/>
      <c r="P837" s="65"/>
      <c r="Q837" s="65"/>
    </row>
    <row r="838">
      <c r="A838" s="63"/>
      <c r="B838" s="63"/>
      <c r="C838" s="27"/>
      <c r="D838" s="63"/>
      <c r="E838" s="63"/>
      <c r="F838" s="63"/>
      <c r="G838" s="27"/>
      <c r="H838" s="65"/>
      <c r="I838" s="65"/>
      <c r="J838" s="65"/>
      <c r="K838" s="65"/>
      <c r="L838" s="65"/>
      <c r="M838" s="65"/>
      <c r="N838" s="65"/>
      <c r="O838" s="65"/>
      <c r="P838" s="65"/>
      <c r="Q838" s="65"/>
    </row>
    <row r="839">
      <c r="A839" s="63"/>
      <c r="B839" s="63"/>
      <c r="C839" s="27"/>
      <c r="D839" s="63"/>
      <c r="E839" s="63"/>
      <c r="F839" s="63"/>
      <c r="G839" s="27"/>
      <c r="H839" s="65"/>
      <c r="I839" s="65"/>
      <c r="J839" s="65"/>
      <c r="K839" s="65"/>
      <c r="L839" s="65"/>
      <c r="M839" s="65"/>
      <c r="N839" s="65"/>
      <c r="O839" s="65"/>
      <c r="P839" s="65"/>
      <c r="Q839" s="65"/>
    </row>
    <row r="840">
      <c r="A840" s="63"/>
      <c r="B840" s="63"/>
      <c r="C840" s="27"/>
      <c r="D840" s="63"/>
      <c r="E840" s="63"/>
      <c r="F840" s="63"/>
      <c r="G840" s="27"/>
      <c r="H840" s="65"/>
      <c r="I840" s="65"/>
      <c r="J840" s="65"/>
      <c r="K840" s="65"/>
      <c r="L840" s="65"/>
      <c r="M840" s="65"/>
      <c r="N840" s="65"/>
      <c r="O840" s="65"/>
      <c r="P840" s="65"/>
      <c r="Q840" s="65"/>
    </row>
    <row r="841">
      <c r="A841" s="63"/>
      <c r="B841" s="63"/>
      <c r="C841" s="27"/>
      <c r="D841" s="63"/>
      <c r="E841" s="63"/>
      <c r="F841" s="63"/>
      <c r="G841" s="27"/>
      <c r="H841" s="65"/>
      <c r="I841" s="65"/>
      <c r="J841" s="65"/>
      <c r="K841" s="65"/>
      <c r="L841" s="65"/>
      <c r="M841" s="65"/>
      <c r="N841" s="65"/>
      <c r="O841" s="65"/>
      <c r="P841" s="65"/>
      <c r="Q841" s="65"/>
    </row>
    <row r="842">
      <c r="A842" s="63"/>
      <c r="B842" s="63"/>
      <c r="C842" s="27"/>
      <c r="D842" s="63"/>
      <c r="E842" s="63"/>
      <c r="F842" s="63"/>
      <c r="G842" s="27"/>
      <c r="H842" s="65"/>
      <c r="I842" s="65"/>
      <c r="J842" s="65"/>
      <c r="K842" s="65"/>
      <c r="L842" s="65"/>
      <c r="M842" s="65"/>
      <c r="N842" s="65"/>
      <c r="O842" s="65"/>
      <c r="P842" s="65"/>
      <c r="Q842" s="65"/>
    </row>
    <row r="843">
      <c r="A843" s="63"/>
      <c r="B843" s="63"/>
      <c r="C843" s="27"/>
      <c r="D843" s="63"/>
      <c r="E843" s="63"/>
      <c r="F843" s="63"/>
      <c r="G843" s="27"/>
      <c r="H843" s="65"/>
      <c r="I843" s="65"/>
      <c r="J843" s="65"/>
      <c r="K843" s="65"/>
      <c r="L843" s="65"/>
      <c r="M843" s="65"/>
      <c r="N843" s="65"/>
      <c r="O843" s="65"/>
      <c r="P843" s="65"/>
      <c r="Q843" s="65"/>
    </row>
    <row r="844">
      <c r="A844" s="63"/>
      <c r="B844" s="63"/>
      <c r="C844" s="27"/>
      <c r="D844" s="63"/>
      <c r="E844" s="63"/>
      <c r="F844" s="63"/>
      <c r="G844" s="27"/>
      <c r="H844" s="65"/>
      <c r="I844" s="65"/>
      <c r="J844" s="65"/>
      <c r="K844" s="65"/>
      <c r="L844" s="65"/>
      <c r="M844" s="65"/>
      <c r="N844" s="65"/>
      <c r="O844" s="65"/>
      <c r="P844" s="65"/>
      <c r="Q844" s="65"/>
    </row>
    <row r="845">
      <c r="A845" s="63"/>
      <c r="B845" s="63"/>
      <c r="C845" s="27"/>
      <c r="D845" s="63"/>
      <c r="E845" s="63"/>
      <c r="F845" s="63"/>
      <c r="G845" s="27"/>
      <c r="H845" s="65"/>
      <c r="I845" s="65"/>
      <c r="J845" s="65"/>
      <c r="K845" s="65"/>
      <c r="L845" s="65"/>
      <c r="M845" s="65"/>
      <c r="N845" s="65"/>
      <c r="O845" s="65"/>
      <c r="P845" s="65"/>
      <c r="Q845" s="65"/>
    </row>
    <row r="846">
      <c r="A846" s="63"/>
      <c r="B846" s="63"/>
      <c r="C846" s="27"/>
      <c r="D846" s="63"/>
      <c r="E846" s="63"/>
      <c r="F846" s="63"/>
      <c r="G846" s="27"/>
      <c r="H846" s="65"/>
      <c r="I846" s="65"/>
      <c r="J846" s="65"/>
      <c r="K846" s="65"/>
      <c r="L846" s="65"/>
      <c r="M846" s="65"/>
      <c r="N846" s="65"/>
      <c r="O846" s="65"/>
      <c r="P846" s="65"/>
      <c r="Q846" s="65"/>
    </row>
    <row r="847">
      <c r="A847" s="63"/>
      <c r="B847" s="63"/>
      <c r="C847" s="27"/>
      <c r="D847" s="63"/>
      <c r="E847" s="63"/>
      <c r="F847" s="63"/>
      <c r="G847" s="27"/>
      <c r="H847" s="65"/>
      <c r="I847" s="65"/>
      <c r="J847" s="65"/>
      <c r="K847" s="65"/>
      <c r="L847" s="65"/>
      <c r="M847" s="65"/>
      <c r="N847" s="65"/>
      <c r="O847" s="65"/>
      <c r="P847" s="65"/>
      <c r="Q847" s="65"/>
    </row>
    <row r="848">
      <c r="A848" s="63"/>
      <c r="B848" s="63"/>
      <c r="C848" s="27"/>
      <c r="D848" s="63"/>
      <c r="E848" s="63"/>
      <c r="F848" s="63"/>
      <c r="G848" s="27"/>
      <c r="H848" s="65"/>
      <c r="I848" s="65"/>
      <c r="J848" s="65"/>
      <c r="K848" s="65"/>
      <c r="L848" s="65"/>
      <c r="M848" s="65"/>
      <c r="N848" s="65"/>
      <c r="O848" s="65"/>
      <c r="P848" s="65"/>
      <c r="Q848" s="65"/>
    </row>
    <row r="849">
      <c r="A849" s="63"/>
      <c r="B849" s="63"/>
      <c r="C849" s="27"/>
      <c r="D849" s="63"/>
      <c r="E849" s="63"/>
      <c r="F849" s="63"/>
      <c r="G849" s="27"/>
      <c r="H849" s="65"/>
      <c r="I849" s="65"/>
      <c r="J849" s="65"/>
      <c r="K849" s="65"/>
      <c r="L849" s="65"/>
      <c r="M849" s="65"/>
      <c r="N849" s="65"/>
      <c r="O849" s="65"/>
      <c r="P849" s="65"/>
      <c r="Q849" s="65"/>
    </row>
    <row r="850">
      <c r="A850" s="63"/>
      <c r="B850" s="63"/>
      <c r="C850" s="27"/>
      <c r="D850" s="63"/>
      <c r="E850" s="63"/>
      <c r="F850" s="63"/>
      <c r="G850" s="27"/>
      <c r="H850" s="65"/>
      <c r="I850" s="65"/>
      <c r="J850" s="65"/>
      <c r="K850" s="65"/>
      <c r="L850" s="65"/>
      <c r="M850" s="65"/>
      <c r="N850" s="65"/>
      <c r="O850" s="65"/>
      <c r="P850" s="65"/>
      <c r="Q850" s="65"/>
    </row>
    <row r="851">
      <c r="A851" s="63"/>
      <c r="B851" s="63"/>
      <c r="C851" s="27"/>
      <c r="D851" s="63"/>
      <c r="E851" s="63"/>
      <c r="F851" s="63"/>
      <c r="G851" s="27"/>
      <c r="H851" s="65"/>
      <c r="I851" s="65"/>
      <c r="J851" s="65"/>
      <c r="K851" s="65"/>
      <c r="L851" s="65"/>
      <c r="M851" s="65"/>
      <c r="N851" s="65"/>
      <c r="O851" s="65"/>
      <c r="P851" s="65"/>
      <c r="Q851" s="65"/>
    </row>
    <row r="852">
      <c r="A852" s="63"/>
      <c r="B852" s="63"/>
      <c r="C852" s="27"/>
      <c r="D852" s="63"/>
      <c r="E852" s="63"/>
      <c r="F852" s="63"/>
      <c r="G852" s="27"/>
      <c r="H852" s="65"/>
      <c r="I852" s="65"/>
      <c r="J852" s="65"/>
      <c r="K852" s="65"/>
      <c r="L852" s="65"/>
      <c r="M852" s="65"/>
      <c r="N852" s="65"/>
      <c r="O852" s="65"/>
      <c r="P852" s="65"/>
      <c r="Q852" s="65"/>
    </row>
    <row r="853">
      <c r="A853" s="63"/>
      <c r="B853" s="63"/>
      <c r="C853" s="27"/>
      <c r="D853" s="63"/>
      <c r="E853" s="63"/>
      <c r="F853" s="63"/>
      <c r="G853" s="27"/>
      <c r="H853" s="65"/>
      <c r="I853" s="65"/>
      <c r="J853" s="65"/>
      <c r="K853" s="65"/>
      <c r="L853" s="65"/>
      <c r="M853" s="65"/>
      <c r="N853" s="65"/>
      <c r="O853" s="65"/>
      <c r="P853" s="65"/>
      <c r="Q853" s="65"/>
    </row>
    <row r="854">
      <c r="A854" s="63"/>
      <c r="B854" s="63"/>
      <c r="C854" s="27"/>
      <c r="D854" s="63"/>
      <c r="E854" s="63"/>
      <c r="F854" s="63"/>
      <c r="G854" s="27"/>
      <c r="H854" s="65"/>
      <c r="I854" s="65"/>
      <c r="J854" s="65"/>
      <c r="K854" s="65"/>
      <c r="L854" s="65"/>
      <c r="M854" s="65"/>
      <c r="N854" s="65"/>
      <c r="O854" s="65"/>
      <c r="P854" s="65"/>
      <c r="Q854" s="65"/>
    </row>
    <row r="855">
      <c r="A855" s="63"/>
      <c r="B855" s="63"/>
      <c r="C855" s="27"/>
      <c r="D855" s="63"/>
      <c r="E855" s="63"/>
      <c r="F855" s="63"/>
      <c r="G855" s="27"/>
      <c r="H855" s="65"/>
      <c r="I855" s="65"/>
      <c r="J855" s="65"/>
      <c r="K855" s="65"/>
      <c r="L855" s="65"/>
      <c r="M855" s="65"/>
      <c r="N855" s="65"/>
      <c r="O855" s="65"/>
      <c r="P855" s="65"/>
      <c r="Q855" s="65"/>
    </row>
    <row r="856">
      <c r="A856" s="63"/>
      <c r="B856" s="63"/>
      <c r="C856" s="27"/>
      <c r="D856" s="63"/>
      <c r="E856" s="63"/>
      <c r="F856" s="63"/>
      <c r="G856" s="27"/>
      <c r="H856" s="65"/>
      <c r="I856" s="65"/>
      <c r="J856" s="65"/>
      <c r="K856" s="65"/>
      <c r="L856" s="65"/>
      <c r="M856" s="65"/>
      <c r="N856" s="65"/>
      <c r="O856" s="65"/>
      <c r="P856" s="65"/>
      <c r="Q856" s="65"/>
    </row>
    <row r="857">
      <c r="A857" s="63"/>
      <c r="B857" s="63"/>
      <c r="C857" s="27"/>
      <c r="D857" s="63"/>
      <c r="E857" s="63"/>
      <c r="F857" s="63"/>
      <c r="G857" s="27"/>
      <c r="H857" s="65"/>
      <c r="I857" s="65"/>
      <c r="J857" s="65"/>
      <c r="K857" s="65"/>
      <c r="L857" s="65"/>
      <c r="M857" s="65"/>
      <c r="N857" s="65"/>
      <c r="O857" s="65"/>
      <c r="P857" s="65"/>
      <c r="Q857" s="65"/>
    </row>
    <row r="858">
      <c r="A858" s="63"/>
      <c r="B858" s="63"/>
      <c r="C858" s="27"/>
      <c r="D858" s="63"/>
      <c r="E858" s="63"/>
      <c r="F858" s="63"/>
      <c r="G858" s="27"/>
      <c r="H858" s="65"/>
      <c r="I858" s="65"/>
      <c r="J858" s="65"/>
      <c r="K858" s="65"/>
      <c r="L858" s="65"/>
      <c r="M858" s="65"/>
      <c r="N858" s="65"/>
      <c r="O858" s="65"/>
      <c r="P858" s="65"/>
      <c r="Q858" s="65"/>
    </row>
    <row r="859">
      <c r="A859" s="63"/>
      <c r="B859" s="63"/>
      <c r="C859" s="27"/>
      <c r="D859" s="63"/>
      <c r="E859" s="63"/>
      <c r="F859" s="63"/>
      <c r="G859" s="27"/>
      <c r="H859" s="65"/>
      <c r="I859" s="65"/>
      <c r="J859" s="65"/>
      <c r="K859" s="65"/>
      <c r="L859" s="65"/>
      <c r="M859" s="65"/>
      <c r="N859" s="65"/>
      <c r="O859" s="65"/>
      <c r="P859" s="65"/>
      <c r="Q859" s="65"/>
    </row>
    <row r="860">
      <c r="A860" s="63"/>
      <c r="B860" s="63"/>
      <c r="C860" s="27"/>
      <c r="D860" s="63"/>
      <c r="E860" s="63"/>
      <c r="F860" s="63"/>
      <c r="G860" s="27"/>
      <c r="H860" s="65"/>
      <c r="I860" s="65"/>
      <c r="J860" s="65"/>
      <c r="K860" s="65"/>
      <c r="L860" s="65"/>
      <c r="M860" s="65"/>
      <c r="N860" s="65"/>
      <c r="O860" s="65"/>
      <c r="P860" s="65"/>
      <c r="Q860" s="65"/>
    </row>
    <row r="861">
      <c r="A861" s="63"/>
      <c r="B861" s="63"/>
      <c r="C861" s="27"/>
      <c r="D861" s="63"/>
      <c r="E861" s="63"/>
      <c r="F861" s="63"/>
      <c r="G861" s="27"/>
      <c r="H861" s="65"/>
      <c r="I861" s="65"/>
      <c r="J861" s="65"/>
      <c r="K861" s="65"/>
      <c r="L861" s="65"/>
      <c r="M861" s="65"/>
      <c r="N861" s="65"/>
      <c r="O861" s="65"/>
      <c r="P861" s="65"/>
      <c r="Q861" s="65"/>
    </row>
    <row r="862">
      <c r="A862" s="63"/>
      <c r="B862" s="63"/>
      <c r="C862" s="27"/>
      <c r="D862" s="63"/>
      <c r="E862" s="63"/>
      <c r="F862" s="63"/>
      <c r="G862" s="27"/>
      <c r="H862" s="65"/>
      <c r="I862" s="65"/>
      <c r="J862" s="65"/>
      <c r="K862" s="65"/>
      <c r="L862" s="65"/>
      <c r="M862" s="65"/>
      <c r="N862" s="65"/>
      <c r="O862" s="65"/>
      <c r="P862" s="65"/>
      <c r="Q862" s="65"/>
    </row>
    <row r="863">
      <c r="A863" s="63"/>
      <c r="B863" s="63"/>
      <c r="C863" s="27"/>
      <c r="D863" s="63"/>
      <c r="E863" s="63"/>
      <c r="F863" s="63"/>
      <c r="G863" s="27"/>
      <c r="H863" s="65"/>
      <c r="I863" s="65"/>
      <c r="J863" s="65"/>
      <c r="K863" s="65"/>
      <c r="L863" s="65"/>
      <c r="M863" s="65"/>
      <c r="N863" s="65"/>
      <c r="O863" s="65"/>
      <c r="P863" s="65"/>
      <c r="Q863" s="65"/>
    </row>
    <row r="864">
      <c r="A864" s="63"/>
      <c r="B864" s="63"/>
      <c r="C864" s="27"/>
      <c r="D864" s="63"/>
      <c r="E864" s="63"/>
      <c r="F864" s="63"/>
      <c r="G864" s="27"/>
      <c r="H864" s="65"/>
      <c r="I864" s="65"/>
      <c r="J864" s="65"/>
      <c r="K864" s="65"/>
      <c r="L864" s="65"/>
      <c r="M864" s="65"/>
      <c r="N864" s="65"/>
      <c r="O864" s="65"/>
      <c r="P864" s="65"/>
      <c r="Q864" s="65"/>
    </row>
    <row r="865">
      <c r="A865" s="63"/>
      <c r="B865" s="63"/>
      <c r="C865" s="27"/>
      <c r="D865" s="63"/>
      <c r="E865" s="63"/>
      <c r="F865" s="63"/>
      <c r="G865" s="27"/>
      <c r="H865" s="65"/>
      <c r="I865" s="65"/>
      <c r="J865" s="65"/>
      <c r="K865" s="65"/>
      <c r="L865" s="65"/>
      <c r="M865" s="65"/>
      <c r="N865" s="65"/>
      <c r="O865" s="65"/>
      <c r="P865" s="65"/>
      <c r="Q865" s="65"/>
    </row>
    <row r="866">
      <c r="A866" s="63"/>
      <c r="B866" s="63"/>
      <c r="C866" s="27"/>
      <c r="D866" s="63"/>
      <c r="E866" s="63"/>
      <c r="F866" s="63"/>
      <c r="G866" s="27"/>
      <c r="H866" s="65"/>
      <c r="I866" s="65"/>
      <c r="J866" s="65"/>
      <c r="K866" s="65"/>
      <c r="L866" s="65"/>
      <c r="M866" s="65"/>
      <c r="N866" s="65"/>
      <c r="O866" s="65"/>
      <c r="P866" s="65"/>
      <c r="Q866" s="65"/>
    </row>
    <row r="867">
      <c r="A867" s="63"/>
      <c r="B867" s="63"/>
      <c r="C867" s="27"/>
      <c r="D867" s="63"/>
      <c r="E867" s="63"/>
      <c r="F867" s="63"/>
      <c r="G867" s="27"/>
      <c r="H867" s="65"/>
      <c r="I867" s="65"/>
      <c r="J867" s="65"/>
      <c r="K867" s="65"/>
      <c r="L867" s="65"/>
      <c r="M867" s="65"/>
      <c r="N867" s="65"/>
      <c r="O867" s="65"/>
      <c r="P867" s="65"/>
      <c r="Q867" s="65"/>
    </row>
    <row r="868">
      <c r="A868" s="63"/>
      <c r="B868" s="63"/>
      <c r="C868" s="27"/>
      <c r="D868" s="63"/>
      <c r="E868" s="63"/>
      <c r="F868" s="63"/>
      <c r="G868" s="27"/>
      <c r="H868" s="65"/>
      <c r="I868" s="65"/>
      <c r="J868" s="65"/>
      <c r="K868" s="65"/>
      <c r="L868" s="65"/>
      <c r="M868" s="65"/>
      <c r="N868" s="65"/>
      <c r="O868" s="65"/>
      <c r="P868" s="65"/>
      <c r="Q868" s="65"/>
    </row>
    <row r="869">
      <c r="A869" s="63"/>
      <c r="B869" s="63"/>
      <c r="C869" s="27"/>
      <c r="D869" s="63"/>
      <c r="E869" s="63"/>
      <c r="F869" s="63"/>
      <c r="G869" s="27"/>
      <c r="H869" s="65"/>
      <c r="I869" s="65"/>
      <c r="J869" s="65"/>
      <c r="K869" s="65"/>
      <c r="L869" s="65"/>
      <c r="M869" s="65"/>
      <c r="N869" s="65"/>
      <c r="O869" s="65"/>
      <c r="P869" s="65"/>
      <c r="Q869" s="65"/>
    </row>
    <row r="870">
      <c r="A870" s="63"/>
      <c r="B870" s="63"/>
      <c r="C870" s="27"/>
      <c r="D870" s="63"/>
      <c r="E870" s="63"/>
      <c r="F870" s="63"/>
      <c r="G870" s="27"/>
      <c r="H870" s="65"/>
      <c r="I870" s="65"/>
      <c r="J870" s="65"/>
      <c r="K870" s="65"/>
      <c r="L870" s="65"/>
      <c r="M870" s="65"/>
      <c r="N870" s="65"/>
      <c r="O870" s="65"/>
      <c r="P870" s="65"/>
      <c r="Q870" s="65"/>
    </row>
    <row r="871">
      <c r="A871" s="63"/>
      <c r="B871" s="63"/>
      <c r="C871" s="27"/>
      <c r="D871" s="63"/>
      <c r="E871" s="63"/>
      <c r="F871" s="63"/>
      <c r="G871" s="27"/>
      <c r="H871" s="65"/>
      <c r="I871" s="65"/>
      <c r="J871" s="65"/>
      <c r="K871" s="65"/>
      <c r="L871" s="65"/>
      <c r="M871" s="65"/>
      <c r="N871" s="65"/>
      <c r="O871" s="65"/>
      <c r="P871" s="65"/>
      <c r="Q871" s="65"/>
    </row>
    <row r="872">
      <c r="A872" s="63"/>
      <c r="B872" s="63"/>
      <c r="C872" s="27"/>
      <c r="D872" s="63"/>
      <c r="E872" s="63"/>
      <c r="F872" s="63"/>
      <c r="G872" s="27"/>
      <c r="H872" s="65"/>
      <c r="I872" s="65"/>
      <c r="J872" s="65"/>
      <c r="K872" s="65"/>
      <c r="L872" s="65"/>
      <c r="M872" s="65"/>
      <c r="N872" s="65"/>
      <c r="O872" s="65"/>
      <c r="P872" s="65"/>
      <c r="Q872" s="65"/>
    </row>
    <row r="873">
      <c r="A873" s="63"/>
      <c r="B873" s="63"/>
      <c r="C873" s="27"/>
      <c r="D873" s="63"/>
      <c r="E873" s="63"/>
      <c r="F873" s="63"/>
      <c r="G873" s="27"/>
      <c r="H873" s="65"/>
      <c r="I873" s="65"/>
      <c r="J873" s="65"/>
      <c r="K873" s="65"/>
      <c r="L873" s="65"/>
      <c r="M873" s="65"/>
      <c r="N873" s="65"/>
      <c r="O873" s="65"/>
      <c r="P873" s="65"/>
      <c r="Q873" s="65"/>
    </row>
    <row r="874">
      <c r="A874" s="63"/>
      <c r="B874" s="63"/>
      <c r="C874" s="27"/>
      <c r="D874" s="63"/>
      <c r="E874" s="63"/>
      <c r="F874" s="63"/>
      <c r="G874" s="27"/>
      <c r="H874" s="65"/>
      <c r="I874" s="65"/>
      <c r="J874" s="65"/>
      <c r="K874" s="65"/>
      <c r="L874" s="65"/>
      <c r="M874" s="65"/>
      <c r="N874" s="65"/>
      <c r="O874" s="65"/>
      <c r="P874" s="65"/>
      <c r="Q874" s="65"/>
    </row>
    <row r="875">
      <c r="A875" s="63"/>
      <c r="B875" s="63"/>
      <c r="C875" s="27"/>
      <c r="D875" s="63"/>
      <c r="E875" s="63"/>
      <c r="F875" s="63"/>
      <c r="G875" s="27"/>
      <c r="H875" s="65"/>
      <c r="I875" s="65"/>
      <c r="J875" s="65"/>
      <c r="K875" s="65"/>
      <c r="L875" s="65"/>
      <c r="M875" s="65"/>
      <c r="N875" s="65"/>
      <c r="O875" s="65"/>
      <c r="P875" s="65"/>
      <c r="Q875" s="65"/>
    </row>
    <row r="876">
      <c r="A876" s="63"/>
      <c r="B876" s="63"/>
      <c r="C876" s="27"/>
      <c r="D876" s="63"/>
      <c r="E876" s="63"/>
      <c r="F876" s="63"/>
      <c r="G876" s="27"/>
      <c r="H876" s="65"/>
      <c r="I876" s="65"/>
      <c r="J876" s="65"/>
      <c r="K876" s="65"/>
      <c r="L876" s="65"/>
      <c r="M876" s="65"/>
      <c r="N876" s="65"/>
      <c r="O876" s="65"/>
      <c r="P876" s="65"/>
      <c r="Q876" s="65"/>
    </row>
    <row r="877">
      <c r="A877" s="63"/>
      <c r="B877" s="63"/>
      <c r="C877" s="27"/>
      <c r="D877" s="63"/>
      <c r="E877" s="63"/>
      <c r="F877" s="63"/>
      <c r="G877" s="27"/>
      <c r="H877" s="65"/>
      <c r="I877" s="65"/>
      <c r="J877" s="65"/>
      <c r="K877" s="65"/>
      <c r="L877" s="65"/>
      <c r="M877" s="65"/>
      <c r="N877" s="65"/>
      <c r="O877" s="65"/>
      <c r="P877" s="65"/>
      <c r="Q877" s="65"/>
    </row>
    <row r="878">
      <c r="A878" s="63"/>
      <c r="B878" s="63"/>
      <c r="C878" s="27"/>
      <c r="D878" s="63"/>
      <c r="E878" s="63"/>
      <c r="F878" s="63"/>
      <c r="G878" s="27"/>
      <c r="H878" s="65"/>
      <c r="I878" s="65"/>
      <c r="J878" s="65"/>
      <c r="K878" s="65"/>
      <c r="L878" s="65"/>
      <c r="M878" s="65"/>
      <c r="N878" s="65"/>
      <c r="O878" s="65"/>
      <c r="P878" s="65"/>
      <c r="Q878" s="65"/>
    </row>
    <row r="879">
      <c r="A879" s="63"/>
      <c r="B879" s="63"/>
      <c r="C879" s="27"/>
      <c r="D879" s="63"/>
      <c r="E879" s="63"/>
      <c r="F879" s="63"/>
      <c r="G879" s="27"/>
      <c r="H879" s="65"/>
      <c r="I879" s="65"/>
      <c r="J879" s="65"/>
      <c r="K879" s="65"/>
      <c r="L879" s="65"/>
      <c r="M879" s="65"/>
      <c r="N879" s="65"/>
      <c r="O879" s="65"/>
      <c r="P879" s="65"/>
      <c r="Q879" s="65"/>
    </row>
    <row r="880">
      <c r="A880" s="63"/>
      <c r="B880" s="63"/>
      <c r="C880" s="27"/>
      <c r="D880" s="63"/>
      <c r="E880" s="63"/>
      <c r="F880" s="63"/>
      <c r="G880" s="27"/>
      <c r="H880" s="65"/>
      <c r="I880" s="65"/>
      <c r="J880" s="65"/>
      <c r="K880" s="65"/>
      <c r="L880" s="65"/>
      <c r="M880" s="65"/>
      <c r="N880" s="65"/>
      <c r="O880" s="65"/>
      <c r="P880" s="65"/>
      <c r="Q880" s="65"/>
    </row>
    <row r="881">
      <c r="A881" s="63"/>
      <c r="B881" s="63"/>
      <c r="C881" s="27"/>
      <c r="D881" s="63"/>
      <c r="E881" s="63"/>
      <c r="F881" s="63"/>
      <c r="G881" s="27"/>
      <c r="H881" s="65"/>
      <c r="I881" s="65"/>
      <c r="J881" s="65"/>
      <c r="K881" s="65"/>
      <c r="L881" s="65"/>
      <c r="M881" s="65"/>
      <c r="N881" s="65"/>
      <c r="O881" s="65"/>
      <c r="P881" s="65"/>
      <c r="Q881" s="65"/>
    </row>
    <row r="882">
      <c r="A882" s="63"/>
      <c r="B882" s="63"/>
      <c r="C882" s="27"/>
      <c r="D882" s="63"/>
      <c r="E882" s="63"/>
      <c r="F882" s="63"/>
      <c r="G882" s="27"/>
      <c r="H882" s="65"/>
      <c r="I882" s="65"/>
      <c r="J882" s="65"/>
      <c r="K882" s="65"/>
      <c r="L882" s="65"/>
      <c r="M882" s="65"/>
      <c r="N882" s="65"/>
      <c r="O882" s="65"/>
      <c r="P882" s="65"/>
      <c r="Q882" s="65"/>
    </row>
    <row r="883">
      <c r="A883" s="63"/>
      <c r="B883" s="63"/>
      <c r="C883" s="27"/>
      <c r="D883" s="63"/>
      <c r="E883" s="63"/>
      <c r="F883" s="63"/>
      <c r="G883" s="27"/>
      <c r="H883" s="65"/>
      <c r="I883" s="65"/>
      <c r="J883" s="65"/>
      <c r="K883" s="65"/>
      <c r="L883" s="65"/>
      <c r="M883" s="65"/>
      <c r="N883" s="65"/>
      <c r="O883" s="65"/>
      <c r="P883" s="65"/>
      <c r="Q883" s="65"/>
    </row>
    <row r="884">
      <c r="A884" s="63"/>
      <c r="B884" s="63"/>
      <c r="C884" s="27"/>
      <c r="D884" s="63"/>
      <c r="E884" s="63"/>
      <c r="F884" s="63"/>
      <c r="G884" s="27"/>
      <c r="H884" s="65"/>
      <c r="I884" s="65"/>
      <c r="J884" s="65"/>
      <c r="K884" s="65"/>
      <c r="L884" s="65"/>
      <c r="M884" s="65"/>
      <c r="N884" s="65"/>
      <c r="O884" s="65"/>
      <c r="P884" s="65"/>
      <c r="Q884" s="65"/>
    </row>
    <row r="885">
      <c r="A885" s="63"/>
      <c r="B885" s="63"/>
      <c r="C885" s="27"/>
      <c r="D885" s="63"/>
      <c r="E885" s="63"/>
      <c r="F885" s="63"/>
      <c r="G885" s="27"/>
      <c r="H885" s="65"/>
      <c r="I885" s="65"/>
      <c r="J885" s="65"/>
      <c r="K885" s="65"/>
      <c r="L885" s="65"/>
      <c r="M885" s="65"/>
      <c r="N885" s="65"/>
      <c r="O885" s="65"/>
      <c r="P885" s="65"/>
      <c r="Q885" s="65"/>
    </row>
    <row r="886">
      <c r="A886" s="63"/>
      <c r="B886" s="63"/>
      <c r="C886" s="27"/>
      <c r="D886" s="63"/>
      <c r="E886" s="63"/>
      <c r="F886" s="63"/>
      <c r="G886" s="27"/>
      <c r="H886" s="65"/>
      <c r="I886" s="65"/>
      <c r="J886" s="65"/>
      <c r="K886" s="65"/>
      <c r="L886" s="65"/>
      <c r="M886" s="65"/>
      <c r="N886" s="65"/>
      <c r="O886" s="65"/>
      <c r="P886" s="65"/>
      <c r="Q886" s="65"/>
    </row>
    <row r="887">
      <c r="A887" s="63"/>
      <c r="B887" s="63"/>
      <c r="C887" s="27"/>
      <c r="D887" s="63"/>
      <c r="E887" s="63"/>
      <c r="F887" s="63"/>
      <c r="G887" s="27"/>
      <c r="H887" s="65"/>
      <c r="I887" s="65"/>
      <c r="J887" s="65"/>
      <c r="K887" s="65"/>
      <c r="L887" s="65"/>
      <c r="M887" s="65"/>
      <c r="N887" s="65"/>
      <c r="O887" s="65"/>
      <c r="P887" s="65"/>
      <c r="Q887" s="65"/>
    </row>
    <row r="888">
      <c r="A888" s="63"/>
      <c r="B888" s="63"/>
      <c r="C888" s="27"/>
      <c r="D888" s="63"/>
      <c r="E888" s="63"/>
      <c r="F888" s="63"/>
      <c r="G888" s="27"/>
      <c r="H888" s="65"/>
      <c r="I888" s="65"/>
      <c r="J888" s="65"/>
      <c r="K888" s="65"/>
      <c r="L888" s="65"/>
      <c r="M888" s="65"/>
      <c r="N888" s="65"/>
      <c r="O888" s="65"/>
      <c r="P888" s="65"/>
      <c r="Q888" s="65"/>
    </row>
    <row r="889">
      <c r="A889" s="63"/>
      <c r="B889" s="63"/>
      <c r="C889" s="27"/>
      <c r="D889" s="63"/>
      <c r="E889" s="63"/>
      <c r="F889" s="63"/>
      <c r="G889" s="27"/>
      <c r="H889" s="65"/>
      <c r="I889" s="65"/>
      <c r="J889" s="65"/>
      <c r="K889" s="65"/>
      <c r="L889" s="65"/>
      <c r="M889" s="65"/>
      <c r="N889" s="65"/>
      <c r="O889" s="65"/>
      <c r="P889" s="65"/>
      <c r="Q889" s="65"/>
    </row>
    <row r="890">
      <c r="A890" s="63"/>
      <c r="B890" s="63"/>
      <c r="C890" s="27"/>
      <c r="D890" s="63"/>
      <c r="E890" s="63"/>
      <c r="F890" s="63"/>
      <c r="G890" s="27"/>
      <c r="H890" s="65"/>
      <c r="I890" s="65"/>
      <c r="J890" s="65"/>
      <c r="K890" s="65"/>
      <c r="L890" s="65"/>
      <c r="M890" s="65"/>
      <c r="N890" s="65"/>
      <c r="O890" s="65"/>
      <c r="P890" s="65"/>
      <c r="Q890" s="65"/>
    </row>
    <row r="891">
      <c r="A891" s="63"/>
      <c r="B891" s="63"/>
      <c r="C891" s="27"/>
      <c r="D891" s="63"/>
      <c r="E891" s="63"/>
      <c r="F891" s="63"/>
      <c r="G891" s="27"/>
      <c r="H891" s="65"/>
      <c r="I891" s="65"/>
      <c r="J891" s="65"/>
      <c r="K891" s="65"/>
      <c r="L891" s="65"/>
      <c r="M891" s="65"/>
      <c r="N891" s="65"/>
      <c r="O891" s="65"/>
      <c r="P891" s="65"/>
      <c r="Q891" s="65"/>
    </row>
    <row r="892">
      <c r="A892" s="63"/>
      <c r="B892" s="63"/>
      <c r="C892" s="27"/>
      <c r="D892" s="63"/>
      <c r="E892" s="63"/>
      <c r="F892" s="63"/>
      <c r="G892" s="27"/>
      <c r="H892" s="65"/>
      <c r="I892" s="65"/>
      <c r="J892" s="65"/>
      <c r="K892" s="65"/>
      <c r="L892" s="65"/>
      <c r="M892" s="65"/>
      <c r="N892" s="65"/>
      <c r="O892" s="65"/>
      <c r="P892" s="65"/>
      <c r="Q892" s="65"/>
    </row>
    <row r="893">
      <c r="A893" s="63"/>
      <c r="B893" s="63"/>
      <c r="C893" s="27"/>
      <c r="D893" s="63"/>
      <c r="E893" s="63"/>
      <c r="F893" s="63"/>
      <c r="G893" s="27"/>
      <c r="H893" s="65"/>
      <c r="I893" s="65"/>
      <c r="J893" s="65"/>
      <c r="K893" s="65"/>
      <c r="L893" s="65"/>
      <c r="M893" s="65"/>
      <c r="N893" s="65"/>
      <c r="O893" s="65"/>
      <c r="P893" s="65"/>
      <c r="Q893" s="65"/>
    </row>
    <row r="894">
      <c r="A894" s="63"/>
      <c r="B894" s="63"/>
      <c r="C894" s="27"/>
      <c r="D894" s="63"/>
      <c r="E894" s="63"/>
      <c r="F894" s="63"/>
      <c r="G894" s="27"/>
      <c r="H894" s="65"/>
      <c r="I894" s="65"/>
      <c r="J894" s="65"/>
      <c r="K894" s="65"/>
      <c r="L894" s="65"/>
      <c r="M894" s="65"/>
      <c r="N894" s="65"/>
      <c r="O894" s="65"/>
      <c r="P894" s="65"/>
      <c r="Q894" s="65"/>
    </row>
    <row r="895">
      <c r="A895" s="63"/>
      <c r="B895" s="63"/>
      <c r="C895" s="27"/>
      <c r="D895" s="63"/>
      <c r="E895" s="63"/>
      <c r="F895" s="63"/>
      <c r="G895" s="27"/>
      <c r="H895" s="65"/>
      <c r="I895" s="65"/>
      <c r="J895" s="65"/>
      <c r="K895" s="65"/>
      <c r="L895" s="65"/>
      <c r="M895" s="65"/>
      <c r="N895" s="65"/>
      <c r="O895" s="65"/>
      <c r="P895" s="65"/>
      <c r="Q895" s="65"/>
    </row>
    <row r="896">
      <c r="A896" s="63"/>
      <c r="B896" s="63"/>
      <c r="C896" s="27"/>
      <c r="D896" s="63"/>
      <c r="E896" s="63"/>
      <c r="F896" s="63"/>
      <c r="G896" s="27"/>
      <c r="H896" s="65"/>
      <c r="I896" s="65"/>
      <c r="J896" s="65"/>
      <c r="K896" s="65"/>
      <c r="L896" s="65"/>
      <c r="M896" s="65"/>
      <c r="N896" s="65"/>
      <c r="O896" s="65"/>
      <c r="P896" s="65"/>
      <c r="Q896" s="65"/>
    </row>
    <row r="897">
      <c r="A897" s="63"/>
      <c r="B897" s="63"/>
      <c r="C897" s="27"/>
      <c r="D897" s="63"/>
      <c r="E897" s="63"/>
      <c r="F897" s="63"/>
      <c r="G897" s="27"/>
      <c r="H897" s="65"/>
      <c r="I897" s="65"/>
      <c r="J897" s="65"/>
      <c r="K897" s="65"/>
      <c r="L897" s="65"/>
      <c r="M897" s="65"/>
      <c r="N897" s="65"/>
      <c r="O897" s="65"/>
      <c r="P897" s="65"/>
      <c r="Q897" s="65"/>
    </row>
    <row r="898">
      <c r="A898" s="63"/>
      <c r="B898" s="63"/>
      <c r="C898" s="27"/>
      <c r="D898" s="63"/>
      <c r="E898" s="63"/>
      <c r="F898" s="63"/>
      <c r="G898" s="27"/>
      <c r="H898" s="65"/>
      <c r="I898" s="65"/>
      <c r="J898" s="65"/>
      <c r="K898" s="65"/>
      <c r="L898" s="65"/>
      <c r="M898" s="65"/>
      <c r="N898" s="65"/>
      <c r="O898" s="65"/>
      <c r="P898" s="65"/>
      <c r="Q898" s="65"/>
    </row>
    <row r="899">
      <c r="A899" s="63"/>
      <c r="B899" s="63"/>
      <c r="C899" s="27"/>
      <c r="D899" s="63"/>
      <c r="E899" s="63"/>
      <c r="F899" s="63"/>
      <c r="G899" s="27"/>
      <c r="H899" s="65"/>
      <c r="I899" s="65"/>
      <c r="J899" s="65"/>
      <c r="K899" s="65"/>
      <c r="L899" s="65"/>
      <c r="M899" s="65"/>
      <c r="N899" s="65"/>
      <c r="O899" s="65"/>
      <c r="P899" s="65"/>
      <c r="Q899" s="65"/>
    </row>
    <row r="900">
      <c r="A900" s="63"/>
      <c r="B900" s="63"/>
      <c r="C900" s="27"/>
      <c r="D900" s="63"/>
      <c r="E900" s="63"/>
      <c r="F900" s="63"/>
      <c r="G900" s="27"/>
      <c r="H900" s="65"/>
      <c r="I900" s="65"/>
      <c r="J900" s="65"/>
      <c r="K900" s="65"/>
      <c r="L900" s="65"/>
      <c r="M900" s="65"/>
      <c r="N900" s="65"/>
      <c r="O900" s="65"/>
      <c r="P900" s="65"/>
      <c r="Q900" s="65"/>
    </row>
    <row r="901">
      <c r="A901" s="63"/>
      <c r="B901" s="63"/>
      <c r="C901" s="27"/>
      <c r="D901" s="63"/>
      <c r="E901" s="63"/>
      <c r="F901" s="63"/>
      <c r="G901" s="27"/>
      <c r="H901" s="65"/>
      <c r="I901" s="65"/>
      <c r="J901" s="65"/>
      <c r="K901" s="65"/>
      <c r="L901" s="65"/>
      <c r="M901" s="65"/>
      <c r="N901" s="65"/>
      <c r="O901" s="65"/>
      <c r="P901" s="65"/>
      <c r="Q901" s="65"/>
    </row>
    <row r="902">
      <c r="A902" s="63"/>
      <c r="B902" s="63"/>
      <c r="C902" s="27"/>
      <c r="D902" s="63"/>
      <c r="E902" s="63"/>
      <c r="F902" s="63"/>
      <c r="G902" s="27"/>
      <c r="H902" s="65"/>
      <c r="I902" s="65"/>
      <c r="J902" s="65"/>
      <c r="K902" s="65"/>
      <c r="L902" s="65"/>
      <c r="M902" s="65"/>
      <c r="N902" s="65"/>
      <c r="O902" s="65"/>
      <c r="P902" s="65"/>
      <c r="Q902" s="65"/>
    </row>
    <row r="903">
      <c r="A903" s="63"/>
      <c r="B903" s="63"/>
      <c r="C903" s="27"/>
      <c r="D903" s="63"/>
      <c r="E903" s="63"/>
      <c r="F903" s="63"/>
      <c r="G903" s="27"/>
      <c r="H903" s="65"/>
      <c r="I903" s="65"/>
      <c r="J903" s="65"/>
      <c r="K903" s="65"/>
      <c r="L903" s="65"/>
      <c r="M903" s="65"/>
      <c r="N903" s="65"/>
      <c r="O903" s="65"/>
      <c r="P903" s="65"/>
      <c r="Q903" s="65"/>
    </row>
    <row r="904">
      <c r="A904" s="63"/>
      <c r="B904" s="63"/>
      <c r="C904" s="27"/>
      <c r="D904" s="63"/>
      <c r="E904" s="63"/>
      <c r="F904" s="63"/>
      <c r="G904" s="27"/>
      <c r="H904" s="65"/>
      <c r="I904" s="65"/>
      <c r="J904" s="65"/>
      <c r="K904" s="65"/>
      <c r="L904" s="65"/>
      <c r="M904" s="65"/>
      <c r="N904" s="65"/>
      <c r="O904" s="65"/>
      <c r="P904" s="65"/>
      <c r="Q904" s="65"/>
    </row>
    <row r="905">
      <c r="A905" s="63"/>
      <c r="B905" s="63"/>
      <c r="C905" s="27"/>
      <c r="D905" s="63"/>
      <c r="E905" s="63"/>
      <c r="F905" s="63"/>
      <c r="G905" s="27"/>
      <c r="H905" s="65"/>
      <c r="I905" s="65"/>
      <c r="J905" s="65"/>
      <c r="K905" s="65"/>
      <c r="L905" s="65"/>
      <c r="M905" s="65"/>
      <c r="N905" s="65"/>
      <c r="O905" s="65"/>
      <c r="P905" s="65"/>
      <c r="Q905" s="65"/>
    </row>
    <row r="906">
      <c r="A906" s="63"/>
      <c r="B906" s="63"/>
      <c r="C906" s="27"/>
      <c r="D906" s="63"/>
      <c r="E906" s="63"/>
      <c r="F906" s="63"/>
      <c r="G906" s="27"/>
      <c r="H906" s="65"/>
      <c r="I906" s="65"/>
      <c r="J906" s="65"/>
      <c r="K906" s="65"/>
      <c r="L906" s="65"/>
      <c r="M906" s="65"/>
      <c r="N906" s="65"/>
      <c r="O906" s="65"/>
      <c r="P906" s="65"/>
      <c r="Q906" s="65"/>
    </row>
    <row r="907">
      <c r="A907" s="63"/>
      <c r="B907" s="63"/>
      <c r="C907" s="27"/>
      <c r="D907" s="63"/>
      <c r="E907" s="63"/>
      <c r="F907" s="63"/>
      <c r="G907" s="27"/>
      <c r="H907" s="65"/>
      <c r="I907" s="65"/>
      <c r="J907" s="65"/>
      <c r="K907" s="65"/>
      <c r="L907" s="65"/>
      <c r="M907" s="65"/>
      <c r="N907" s="65"/>
      <c r="O907" s="65"/>
      <c r="P907" s="65"/>
      <c r="Q907" s="65"/>
    </row>
    <row r="908">
      <c r="A908" s="63"/>
      <c r="B908" s="63"/>
      <c r="C908" s="27"/>
      <c r="D908" s="63"/>
      <c r="E908" s="63"/>
      <c r="F908" s="63"/>
      <c r="G908" s="27"/>
      <c r="H908" s="65"/>
      <c r="I908" s="65"/>
      <c r="J908" s="65"/>
      <c r="K908" s="65"/>
      <c r="L908" s="65"/>
      <c r="M908" s="65"/>
      <c r="N908" s="65"/>
      <c r="O908" s="65"/>
      <c r="P908" s="65"/>
      <c r="Q908" s="65"/>
    </row>
    <row r="909">
      <c r="A909" s="63"/>
      <c r="B909" s="63"/>
      <c r="C909" s="27"/>
      <c r="D909" s="63"/>
      <c r="E909" s="63"/>
      <c r="F909" s="63"/>
      <c r="G909" s="27"/>
      <c r="H909" s="65"/>
      <c r="I909" s="65"/>
      <c r="J909" s="65"/>
      <c r="K909" s="65"/>
      <c r="L909" s="65"/>
      <c r="M909" s="65"/>
      <c r="N909" s="65"/>
      <c r="O909" s="65"/>
      <c r="P909" s="65"/>
      <c r="Q909" s="65"/>
    </row>
    <row r="910">
      <c r="A910" s="63"/>
      <c r="B910" s="63"/>
      <c r="C910" s="27"/>
      <c r="D910" s="63"/>
      <c r="E910" s="63"/>
      <c r="F910" s="63"/>
      <c r="G910" s="27"/>
      <c r="H910" s="65"/>
      <c r="I910" s="65"/>
      <c r="J910" s="65"/>
      <c r="K910" s="65"/>
      <c r="L910" s="65"/>
      <c r="M910" s="65"/>
      <c r="N910" s="65"/>
      <c r="O910" s="65"/>
      <c r="P910" s="65"/>
      <c r="Q910" s="65"/>
    </row>
    <row r="911">
      <c r="A911" s="63"/>
      <c r="B911" s="63"/>
      <c r="C911" s="27"/>
      <c r="D911" s="63"/>
      <c r="E911" s="63"/>
      <c r="F911" s="63"/>
      <c r="G911" s="27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  <row r="912">
      <c r="A912" s="63"/>
      <c r="B912" s="63"/>
      <c r="C912" s="27"/>
      <c r="D912" s="63"/>
      <c r="E912" s="63"/>
      <c r="F912" s="63"/>
      <c r="G912" s="27"/>
      <c r="H912" s="65"/>
      <c r="I912" s="65"/>
      <c r="J912" s="65"/>
      <c r="K912" s="65"/>
      <c r="L912" s="65"/>
      <c r="M912" s="65"/>
      <c r="N912" s="65"/>
      <c r="O912" s="65"/>
      <c r="P912" s="65"/>
      <c r="Q912" s="65"/>
    </row>
    <row r="913">
      <c r="A913" s="63"/>
      <c r="B913" s="63"/>
      <c r="C913" s="27"/>
      <c r="D913" s="63"/>
      <c r="E913" s="63"/>
      <c r="F913" s="63"/>
      <c r="G913" s="27"/>
      <c r="H913" s="65"/>
      <c r="I913" s="65"/>
      <c r="J913" s="65"/>
      <c r="K913" s="65"/>
      <c r="L913" s="65"/>
      <c r="M913" s="65"/>
      <c r="N913" s="65"/>
      <c r="O913" s="65"/>
      <c r="P913" s="65"/>
      <c r="Q913" s="65"/>
    </row>
    <row r="914">
      <c r="A914" s="63"/>
      <c r="B914" s="63"/>
      <c r="C914" s="27"/>
      <c r="D914" s="63"/>
      <c r="E914" s="63"/>
      <c r="F914" s="63"/>
      <c r="G914" s="27"/>
      <c r="H914" s="65"/>
      <c r="I914" s="65"/>
      <c r="J914" s="65"/>
      <c r="K914" s="65"/>
      <c r="L914" s="65"/>
      <c r="M914" s="65"/>
      <c r="N914" s="65"/>
      <c r="O914" s="65"/>
      <c r="P914" s="65"/>
      <c r="Q914" s="65"/>
    </row>
    <row r="915">
      <c r="A915" s="63"/>
      <c r="B915" s="63"/>
      <c r="C915" s="27"/>
      <c r="D915" s="63"/>
      <c r="E915" s="63"/>
      <c r="F915" s="63"/>
      <c r="G915" s="27"/>
      <c r="H915" s="65"/>
      <c r="I915" s="65"/>
      <c r="J915" s="65"/>
      <c r="K915" s="65"/>
      <c r="L915" s="65"/>
      <c r="M915" s="65"/>
      <c r="N915" s="65"/>
      <c r="O915" s="65"/>
      <c r="P915" s="65"/>
      <c r="Q915" s="65"/>
    </row>
    <row r="916">
      <c r="A916" s="63"/>
      <c r="B916" s="63"/>
      <c r="C916" s="27"/>
      <c r="D916" s="63"/>
      <c r="E916" s="63"/>
      <c r="F916" s="63"/>
      <c r="G916" s="27"/>
      <c r="H916" s="65"/>
      <c r="I916" s="65"/>
      <c r="J916" s="65"/>
      <c r="K916" s="65"/>
      <c r="L916" s="65"/>
      <c r="M916" s="65"/>
      <c r="N916" s="65"/>
      <c r="O916" s="65"/>
      <c r="P916" s="65"/>
      <c r="Q916" s="65"/>
    </row>
    <row r="917">
      <c r="A917" s="63"/>
      <c r="B917" s="63"/>
      <c r="C917" s="27"/>
      <c r="D917" s="63"/>
      <c r="E917" s="63"/>
      <c r="F917" s="63"/>
      <c r="G917" s="27"/>
      <c r="H917" s="65"/>
      <c r="I917" s="65"/>
      <c r="J917" s="65"/>
      <c r="K917" s="65"/>
      <c r="L917" s="65"/>
      <c r="M917" s="65"/>
      <c r="N917" s="65"/>
      <c r="O917" s="65"/>
      <c r="P917" s="65"/>
      <c r="Q917" s="65"/>
    </row>
    <row r="918">
      <c r="A918" s="63"/>
      <c r="B918" s="63"/>
      <c r="C918" s="27"/>
      <c r="D918" s="63"/>
      <c r="E918" s="63"/>
      <c r="F918" s="63"/>
      <c r="G918" s="27"/>
      <c r="H918" s="65"/>
      <c r="I918" s="65"/>
      <c r="J918" s="65"/>
      <c r="K918" s="65"/>
      <c r="L918" s="65"/>
      <c r="M918" s="65"/>
      <c r="N918" s="65"/>
      <c r="O918" s="65"/>
      <c r="P918" s="65"/>
      <c r="Q918" s="65"/>
    </row>
    <row r="919">
      <c r="A919" s="63"/>
      <c r="B919" s="63"/>
      <c r="C919" s="27"/>
      <c r="D919" s="63"/>
      <c r="E919" s="63"/>
      <c r="F919" s="63"/>
      <c r="G919" s="27"/>
      <c r="H919" s="65"/>
      <c r="I919" s="65"/>
      <c r="J919" s="65"/>
      <c r="K919" s="65"/>
      <c r="L919" s="65"/>
      <c r="M919" s="65"/>
      <c r="N919" s="65"/>
      <c r="O919" s="65"/>
      <c r="P919" s="65"/>
      <c r="Q919" s="65"/>
    </row>
    <row r="920">
      <c r="A920" s="63"/>
      <c r="B920" s="63"/>
      <c r="C920" s="27"/>
      <c r="D920" s="63"/>
      <c r="E920" s="63"/>
      <c r="F920" s="63"/>
      <c r="G920" s="27"/>
      <c r="H920" s="65"/>
      <c r="I920" s="65"/>
      <c r="J920" s="65"/>
      <c r="K920" s="65"/>
      <c r="L920" s="65"/>
      <c r="M920" s="65"/>
      <c r="N920" s="65"/>
      <c r="O920" s="65"/>
      <c r="P920" s="65"/>
      <c r="Q920" s="65"/>
    </row>
    <row r="921">
      <c r="A921" s="63"/>
      <c r="B921" s="63"/>
      <c r="C921" s="27"/>
      <c r="D921" s="63"/>
      <c r="E921" s="63"/>
      <c r="F921" s="63"/>
      <c r="G921" s="27"/>
      <c r="H921" s="65"/>
      <c r="I921" s="65"/>
      <c r="J921" s="65"/>
      <c r="K921" s="65"/>
      <c r="L921" s="65"/>
      <c r="M921" s="65"/>
      <c r="N921" s="65"/>
      <c r="O921" s="65"/>
      <c r="P921" s="65"/>
      <c r="Q921" s="65"/>
    </row>
    <row r="922">
      <c r="A922" s="63"/>
      <c r="B922" s="63"/>
      <c r="C922" s="27"/>
      <c r="D922" s="63"/>
      <c r="E922" s="63"/>
      <c r="F922" s="63"/>
      <c r="G922" s="27"/>
      <c r="H922" s="65"/>
      <c r="I922" s="65"/>
      <c r="J922" s="65"/>
      <c r="K922" s="65"/>
      <c r="L922" s="65"/>
      <c r="M922" s="65"/>
      <c r="N922" s="65"/>
      <c r="O922" s="65"/>
      <c r="P922" s="65"/>
      <c r="Q922" s="65"/>
    </row>
    <row r="923">
      <c r="A923" s="63"/>
      <c r="B923" s="63"/>
      <c r="C923" s="27"/>
      <c r="D923" s="63"/>
      <c r="E923" s="63"/>
      <c r="F923" s="63"/>
      <c r="G923" s="27"/>
      <c r="H923" s="65"/>
      <c r="I923" s="65"/>
      <c r="J923" s="65"/>
      <c r="K923" s="65"/>
      <c r="L923" s="65"/>
      <c r="M923" s="65"/>
      <c r="N923" s="65"/>
      <c r="O923" s="65"/>
      <c r="P923" s="65"/>
      <c r="Q923" s="65"/>
    </row>
    <row r="924">
      <c r="A924" s="63"/>
      <c r="B924" s="63"/>
      <c r="C924" s="27"/>
      <c r="D924" s="63"/>
      <c r="E924" s="63"/>
      <c r="F924" s="63"/>
      <c r="G924" s="27"/>
      <c r="H924" s="65"/>
      <c r="I924" s="65"/>
      <c r="J924" s="65"/>
      <c r="K924" s="65"/>
      <c r="L924" s="65"/>
      <c r="M924" s="65"/>
      <c r="N924" s="65"/>
      <c r="O924" s="65"/>
      <c r="P924" s="65"/>
      <c r="Q924" s="65"/>
    </row>
    <row r="925">
      <c r="A925" s="63"/>
      <c r="B925" s="63"/>
      <c r="C925" s="27"/>
      <c r="D925" s="63"/>
      <c r="E925" s="63"/>
      <c r="F925" s="63"/>
      <c r="G925" s="27"/>
      <c r="H925" s="65"/>
      <c r="I925" s="65"/>
      <c r="J925" s="65"/>
      <c r="K925" s="65"/>
      <c r="L925" s="65"/>
      <c r="M925" s="65"/>
      <c r="N925" s="65"/>
      <c r="O925" s="65"/>
      <c r="P925" s="65"/>
      <c r="Q925" s="65"/>
    </row>
    <row r="926">
      <c r="A926" s="63"/>
      <c r="B926" s="63"/>
      <c r="C926" s="27"/>
      <c r="D926" s="63"/>
      <c r="E926" s="63"/>
      <c r="F926" s="63"/>
      <c r="G926" s="27"/>
      <c r="H926" s="65"/>
      <c r="I926" s="65"/>
      <c r="J926" s="65"/>
      <c r="K926" s="65"/>
      <c r="L926" s="65"/>
      <c r="M926" s="65"/>
      <c r="N926" s="65"/>
      <c r="O926" s="65"/>
      <c r="P926" s="65"/>
      <c r="Q926" s="65"/>
    </row>
    <row r="927">
      <c r="A927" s="63"/>
      <c r="B927" s="63"/>
      <c r="C927" s="27"/>
      <c r="D927" s="63"/>
      <c r="E927" s="63"/>
      <c r="F927" s="63"/>
      <c r="G927" s="27"/>
      <c r="H927" s="65"/>
      <c r="I927" s="65"/>
      <c r="J927" s="65"/>
      <c r="K927" s="65"/>
      <c r="L927" s="65"/>
      <c r="M927" s="65"/>
      <c r="N927" s="65"/>
      <c r="O927" s="65"/>
      <c r="P927" s="65"/>
      <c r="Q927" s="65"/>
    </row>
    <row r="928">
      <c r="A928" s="63"/>
      <c r="B928" s="63"/>
      <c r="C928" s="27"/>
      <c r="D928" s="63"/>
      <c r="E928" s="63"/>
      <c r="F928" s="63"/>
      <c r="G928" s="27"/>
      <c r="H928" s="65"/>
      <c r="I928" s="65"/>
      <c r="J928" s="65"/>
      <c r="K928" s="65"/>
      <c r="L928" s="65"/>
      <c r="M928" s="65"/>
      <c r="N928" s="65"/>
      <c r="O928" s="65"/>
      <c r="P928" s="65"/>
      <c r="Q928" s="65"/>
    </row>
    <row r="929">
      <c r="A929" s="63"/>
      <c r="B929" s="63"/>
      <c r="C929" s="27"/>
      <c r="D929" s="63"/>
      <c r="E929" s="63"/>
      <c r="F929" s="63"/>
      <c r="G929" s="27"/>
      <c r="H929" s="65"/>
      <c r="I929" s="65"/>
      <c r="J929" s="65"/>
      <c r="K929" s="65"/>
      <c r="L929" s="65"/>
      <c r="M929" s="65"/>
      <c r="N929" s="65"/>
      <c r="O929" s="65"/>
      <c r="P929" s="65"/>
      <c r="Q929" s="65"/>
    </row>
    <row r="930">
      <c r="A930" s="63"/>
      <c r="B930" s="63"/>
      <c r="C930" s="27"/>
      <c r="D930" s="63"/>
      <c r="E930" s="63"/>
      <c r="F930" s="63"/>
      <c r="G930" s="27"/>
      <c r="H930" s="65"/>
      <c r="I930" s="65"/>
      <c r="J930" s="65"/>
      <c r="K930" s="65"/>
      <c r="L930" s="65"/>
      <c r="M930" s="65"/>
      <c r="N930" s="65"/>
      <c r="O930" s="65"/>
      <c r="P930" s="65"/>
      <c r="Q930" s="65"/>
    </row>
    <row r="931">
      <c r="A931" s="63"/>
      <c r="B931" s="63"/>
      <c r="C931" s="27"/>
      <c r="D931" s="63"/>
      <c r="E931" s="63"/>
      <c r="F931" s="63"/>
      <c r="G931" s="27"/>
      <c r="H931" s="65"/>
      <c r="I931" s="65"/>
      <c r="J931" s="65"/>
      <c r="K931" s="65"/>
      <c r="L931" s="65"/>
      <c r="M931" s="65"/>
      <c r="N931" s="65"/>
      <c r="O931" s="65"/>
      <c r="P931" s="65"/>
      <c r="Q931" s="65"/>
    </row>
    <row r="932">
      <c r="A932" s="63"/>
      <c r="B932" s="63"/>
      <c r="C932" s="27"/>
      <c r="D932" s="63"/>
      <c r="E932" s="63"/>
      <c r="F932" s="63"/>
      <c r="G932" s="27"/>
      <c r="H932" s="65"/>
      <c r="I932" s="65"/>
      <c r="J932" s="65"/>
      <c r="K932" s="65"/>
      <c r="L932" s="65"/>
      <c r="M932" s="65"/>
      <c r="N932" s="65"/>
      <c r="O932" s="65"/>
      <c r="P932" s="65"/>
      <c r="Q932" s="65"/>
    </row>
    <row r="933">
      <c r="A933" s="63"/>
      <c r="B933" s="63"/>
      <c r="C933" s="27"/>
      <c r="D933" s="63"/>
      <c r="E933" s="63"/>
      <c r="F933" s="63"/>
      <c r="G933" s="27"/>
      <c r="H933" s="65"/>
      <c r="I933" s="65"/>
      <c r="J933" s="65"/>
      <c r="K933" s="65"/>
      <c r="L933" s="65"/>
      <c r="M933" s="65"/>
      <c r="N933" s="65"/>
      <c r="O933" s="65"/>
      <c r="P933" s="65"/>
      <c r="Q933" s="65"/>
    </row>
    <row r="934">
      <c r="A934" s="63"/>
      <c r="B934" s="63"/>
      <c r="C934" s="27"/>
      <c r="D934" s="63"/>
      <c r="E934" s="63"/>
      <c r="F934" s="63"/>
      <c r="G934" s="27"/>
      <c r="H934" s="65"/>
      <c r="I934" s="65"/>
      <c r="J934" s="65"/>
      <c r="K934" s="65"/>
      <c r="L934" s="65"/>
      <c r="M934" s="65"/>
      <c r="N934" s="65"/>
      <c r="O934" s="65"/>
      <c r="P934" s="65"/>
      <c r="Q934" s="65"/>
    </row>
    <row r="935">
      <c r="A935" s="63"/>
      <c r="B935" s="63"/>
      <c r="C935" s="27"/>
      <c r="D935" s="63"/>
      <c r="E935" s="63"/>
      <c r="F935" s="63"/>
      <c r="G935" s="27"/>
      <c r="H935" s="65"/>
      <c r="I935" s="65"/>
      <c r="J935" s="65"/>
      <c r="K935" s="65"/>
      <c r="L935" s="65"/>
      <c r="M935" s="65"/>
      <c r="N935" s="65"/>
      <c r="O935" s="65"/>
      <c r="P935" s="65"/>
      <c r="Q935" s="65"/>
    </row>
    <row r="936">
      <c r="A936" s="63"/>
      <c r="B936" s="63"/>
      <c r="C936" s="27"/>
      <c r="D936" s="63"/>
      <c r="E936" s="63"/>
      <c r="F936" s="63"/>
      <c r="G936" s="27"/>
      <c r="H936" s="65"/>
      <c r="I936" s="65"/>
      <c r="J936" s="65"/>
      <c r="K936" s="65"/>
      <c r="L936" s="65"/>
      <c r="M936" s="65"/>
      <c r="N936" s="65"/>
      <c r="O936" s="65"/>
      <c r="P936" s="65"/>
      <c r="Q936" s="65"/>
    </row>
    <row r="937">
      <c r="A937" s="63"/>
      <c r="B937" s="63"/>
      <c r="C937" s="27"/>
      <c r="D937" s="63"/>
      <c r="E937" s="63"/>
      <c r="F937" s="63"/>
      <c r="G937" s="27"/>
      <c r="H937" s="65"/>
      <c r="I937" s="65"/>
      <c r="J937" s="65"/>
      <c r="K937" s="65"/>
      <c r="L937" s="65"/>
      <c r="M937" s="65"/>
      <c r="N937" s="65"/>
      <c r="O937" s="65"/>
      <c r="P937" s="65"/>
      <c r="Q937" s="65"/>
    </row>
    <row r="938">
      <c r="A938" s="63"/>
      <c r="B938" s="63"/>
      <c r="C938" s="27"/>
      <c r="D938" s="63"/>
      <c r="E938" s="63"/>
      <c r="F938" s="63"/>
      <c r="G938" s="27"/>
      <c r="H938" s="65"/>
      <c r="I938" s="65"/>
      <c r="J938" s="65"/>
      <c r="K938" s="65"/>
      <c r="L938" s="65"/>
      <c r="M938" s="65"/>
      <c r="N938" s="65"/>
      <c r="O938" s="65"/>
      <c r="P938" s="65"/>
      <c r="Q938" s="65"/>
    </row>
    <row r="939">
      <c r="A939" s="63"/>
      <c r="B939" s="63"/>
      <c r="C939" s="27"/>
      <c r="D939" s="63"/>
      <c r="E939" s="63"/>
      <c r="F939" s="63"/>
      <c r="G939" s="27"/>
      <c r="H939" s="65"/>
      <c r="I939" s="65"/>
      <c r="J939" s="65"/>
      <c r="K939" s="65"/>
      <c r="L939" s="65"/>
      <c r="M939" s="65"/>
      <c r="N939" s="65"/>
      <c r="O939" s="65"/>
      <c r="P939" s="65"/>
      <c r="Q939" s="65"/>
    </row>
    <row r="940">
      <c r="A940" s="63"/>
      <c r="B940" s="63"/>
      <c r="C940" s="27"/>
      <c r="D940" s="63"/>
      <c r="E940" s="63"/>
      <c r="F940" s="63"/>
      <c r="G940" s="27"/>
      <c r="H940" s="65"/>
      <c r="I940" s="65"/>
      <c r="J940" s="65"/>
      <c r="K940" s="65"/>
      <c r="L940" s="65"/>
      <c r="M940" s="65"/>
      <c r="N940" s="65"/>
      <c r="O940" s="65"/>
      <c r="P940" s="65"/>
      <c r="Q940" s="65"/>
    </row>
    <row r="941">
      <c r="A941" s="63"/>
      <c r="B941" s="63"/>
      <c r="C941" s="27"/>
      <c r="D941" s="63"/>
      <c r="E941" s="63"/>
      <c r="F941" s="63"/>
      <c r="G941" s="27"/>
      <c r="H941" s="65"/>
      <c r="I941" s="65"/>
      <c r="J941" s="65"/>
      <c r="K941" s="65"/>
      <c r="L941" s="65"/>
      <c r="M941" s="65"/>
      <c r="N941" s="65"/>
      <c r="O941" s="65"/>
      <c r="P941" s="65"/>
      <c r="Q941" s="65"/>
    </row>
    <row r="942">
      <c r="A942" s="63"/>
      <c r="B942" s="63"/>
      <c r="C942" s="27"/>
      <c r="D942" s="63"/>
      <c r="E942" s="63"/>
      <c r="F942" s="63"/>
      <c r="G942" s="27"/>
      <c r="H942" s="65"/>
      <c r="I942" s="65"/>
      <c r="J942" s="65"/>
      <c r="K942" s="65"/>
      <c r="L942" s="65"/>
      <c r="M942" s="65"/>
      <c r="N942" s="65"/>
      <c r="O942" s="65"/>
      <c r="P942" s="65"/>
      <c r="Q942" s="65"/>
    </row>
    <row r="943">
      <c r="A943" s="63"/>
      <c r="B943" s="63"/>
      <c r="C943" s="27"/>
      <c r="D943" s="63"/>
      <c r="E943" s="63"/>
      <c r="F943" s="63"/>
      <c r="G943" s="27"/>
      <c r="H943" s="65"/>
      <c r="I943" s="65"/>
      <c r="J943" s="65"/>
      <c r="K943" s="65"/>
      <c r="L943" s="65"/>
      <c r="M943" s="65"/>
      <c r="N943" s="65"/>
      <c r="O943" s="65"/>
      <c r="P943" s="65"/>
      <c r="Q943" s="65"/>
    </row>
    <row r="944">
      <c r="A944" s="63"/>
      <c r="B944" s="63"/>
      <c r="C944" s="27"/>
      <c r="D944" s="63"/>
      <c r="E944" s="63"/>
      <c r="F944" s="63"/>
      <c r="G944" s="27"/>
      <c r="H944" s="65"/>
      <c r="I944" s="65"/>
      <c r="J944" s="65"/>
      <c r="K944" s="65"/>
      <c r="L944" s="65"/>
      <c r="M944" s="65"/>
      <c r="N944" s="65"/>
      <c r="O944" s="65"/>
      <c r="P944" s="65"/>
      <c r="Q944" s="65"/>
    </row>
    <row r="945">
      <c r="A945" s="63"/>
      <c r="B945" s="63"/>
      <c r="C945" s="27"/>
      <c r="D945" s="63"/>
      <c r="E945" s="63"/>
      <c r="F945" s="63"/>
      <c r="G945" s="27"/>
      <c r="H945" s="65"/>
      <c r="I945" s="65"/>
      <c r="J945" s="65"/>
      <c r="K945" s="65"/>
      <c r="L945" s="65"/>
      <c r="M945" s="65"/>
      <c r="N945" s="65"/>
      <c r="O945" s="65"/>
      <c r="P945" s="65"/>
      <c r="Q945" s="65"/>
    </row>
    <row r="946">
      <c r="A946" s="63"/>
      <c r="B946" s="63"/>
      <c r="C946" s="27"/>
      <c r="D946" s="63"/>
      <c r="E946" s="63"/>
      <c r="F946" s="63"/>
      <c r="G946" s="27"/>
      <c r="H946" s="65"/>
      <c r="I946" s="65"/>
      <c r="J946" s="65"/>
      <c r="K946" s="65"/>
      <c r="L946" s="65"/>
      <c r="M946" s="65"/>
      <c r="N946" s="65"/>
      <c r="O946" s="65"/>
      <c r="P946" s="65"/>
      <c r="Q946" s="65"/>
    </row>
    <row r="947">
      <c r="A947" s="63"/>
      <c r="B947" s="63"/>
      <c r="C947" s="27"/>
      <c r="D947" s="63"/>
      <c r="E947" s="63"/>
      <c r="F947" s="63"/>
      <c r="G947" s="27"/>
      <c r="H947" s="65"/>
      <c r="I947" s="65"/>
      <c r="J947" s="65"/>
      <c r="K947" s="65"/>
      <c r="L947" s="65"/>
      <c r="M947" s="65"/>
      <c r="N947" s="65"/>
      <c r="O947" s="65"/>
      <c r="P947" s="65"/>
      <c r="Q947" s="65"/>
    </row>
    <row r="948">
      <c r="A948" s="63"/>
      <c r="B948" s="63"/>
      <c r="C948" s="27"/>
      <c r="D948" s="63"/>
      <c r="E948" s="63"/>
      <c r="F948" s="63"/>
      <c r="G948" s="27"/>
      <c r="H948" s="65"/>
      <c r="I948" s="65"/>
      <c r="J948" s="65"/>
      <c r="K948" s="65"/>
      <c r="L948" s="65"/>
      <c r="M948" s="65"/>
      <c r="N948" s="65"/>
      <c r="O948" s="65"/>
      <c r="P948" s="65"/>
      <c r="Q948" s="65"/>
    </row>
    <row r="949">
      <c r="A949" s="63"/>
      <c r="B949" s="63"/>
      <c r="C949" s="27"/>
      <c r="D949" s="63"/>
      <c r="E949" s="63"/>
      <c r="F949" s="63"/>
      <c r="G949" s="27"/>
      <c r="H949" s="65"/>
      <c r="I949" s="65"/>
      <c r="J949" s="65"/>
      <c r="K949" s="65"/>
      <c r="L949" s="65"/>
      <c r="M949" s="65"/>
      <c r="N949" s="65"/>
      <c r="O949" s="65"/>
      <c r="P949" s="65"/>
      <c r="Q949" s="65"/>
    </row>
    <row r="950">
      <c r="A950" s="63"/>
      <c r="B950" s="63"/>
      <c r="C950" s="27"/>
      <c r="D950" s="63"/>
      <c r="E950" s="63"/>
      <c r="F950" s="63"/>
      <c r="G950" s="27"/>
      <c r="H950" s="65"/>
      <c r="I950" s="65"/>
      <c r="J950" s="65"/>
      <c r="K950" s="65"/>
      <c r="L950" s="65"/>
      <c r="M950" s="65"/>
      <c r="N950" s="65"/>
      <c r="O950" s="65"/>
      <c r="P950" s="65"/>
      <c r="Q950" s="65"/>
    </row>
    <row r="951">
      <c r="A951" s="63"/>
      <c r="B951" s="63"/>
      <c r="C951" s="27"/>
      <c r="D951" s="63"/>
      <c r="E951" s="63"/>
      <c r="F951" s="63"/>
      <c r="G951" s="27"/>
      <c r="H951" s="65"/>
      <c r="I951" s="65"/>
      <c r="J951" s="65"/>
      <c r="K951" s="65"/>
      <c r="L951" s="65"/>
      <c r="M951" s="65"/>
      <c r="N951" s="65"/>
      <c r="O951" s="65"/>
      <c r="P951" s="65"/>
      <c r="Q951" s="65"/>
    </row>
    <row r="952">
      <c r="A952" s="63"/>
      <c r="B952" s="63"/>
      <c r="C952" s="27"/>
      <c r="D952" s="63"/>
      <c r="E952" s="63"/>
      <c r="F952" s="63"/>
      <c r="G952" s="27"/>
      <c r="H952" s="65"/>
      <c r="I952" s="65"/>
      <c r="J952" s="65"/>
      <c r="K952" s="65"/>
      <c r="L952" s="65"/>
      <c r="M952" s="65"/>
      <c r="N952" s="65"/>
      <c r="O952" s="65"/>
      <c r="P952" s="65"/>
      <c r="Q952" s="65"/>
    </row>
    <row r="953">
      <c r="A953" s="63"/>
      <c r="B953" s="63"/>
      <c r="C953" s="27"/>
      <c r="D953" s="63"/>
      <c r="E953" s="63"/>
      <c r="F953" s="63"/>
      <c r="G953" s="27"/>
      <c r="H953" s="65"/>
      <c r="I953" s="65"/>
      <c r="J953" s="65"/>
      <c r="K953" s="65"/>
      <c r="L953" s="65"/>
      <c r="M953" s="65"/>
      <c r="N953" s="65"/>
      <c r="O953" s="65"/>
      <c r="P953" s="65"/>
      <c r="Q953" s="65"/>
    </row>
    <row r="954">
      <c r="A954" s="63"/>
      <c r="B954" s="63"/>
      <c r="C954" s="27"/>
      <c r="D954" s="63"/>
      <c r="E954" s="63"/>
      <c r="F954" s="63"/>
      <c r="G954" s="27"/>
      <c r="H954" s="65"/>
      <c r="I954" s="65"/>
      <c r="J954" s="65"/>
      <c r="K954" s="65"/>
      <c r="L954" s="65"/>
      <c r="M954" s="65"/>
      <c r="N954" s="65"/>
      <c r="O954" s="65"/>
      <c r="P954" s="65"/>
      <c r="Q954" s="65"/>
    </row>
    <row r="955">
      <c r="A955" s="63"/>
      <c r="B955" s="63"/>
      <c r="C955" s="27"/>
      <c r="D955" s="63"/>
      <c r="E955" s="63"/>
      <c r="F955" s="63"/>
      <c r="G955" s="27"/>
      <c r="H955" s="65"/>
      <c r="I955" s="65"/>
      <c r="J955" s="65"/>
      <c r="K955" s="65"/>
      <c r="L955" s="65"/>
      <c r="M955" s="65"/>
      <c r="N955" s="65"/>
      <c r="O955" s="65"/>
      <c r="P955" s="65"/>
      <c r="Q955" s="65"/>
    </row>
    <row r="956">
      <c r="A956" s="63"/>
      <c r="B956" s="63"/>
      <c r="C956" s="27"/>
      <c r="D956" s="63"/>
      <c r="E956" s="63"/>
      <c r="F956" s="63"/>
      <c r="G956" s="27"/>
      <c r="H956" s="65"/>
      <c r="I956" s="65"/>
      <c r="J956" s="65"/>
      <c r="K956" s="65"/>
      <c r="L956" s="65"/>
      <c r="M956" s="65"/>
      <c r="N956" s="65"/>
      <c r="O956" s="65"/>
      <c r="P956" s="65"/>
      <c r="Q956" s="65"/>
    </row>
    <row r="957">
      <c r="A957" s="63"/>
      <c r="B957" s="63"/>
      <c r="C957" s="27"/>
      <c r="D957" s="63"/>
      <c r="E957" s="63"/>
      <c r="F957" s="63"/>
      <c r="G957" s="27"/>
      <c r="H957" s="65"/>
      <c r="I957" s="65"/>
      <c r="J957" s="65"/>
      <c r="K957" s="65"/>
      <c r="L957" s="65"/>
      <c r="M957" s="65"/>
      <c r="N957" s="65"/>
      <c r="O957" s="65"/>
      <c r="P957" s="65"/>
      <c r="Q957" s="65"/>
    </row>
    <row r="958">
      <c r="A958" s="63"/>
      <c r="B958" s="63"/>
      <c r="C958" s="27"/>
      <c r="D958" s="63"/>
      <c r="E958" s="63"/>
      <c r="F958" s="63"/>
      <c r="G958" s="27"/>
      <c r="H958" s="65"/>
      <c r="I958" s="65"/>
      <c r="J958" s="65"/>
      <c r="K958" s="65"/>
      <c r="L958" s="65"/>
      <c r="M958" s="65"/>
      <c r="N958" s="65"/>
      <c r="O958" s="65"/>
      <c r="P958" s="65"/>
      <c r="Q958" s="65"/>
    </row>
    <row r="959">
      <c r="A959" s="63"/>
      <c r="B959" s="63"/>
      <c r="C959" s="27"/>
      <c r="D959" s="63"/>
      <c r="E959" s="63"/>
      <c r="F959" s="63"/>
      <c r="G959" s="27"/>
      <c r="H959" s="65"/>
      <c r="I959" s="65"/>
      <c r="J959" s="65"/>
      <c r="K959" s="65"/>
      <c r="L959" s="65"/>
      <c r="M959" s="65"/>
      <c r="N959" s="65"/>
      <c r="O959" s="65"/>
      <c r="P959" s="65"/>
      <c r="Q959" s="65"/>
    </row>
    <row r="960">
      <c r="A960" s="63"/>
      <c r="B960" s="63"/>
      <c r="C960" s="27"/>
      <c r="D960" s="63"/>
      <c r="E960" s="63"/>
      <c r="F960" s="63"/>
      <c r="G960" s="27"/>
      <c r="H960" s="65"/>
      <c r="I960" s="65"/>
      <c r="J960" s="65"/>
      <c r="K960" s="65"/>
      <c r="L960" s="65"/>
      <c r="M960" s="65"/>
      <c r="N960" s="65"/>
      <c r="O960" s="65"/>
      <c r="P960" s="65"/>
      <c r="Q960" s="65"/>
    </row>
    <row r="961">
      <c r="A961" s="63"/>
      <c r="B961" s="63"/>
      <c r="C961" s="27"/>
      <c r="D961" s="63"/>
      <c r="E961" s="63"/>
      <c r="F961" s="63"/>
      <c r="G961" s="27"/>
      <c r="H961" s="65"/>
      <c r="I961" s="65"/>
      <c r="J961" s="65"/>
      <c r="K961" s="65"/>
      <c r="L961" s="65"/>
      <c r="M961" s="65"/>
      <c r="N961" s="65"/>
      <c r="O961" s="65"/>
      <c r="P961" s="65"/>
      <c r="Q961" s="65"/>
    </row>
    <row r="962">
      <c r="A962" s="63"/>
      <c r="B962" s="63"/>
      <c r="C962" s="27"/>
      <c r="D962" s="63"/>
      <c r="E962" s="63"/>
      <c r="F962" s="63"/>
      <c r="G962" s="27"/>
      <c r="H962" s="65"/>
      <c r="I962" s="65"/>
      <c r="J962" s="65"/>
      <c r="K962" s="65"/>
      <c r="L962" s="65"/>
      <c r="M962" s="65"/>
      <c r="N962" s="65"/>
      <c r="O962" s="65"/>
      <c r="P962" s="65"/>
      <c r="Q962" s="65"/>
    </row>
    <row r="963">
      <c r="A963" s="63"/>
      <c r="B963" s="63"/>
      <c r="C963" s="27"/>
      <c r="D963" s="63"/>
      <c r="E963" s="63"/>
      <c r="F963" s="63"/>
      <c r="G963" s="27"/>
      <c r="H963" s="65"/>
      <c r="I963" s="65"/>
      <c r="J963" s="65"/>
      <c r="K963" s="65"/>
      <c r="L963" s="65"/>
      <c r="M963" s="65"/>
      <c r="N963" s="65"/>
      <c r="O963" s="65"/>
      <c r="P963" s="65"/>
      <c r="Q963" s="65"/>
    </row>
    <row r="964">
      <c r="A964" s="63"/>
      <c r="B964" s="63"/>
      <c r="C964" s="27"/>
      <c r="D964" s="63"/>
      <c r="E964" s="63"/>
      <c r="F964" s="63"/>
      <c r="G964" s="27"/>
      <c r="H964" s="65"/>
      <c r="I964" s="65"/>
      <c r="J964" s="65"/>
      <c r="K964" s="65"/>
      <c r="L964" s="65"/>
      <c r="M964" s="65"/>
      <c r="N964" s="65"/>
      <c r="O964" s="65"/>
      <c r="P964" s="65"/>
      <c r="Q964" s="65"/>
    </row>
    <row r="965">
      <c r="A965" s="63"/>
      <c r="B965" s="63"/>
      <c r="C965" s="27"/>
      <c r="D965" s="63"/>
      <c r="E965" s="63"/>
      <c r="F965" s="63"/>
      <c r="G965" s="27"/>
      <c r="H965" s="65"/>
      <c r="I965" s="65"/>
      <c r="J965" s="65"/>
      <c r="K965" s="65"/>
      <c r="L965" s="65"/>
      <c r="M965" s="65"/>
      <c r="N965" s="65"/>
      <c r="O965" s="65"/>
      <c r="P965" s="65"/>
      <c r="Q965" s="65"/>
    </row>
    <row r="966">
      <c r="A966" s="63"/>
      <c r="B966" s="63"/>
      <c r="C966" s="27"/>
      <c r="D966" s="63"/>
      <c r="E966" s="63"/>
      <c r="F966" s="63"/>
      <c r="G966" s="27"/>
      <c r="H966" s="65"/>
      <c r="I966" s="65"/>
      <c r="J966" s="65"/>
      <c r="K966" s="65"/>
      <c r="L966" s="65"/>
      <c r="M966" s="65"/>
      <c r="N966" s="65"/>
      <c r="O966" s="65"/>
      <c r="P966" s="65"/>
      <c r="Q966" s="65"/>
    </row>
    <row r="967">
      <c r="A967" s="63"/>
      <c r="B967" s="63"/>
      <c r="C967" s="27"/>
      <c r="D967" s="63"/>
      <c r="E967" s="63"/>
      <c r="F967" s="63"/>
      <c r="G967" s="27"/>
      <c r="H967" s="65"/>
      <c r="I967" s="65"/>
      <c r="J967" s="65"/>
      <c r="K967" s="65"/>
      <c r="L967" s="65"/>
      <c r="M967" s="65"/>
      <c r="N967" s="65"/>
      <c r="O967" s="65"/>
      <c r="P967" s="65"/>
      <c r="Q967" s="65"/>
    </row>
    <row r="968">
      <c r="A968" s="63"/>
      <c r="B968" s="63"/>
      <c r="C968" s="27"/>
      <c r="D968" s="63"/>
      <c r="E968" s="63"/>
      <c r="F968" s="63"/>
      <c r="G968" s="27"/>
      <c r="H968" s="65"/>
      <c r="I968" s="65"/>
      <c r="J968" s="65"/>
      <c r="K968" s="65"/>
      <c r="L968" s="65"/>
      <c r="M968" s="65"/>
      <c r="N968" s="65"/>
      <c r="O968" s="65"/>
      <c r="P968" s="65"/>
      <c r="Q968" s="65"/>
    </row>
    <row r="969">
      <c r="A969" s="63"/>
      <c r="B969" s="63"/>
      <c r="C969" s="27"/>
      <c r="D969" s="63"/>
      <c r="E969" s="63"/>
      <c r="F969" s="63"/>
      <c r="G969" s="27"/>
      <c r="H969" s="65"/>
      <c r="I969" s="65"/>
      <c r="J969" s="65"/>
      <c r="K969" s="65"/>
      <c r="L969" s="65"/>
      <c r="M969" s="65"/>
      <c r="N969" s="65"/>
      <c r="O969" s="65"/>
      <c r="P969" s="65"/>
      <c r="Q969" s="65"/>
    </row>
    <row r="970">
      <c r="A970" s="63"/>
      <c r="B970" s="63"/>
      <c r="C970" s="27"/>
      <c r="D970" s="63"/>
      <c r="E970" s="63"/>
      <c r="F970" s="63"/>
      <c r="G970" s="27"/>
      <c r="H970" s="65"/>
      <c r="I970" s="65"/>
      <c r="J970" s="65"/>
      <c r="K970" s="65"/>
      <c r="L970" s="65"/>
      <c r="M970" s="65"/>
      <c r="N970" s="65"/>
      <c r="O970" s="65"/>
      <c r="P970" s="65"/>
      <c r="Q970" s="65"/>
    </row>
    <row r="971">
      <c r="A971" s="63"/>
      <c r="B971" s="63"/>
      <c r="C971" s="27"/>
      <c r="D971" s="63"/>
      <c r="E971" s="63"/>
      <c r="F971" s="63"/>
      <c r="G971" s="27"/>
      <c r="H971" s="65"/>
      <c r="I971" s="65"/>
      <c r="J971" s="65"/>
      <c r="K971" s="65"/>
      <c r="L971" s="65"/>
      <c r="M971" s="65"/>
      <c r="N971" s="65"/>
      <c r="O971" s="65"/>
      <c r="P971" s="65"/>
      <c r="Q971" s="65"/>
    </row>
    <row r="972">
      <c r="A972" s="63"/>
      <c r="B972" s="63"/>
      <c r="C972" s="27"/>
      <c r="D972" s="63"/>
      <c r="E972" s="63"/>
      <c r="F972" s="63"/>
      <c r="G972" s="27"/>
      <c r="H972" s="65"/>
      <c r="I972" s="65"/>
      <c r="J972" s="65"/>
      <c r="K972" s="65"/>
      <c r="L972" s="65"/>
      <c r="M972" s="65"/>
      <c r="N972" s="65"/>
      <c r="O972" s="65"/>
      <c r="P972" s="65"/>
      <c r="Q972" s="65"/>
    </row>
    <row r="973">
      <c r="A973" s="63"/>
      <c r="B973" s="63"/>
      <c r="C973" s="27"/>
      <c r="D973" s="63"/>
      <c r="E973" s="63"/>
      <c r="F973" s="63"/>
      <c r="G973" s="27"/>
      <c r="H973" s="65"/>
      <c r="I973" s="65"/>
      <c r="J973" s="65"/>
      <c r="K973" s="65"/>
      <c r="L973" s="65"/>
      <c r="M973" s="65"/>
      <c r="N973" s="65"/>
      <c r="O973" s="65"/>
      <c r="P973" s="65"/>
      <c r="Q973" s="65"/>
    </row>
    <row r="974">
      <c r="A974" s="63"/>
      <c r="B974" s="63"/>
      <c r="C974" s="27"/>
      <c r="D974" s="63"/>
      <c r="E974" s="63"/>
      <c r="F974" s="63"/>
      <c r="G974" s="27"/>
      <c r="H974" s="65"/>
      <c r="I974" s="65"/>
      <c r="J974" s="65"/>
      <c r="K974" s="65"/>
      <c r="L974" s="65"/>
      <c r="M974" s="65"/>
      <c r="N974" s="65"/>
      <c r="O974" s="65"/>
      <c r="P974" s="65"/>
      <c r="Q974" s="65"/>
    </row>
    <row r="975">
      <c r="A975" s="63"/>
      <c r="B975" s="63"/>
      <c r="C975" s="27"/>
      <c r="D975" s="63"/>
      <c r="E975" s="63"/>
      <c r="F975" s="63"/>
      <c r="G975" s="27"/>
      <c r="H975" s="65"/>
      <c r="I975" s="65"/>
      <c r="J975" s="65"/>
      <c r="K975" s="65"/>
      <c r="L975" s="65"/>
      <c r="M975" s="65"/>
      <c r="N975" s="65"/>
      <c r="O975" s="65"/>
      <c r="P975" s="65"/>
      <c r="Q975" s="65"/>
    </row>
    <row r="976">
      <c r="A976" s="63"/>
      <c r="B976" s="63"/>
      <c r="C976" s="27"/>
      <c r="D976" s="63"/>
      <c r="E976" s="63"/>
      <c r="F976" s="63"/>
      <c r="G976" s="27"/>
      <c r="H976" s="65"/>
      <c r="I976" s="65"/>
      <c r="J976" s="65"/>
      <c r="K976" s="65"/>
      <c r="L976" s="65"/>
      <c r="M976" s="65"/>
      <c r="N976" s="65"/>
      <c r="O976" s="65"/>
      <c r="P976" s="65"/>
      <c r="Q976" s="65"/>
    </row>
    <row r="977">
      <c r="A977" s="63"/>
      <c r="B977" s="63"/>
      <c r="C977" s="27"/>
      <c r="D977" s="63"/>
      <c r="E977" s="63"/>
      <c r="F977" s="63"/>
      <c r="G977" s="27"/>
      <c r="H977" s="65"/>
      <c r="I977" s="65"/>
      <c r="J977" s="65"/>
      <c r="K977" s="65"/>
      <c r="L977" s="65"/>
      <c r="M977" s="65"/>
      <c r="N977" s="65"/>
      <c r="O977" s="65"/>
      <c r="P977" s="65"/>
      <c r="Q977" s="65"/>
    </row>
    <row r="978">
      <c r="A978" s="63"/>
      <c r="B978" s="63"/>
      <c r="C978" s="27"/>
      <c r="D978" s="63"/>
      <c r="E978" s="63"/>
      <c r="F978" s="63"/>
      <c r="G978" s="27"/>
      <c r="H978" s="65"/>
      <c r="I978" s="65"/>
      <c r="J978" s="65"/>
      <c r="K978" s="65"/>
      <c r="L978" s="65"/>
      <c r="M978" s="65"/>
      <c r="N978" s="65"/>
      <c r="O978" s="65"/>
      <c r="P978" s="65"/>
      <c r="Q978" s="65"/>
    </row>
    <row r="979">
      <c r="A979" s="63"/>
      <c r="B979" s="63"/>
      <c r="C979" s="27"/>
      <c r="D979" s="63"/>
      <c r="E979" s="63"/>
      <c r="F979" s="63"/>
      <c r="G979" s="27"/>
      <c r="H979" s="65"/>
      <c r="I979" s="65"/>
      <c r="J979" s="65"/>
      <c r="K979" s="65"/>
      <c r="L979" s="65"/>
      <c r="M979" s="65"/>
      <c r="N979" s="65"/>
      <c r="O979" s="65"/>
      <c r="P979" s="65"/>
      <c r="Q979" s="65"/>
    </row>
    <row r="980">
      <c r="A980" s="63"/>
      <c r="B980" s="63"/>
      <c r="C980" s="27"/>
      <c r="D980" s="63"/>
      <c r="E980" s="63"/>
      <c r="F980" s="63"/>
      <c r="G980" s="27"/>
      <c r="H980" s="65"/>
      <c r="I980" s="65"/>
      <c r="J980" s="65"/>
      <c r="K980" s="65"/>
      <c r="L980" s="65"/>
      <c r="M980" s="65"/>
      <c r="N980" s="65"/>
      <c r="O980" s="65"/>
      <c r="P980" s="65"/>
      <c r="Q980" s="65"/>
    </row>
    <row r="981">
      <c r="A981" s="63"/>
      <c r="B981" s="63"/>
      <c r="C981" s="27"/>
      <c r="D981" s="63"/>
      <c r="E981" s="63"/>
      <c r="F981" s="63"/>
      <c r="G981" s="27"/>
      <c r="H981" s="65"/>
      <c r="I981" s="65"/>
      <c r="J981" s="65"/>
      <c r="K981" s="65"/>
      <c r="L981" s="65"/>
      <c r="M981" s="65"/>
      <c r="N981" s="65"/>
      <c r="O981" s="65"/>
      <c r="P981" s="65"/>
      <c r="Q981" s="65"/>
    </row>
    <row r="982">
      <c r="A982" s="63"/>
      <c r="B982" s="63"/>
      <c r="C982" s="27"/>
      <c r="D982" s="63"/>
      <c r="E982" s="63"/>
      <c r="F982" s="63"/>
      <c r="G982" s="27"/>
      <c r="H982" s="65"/>
      <c r="I982" s="65"/>
      <c r="J982" s="65"/>
      <c r="K982" s="65"/>
      <c r="L982" s="65"/>
      <c r="M982" s="65"/>
      <c r="N982" s="65"/>
      <c r="O982" s="65"/>
      <c r="P982" s="65"/>
      <c r="Q982" s="65"/>
    </row>
    <row r="983">
      <c r="A983" s="63"/>
      <c r="B983" s="63"/>
      <c r="C983" s="27"/>
      <c r="D983" s="63"/>
      <c r="E983" s="63"/>
      <c r="F983" s="63"/>
      <c r="G983" s="27"/>
      <c r="H983" s="65"/>
      <c r="I983" s="65"/>
      <c r="J983" s="65"/>
      <c r="K983" s="65"/>
      <c r="L983" s="65"/>
      <c r="M983" s="65"/>
      <c r="N983" s="65"/>
      <c r="O983" s="65"/>
      <c r="P983" s="65"/>
      <c r="Q983" s="65"/>
    </row>
    <row r="984">
      <c r="A984" s="63"/>
      <c r="B984" s="63"/>
      <c r="C984" s="27"/>
      <c r="D984" s="63"/>
      <c r="E984" s="63"/>
      <c r="F984" s="63"/>
      <c r="G984" s="27"/>
      <c r="H984" s="65"/>
      <c r="I984" s="65"/>
      <c r="J984" s="65"/>
      <c r="K984" s="65"/>
      <c r="L984" s="65"/>
      <c r="M984" s="65"/>
      <c r="N984" s="65"/>
      <c r="O984" s="65"/>
      <c r="P984" s="65"/>
      <c r="Q984" s="65"/>
    </row>
    <row r="985">
      <c r="A985" s="63"/>
      <c r="B985" s="63"/>
      <c r="C985" s="27"/>
      <c r="D985" s="63"/>
      <c r="E985" s="63"/>
      <c r="F985" s="63"/>
      <c r="G985" s="27"/>
      <c r="H985" s="65"/>
      <c r="I985" s="65"/>
      <c r="J985" s="65"/>
      <c r="K985" s="65"/>
      <c r="L985" s="65"/>
      <c r="M985" s="65"/>
      <c r="N985" s="65"/>
      <c r="O985" s="65"/>
      <c r="P985" s="65"/>
      <c r="Q985" s="65"/>
    </row>
    <row r="986">
      <c r="A986" s="63"/>
      <c r="B986" s="63"/>
      <c r="C986" s="27"/>
      <c r="D986" s="63"/>
      <c r="E986" s="63"/>
      <c r="F986" s="63"/>
      <c r="G986" s="27"/>
      <c r="H986" s="65"/>
      <c r="I986" s="65"/>
      <c r="J986" s="65"/>
      <c r="K986" s="65"/>
      <c r="L986" s="65"/>
      <c r="M986" s="65"/>
      <c r="N986" s="65"/>
      <c r="O986" s="65"/>
      <c r="P986" s="65"/>
      <c r="Q986" s="65"/>
    </row>
    <row r="987">
      <c r="A987" s="63"/>
      <c r="B987" s="63"/>
      <c r="C987" s="27"/>
      <c r="D987" s="63"/>
      <c r="E987" s="63"/>
      <c r="F987" s="63"/>
      <c r="G987" s="27"/>
      <c r="H987" s="65"/>
      <c r="I987" s="65"/>
      <c r="J987" s="65"/>
      <c r="K987" s="65"/>
      <c r="L987" s="65"/>
      <c r="M987" s="65"/>
      <c r="N987" s="65"/>
      <c r="O987" s="65"/>
      <c r="P987" s="65"/>
      <c r="Q987" s="65"/>
    </row>
    <row r="988">
      <c r="A988" s="63"/>
      <c r="B988" s="63"/>
      <c r="C988" s="27"/>
      <c r="D988" s="63"/>
      <c r="E988" s="63"/>
      <c r="F988" s="63"/>
      <c r="G988" s="27"/>
      <c r="H988" s="65"/>
      <c r="I988" s="65"/>
      <c r="J988" s="65"/>
      <c r="K988" s="65"/>
      <c r="L988" s="65"/>
      <c r="M988" s="65"/>
      <c r="N988" s="65"/>
      <c r="O988" s="65"/>
      <c r="P988" s="65"/>
      <c r="Q988" s="65"/>
    </row>
    <row r="989">
      <c r="A989" s="63"/>
      <c r="B989" s="63"/>
      <c r="C989" s="27"/>
      <c r="D989" s="63"/>
      <c r="E989" s="63"/>
      <c r="F989" s="63"/>
      <c r="G989" s="27"/>
      <c r="H989" s="65"/>
      <c r="I989" s="65"/>
      <c r="J989" s="65"/>
      <c r="K989" s="65"/>
      <c r="L989" s="65"/>
      <c r="M989" s="65"/>
      <c r="N989" s="65"/>
      <c r="O989" s="65"/>
      <c r="P989" s="65"/>
      <c r="Q989" s="65"/>
    </row>
    <row r="990">
      <c r="A990" s="63"/>
      <c r="B990" s="63"/>
      <c r="C990" s="27"/>
      <c r="D990" s="63"/>
      <c r="E990" s="63"/>
      <c r="F990" s="63"/>
      <c r="G990" s="27"/>
      <c r="H990" s="65"/>
      <c r="I990" s="65"/>
      <c r="J990" s="65"/>
      <c r="K990" s="65"/>
      <c r="L990" s="65"/>
      <c r="M990" s="65"/>
      <c r="N990" s="65"/>
      <c r="O990" s="65"/>
      <c r="P990" s="65"/>
      <c r="Q990" s="65"/>
    </row>
    <row r="991">
      <c r="A991" s="63"/>
      <c r="B991" s="63"/>
      <c r="C991" s="27"/>
      <c r="D991" s="63"/>
      <c r="E991" s="63"/>
      <c r="F991" s="63"/>
      <c r="G991" s="27"/>
      <c r="H991" s="65"/>
      <c r="I991" s="65"/>
      <c r="J991" s="65"/>
      <c r="K991" s="65"/>
      <c r="L991" s="65"/>
      <c r="M991" s="65"/>
      <c r="N991" s="65"/>
      <c r="O991" s="65"/>
      <c r="P991" s="65"/>
      <c r="Q991" s="65"/>
    </row>
    <row r="992">
      <c r="A992" s="63"/>
      <c r="B992" s="63"/>
      <c r="C992" s="27"/>
      <c r="D992" s="63"/>
      <c r="E992" s="63"/>
      <c r="F992" s="63"/>
      <c r="G992" s="27"/>
      <c r="H992" s="65"/>
      <c r="I992" s="65"/>
      <c r="J992" s="65"/>
      <c r="K992" s="65"/>
      <c r="L992" s="65"/>
      <c r="M992" s="65"/>
      <c r="N992" s="65"/>
      <c r="O992" s="65"/>
      <c r="P992" s="65"/>
      <c r="Q992" s="65"/>
    </row>
    <row r="993">
      <c r="A993" s="63"/>
      <c r="B993" s="63"/>
      <c r="C993" s="27"/>
      <c r="D993" s="63"/>
      <c r="E993" s="63"/>
      <c r="F993" s="63"/>
      <c r="G993" s="27"/>
      <c r="H993" s="65"/>
      <c r="I993" s="65"/>
      <c r="J993" s="65"/>
      <c r="K993" s="65"/>
      <c r="L993" s="65"/>
      <c r="M993" s="65"/>
      <c r="N993" s="65"/>
      <c r="O993" s="65"/>
      <c r="P993" s="65"/>
      <c r="Q993" s="65"/>
    </row>
    <row r="994">
      <c r="A994" s="63"/>
      <c r="B994" s="63"/>
      <c r="C994" s="27"/>
      <c r="D994" s="63"/>
      <c r="E994" s="63"/>
      <c r="F994" s="63"/>
      <c r="G994" s="27"/>
      <c r="H994" s="65"/>
      <c r="I994" s="65"/>
      <c r="J994" s="65"/>
      <c r="K994" s="65"/>
      <c r="L994" s="65"/>
      <c r="M994" s="65"/>
      <c r="N994" s="65"/>
      <c r="O994" s="65"/>
      <c r="P994" s="65"/>
      <c r="Q994" s="65"/>
    </row>
    <row r="995">
      <c r="A995" s="63"/>
      <c r="B995" s="63"/>
      <c r="C995" s="27"/>
      <c r="D995" s="63"/>
      <c r="E995" s="63"/>
      <c r="F995" s="63"/>
      <c r="G995" s="27"/>
      <c r="H995" s="65"/>
      <c r="I995" s="65"/>
      <c r="J995" s="65"/>
      <c r="K995" s="65"/>
      <c r="L995" s="65"/>
      <c r="M995" s="65"/>
      <c r="N995" s="65"/>
      <c r="O995" s="65"/>
      <c r="P995" s="65"/>
      <c r="Q995" s="65"/>
    </row>
    <row r="996">
      <c r="A996" s="63"/>
      <c r="B996" s="63"/>
      <c r="C996" s="27"/>
      <c r="D996" s="63"/>
      <c r="E996" s="63"/>
      <c r="F996" s="63"/>
      <c r="G996" s="27"/>
      <c r="H996" s="65"/>
      <c r="I996" s="65"/>
      <c r="J996" s="65"/>
      <c r="K996" s="65"/>
      <c r="L996" s="65"/>
      <c r="M996" s="65"/>
      <c r="N996" s="65"/>
      <c r="O996" s="65"/>
      <c r="P996" s="65"/>
      <c r="Q996" s="65"/>
    </row>
    <row r="997">
      <c r="A997" s="63"/>
      <c r="B997" s="63"/>
      <c r="C997" s="27"/>
      <c r="D997" s="63"/>
      <c r="E997" s="63"/>
      <c r="F997" s="63"/>
      <c r="G997" s="27"/>
      <c r="H997" s="65"/>
      <c r="I997" s="65"/>
      <c r="J997" s="65"/>
      <c r="K997" s="65"/>
      <c r="L997" s="65"/>
      <c r="M997" s="65"/>
      <c r="N997" s="65"/>
      <c r="O997" s="65"/>
      <c r="P997" s="65"/>
      <c r="Q997" s="65"/>
    </row>
  </sheetData>
  <hyperlinks>
    <hyperlink r:id="rId1" ref="E1"/>
    <hyperlink r:id="rId2" ref="E2"/>
    <hyperlink r:id="rId3" ref="A3"/>
    <hyperlink r:id="rId4" ref="E3"/>
    <hyperlink r:id="rId5" ref="E5"/>
    <hyperlink r:id="rId6" ref="E6"/>
    <hyperlink r:id="rId7" ref="E7"/>
    <hyperlink r:id="rId8" ref="E8"/>
    <hyperlink r:id="rId9" ref="E9"/>
    <hyperlink r:id="rId10" ref="A11"/>
    <hyperlink r:id="rId11" ref="A15"/>
    <hyperlink r:id="rId12" ref="A28"/>
    <hyperlink r:id="rId13" ref="A31"/>
    <hyperlink r:id="rId14" ref="A34"/>
    <hyperlink r:id="rId15" ref="A37"/>
    <hyperlink r:id="rId16" ref="E43"/>
    <hyperlink r:id="rId17" ref="A49"/>
    <hyperlink r:id="rId18" ref="A58"/>
    <hyperlink r:id="rId19" ref="A60"/>
    <hyperlink r:id="rId20" ref="A64"/>
    <hyperlink r:id="rId21" ref="A65"/>
    <hyperlink r:id="rId22" ref="A66"/>
    <hyperlink r:id="rId23" ref="A67"/>
    <hyperlink r:id="rId24" ref="E70"/>
    <hyperlink r:id="rId25" ref="A71"/>
    <hyperlink r:id="rId26" ref="E71"/>
    <hyperlink r:id="rId27" ref="E72"/>
    <hyperlink r:id="rId28" ref="E73"/>
    <hyperlink r:id="rId29" ref="E74"/>
    <hyperlink r:id="rId30" ref="E75"/>
    <hyperlink r:id="rId31" ref="E76"/>
    <hyperlink r:id="rId32" ref="E77"/>
    <hyperlink r:id="rId33" ref="E78"/>
    <hyperlink r:id="rId34" ref="E79"/>
    <hyperlink r:id="rId35" ref="E80"/>
    <hyperlink r:id="rId36" ref="A86"/>
    <hyperlink r:id="rId37" ref="A100"/>
    <hyperlink r:id="rId38" ref="E100"/>
    <hyperlink r:id="rId39" ref="A101"/>
    <hyperlink r:id="rId40" ref="A102"/>
    <hyperlink r:id="rId41" ref="A107"/>
    <hyperlink r:id="rId42" ref="A108"/>
    <hyperlink r:id="rId43" ref="A109"/>
    <hyperlink r:id="rId44" ref="A110"/>
    <hyperlink r:id="rId45" ref="A111"/>
    <hyperlink r:id="rId46" ref="A112"/>
    <hyperlink r:id="rId47" ref="A113"/>
    <hyperlink r:id="rId48" ref="A115"/>
    <hyperlink r:id="rId49" ref="A116"/>
    <hyperlink r:id="rId50" ref="A117"/>
    <hyperlink r:id="rId51" ref="E117"/>
    <hyperlink r:id="rId52" ref="A118"/>
    <hyperlink r:id="rId53" ref="E118"/>
    <hyperlink r:id="rId54" ref="A119"/>
    <hyperlink r:id="rId55" ref="E120"/>
    <hyperlink r:id="rId56" ref="E123"/>
    <hyperlink r:id="rId57" ref="B12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58"/>
</worksheet>
</file>